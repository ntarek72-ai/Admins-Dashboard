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Line'!$A$1:$AO$1501</definedName>
    <definedName name="_xlnm._FilterDatabase" localSheetId="3" hidden="1">'Per Invoice'!$A$1:$X$501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EGYCARE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O-U, Y-Z, AB-AI (same order as the system export).</t>
        </is>
      </c>
    </row>
    <row r="6">
      <c r="A6" s="3" t="inlineStr">
        <is>
          <t>3. Green columns (N, V, W, X, AA) and the grey helper columns (AJ-AO)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B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(11%) if Local is TRUE, otherwise Imported rate (4%).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1,500 lines and 500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EGYCARE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Electrolux-Egycare; Xceed; El-Maghrabi group; AUBE Retirees; Amiral; EMPC; Tawakol NTT- Obour; Tawakol NTT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0.11</v>
      </c>
      <c r="D6" t="inlineStr">
        <is>
          <t>Source: Sep sheet (Rebates = 11 on Local lines, 0 on Special Rebates = Yes).</t>
        </is>
      </c>
    </row>
    <row r="7">
      <c r="B7" t="inlineStr">
        <is>
          <t>Imported (IMP) products rebate %</t>
        </is>
      </c>
      <c r="C7" s="5" t="n">
        <v>0.04</v>
      </c>
      <c r="D7" t="inlineStr">
        <is>
          <t>Source: Sep sheet (Rebates = 4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Line'!$C$2:$C$1501)</f>
        <v/>
      </c>
    </row>
    <row r="11">
      <c r="B11" t="inlineStr">
        <is>
          <t>Invoices (unique Order # + Approval Ref)</t>
        </is>
      </c>
      <c r="C11">
        <f>MAX('Per Line'!$AL$2:$AL$1501)</f>
        <v/>
      </c>
    </row>
    <row r="12">
      <c r="B12" t="inlineStr">
        <is>
          <t>Invoices shown in Per Invoice</t>
        </is>
      </c>
      <c r="C12">
        <f>SUMPRODUCT(--('Per Invoice'!$A$2:$A$501&lt;&gt;""))</f>
        <v/>
      </c>
    </row>
    <row r="13">
      <c r="B13" t="inlineStr">
        <is>
          <t>Grand Total - Per Line (Product Total)</t>
        </is>
      </c>
      <c r="C13" s="7">
        <f>SUM('Per Line'!$U$2:$U$1501)</f>
        <v/>
      </c>
    </row>
    <row r="14">
      <c r="B14" t="inlineStr">
        <is>
          <t>Grand Total - Per Invoice</t>
        </is>
      </c>
      <c r="C14" s="7">
        <f>SUM('Per Invoice'!$V$2:$V$501)</f>
        <v/>
      </c>
    </row>
    <row r="15">
      <c r="B15" t="inlineStr">
        <is>
          <t>Discount - Per Line</t>
        </is>
      </c>
      <c r="C15" s="7">
        <f>SUM('Per Line'!$V$2:$V$1501)</f>
        <v/>
      </c>
    </row>
    <row r="16">
      <c r="B16" t="inlineStr">
        <is>
          <t>Discount - Per Invoice</t>
        </is>
      </c>
      <c r="C16" s="7">
        <f>SUM('Per Invoice'!$T$2:$T$501)</f>
        <v/>
      </c>
    </row>
    <row r="17">
      <c r="B17" t="inlineStr">
        <is>
          <t>Co val - Per Line</t>
        </is>
      </c>
      <c r="C17" s="7">
        <f>SUM('Per Line'!$N$2:$N$1501)</f>
        <v/>
      </c>
    </row>
    <row r="18">
      <c r="B18" t="inlineStr">
        <is>
          <t>Co val - Per Invoice</t>
        </is>
      </c>
      <c r="C18" s="7">
        <f>SUM('Per Invoice'!$K$2:$K$501)</f>
        <v/>
      </c>
    </row>
    <row r="19">
      <c r="B19" t="inlineStr">
        <is>
          <t>Net - Per Line</t>
        </is>
      </c>
      <c r="C19" s="7">
        <f>SUM('Per Line'!$X$2:$X$1501)</f>
        <v/>
      </c>
    </row>
    <row r="20">
      <c r="B20" t="inlineStr">
        <is>
          <t>Net - Per Invoice</t>
        </is>
      </c>
      <c r="C20" s="7">
        <f>SUM('Per Invoice'!$W$2:$W$501)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Line'!$C:$C)-1&gt;1500,"TOO MANY LINES - extend template",IF(C11&gt;500,"TOO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1" customWidth="1" min="14" max="14"/>
    <col width="12" customWidth="1" min="15" max="15"/>
    <col width="44" customWidth="1" min="16" max="16"/>
    <col width="12" customWidth="1" min="17" max="17"/>
    <col width="20" customWidth="1" min="18" max="18"/>
    <col width="12" customWidth="1" min="19" max="19"/>
    <col width="12" customWidth="1" min="20" max="20"/>
    <col width="12" customWidth="1" min="21" max="21"/>
    <col width="11" customWidth="1" min="22" max="22"/>
    <col width="11" customWidth="1" min="23" max="23"/>
    <col width="11" customWidth="1" min="24" max="24"/>
    <col width="36" customWidth="1" min="25" max="25"/>
    <col width="12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7" customWidth="1" min="34" max="34"/>
    <col width="12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32" customHeight="1">
      <c r="A1" s="8" t="inlineStr">
        <is>
          <t>Ticket #</t>
        </is>
      </c>
      <c r="B1" s="8" t="inlineStr">
        <is>
          <t>Stage</t>
        </is>
      </c>
      <c r="C1" s="8" t="inlineStr">
        <is>
          <t>Order #</t>
        </is>
      </c>
      <c r="D1" s="8" t="inlineStr">
        <is>
          <t>Approval Ref</t>
        </is>
      </c>
      <c r="E1" s="8" t="inlineStr">
        <is>
          <t>Channel</t>
        </is>
      </c>
      <c r="F1" s="8" t="inlineStr">
        <is>
          <t>Create At</t>
        </is>
      </c>
      <c r="G1" s="8" t="inlineStr">
        <is>
          <t>Insurance Company</t>
        </is>
      </c>
      <c r="H1" s="8" t="inlineStr">
        <is>
          <t>Country Portal ID</t>
        </is>
      </c>
      <c r="I1" s="8" t="inlineStr">
        <is>
          <t>Corporate</t>
        </is>
      </c>
      <c r="J1" s="8" t="inlineStr">
        <is>
          <t>Card</t>
        </is>
      </c>
      <c r="K1" s="8" t="inlineStr">
        <is>
          <t>Name</t>
        </is>
      </c>
      <c r="L1" s="8" t="inlineStr">
        <is>
          <t>Status</t>
        </is>
      </c>
      <c r="M1" s="8" t="inlineStr">
        <is>
          <t>Order Co Payment</t>
        </is>
      </c>
      <c r="N1" s="9" t="inlineStr">
        <is>
          <t>Co val</t>
        </is>
      </c>
      <c r="O1" s="8" t="inlineStr">
        <is>
          <t>heisenberg id</t>
        </is>
      </c>
      <c r="P1" s="8" t="inlineStr">
        <is>
          <t>Product Name</t>
        </is>
      </c>
      <c r="Q1" s="8" t="inlineStr">
        <is>
          <t>Local</t>
        </is>
      </c>
      <c r="R1" s="8" t="inlineStr">
        <is>
          <t>Unit</t>
        </is>
      </c>
      <c r="S1" s="8" t="inlineStr">
        <is>
          <t>Quantity</t>
        </is>
      </c>
      <c r="T1" s="8" t="inlineStr">
        <is>
          <t>Unit Price</t>
        </is>
      </c>
      <c r="U1" s="8" t="inlineStr">
        <is>
          <t>Product Total</t>
        </is>
      </c>
      <c r="V1" s="9" t="inlineStr">
        <is>
          <t>Discount</t>
        </is>
      </c>
      <c r="W1" s="9" t="inlineStr">
        <is>
          <t>Subtotal</t>
        </is>
      </c>
      <c r="X1" s="9" t="inlineStr">
        <is>
          <t>Net</t>
        </is>
      </c>
      <c r="Y1" s="8" t="inlineStr">
        <is>
          <t>ERX ID</t>
        </is>
      </c>
      <c r="Z1" s="8" t="inlineStr">
        <is>
          <t>Special Rebates?</t>
        </is>
      </c>
      <c r="AA1" s="9" t="inlineStr">
        <is>
          <t>Rebates</t>
        </is>
      </c>
      <c r="AB1" s="8" t="inlineStr">
        <is>
          <t>Approval Type</t>
        </is>
      </c>
      <c r="AC1" s="8" t="inlineStr">
        <is>
          <t>Max Limit</t>
        </is>
      </c>
      <c r="AD1" s="8" t="inlineStr">
        <is>
          <t>Exceeding Limit</t>
        </is>
      </c>
      <c r="AE1" s="8" t="inlineStr">
        <is>
          <t>Amount collected from customer</t>
        </is>
      </c>
      <c r="AF1" s="8" t="inlineStr">
        <is>
          <t>By Patient (Delivered)</t>
        </is>
      </c>
      <c r="AG1" s="8" t="inlineStr">
        <is>
          <t>Dispense Number</t>
        </is>
      </c>
      <c r="AH1" s="8" t="inlineStr">
        <is>
          <t>Dispense Date</t>
        </is>
      </c>
      <c r="AI1" s="8" t="inlineStr">
        <is>
          <t>Has OTP?</t>
        </is>
      </c>
      <c r="AJ1" s="10" t="inlineStr">
        <is>
          <t>Invoice Key (helper)</t>
        </is>
      </c>
      <c r="AK1" s="10" t="inlineStr">
        <is>
          <t>Order 1st Row (helper)</t>
        </is>
      </c>
      <c r="AL1" s="10" t="inlineStr">
        <is>
          <t>Invoice # (helper)</t>
        </is>
      </c>
      <c r="AM1" s="10" t="inlineStr">
        <is>
          <t>Is Local (helper)</t>
        </is>
      </c>
      <c r="AN1" s="10" t="inlineStr">
        <is>
          <t>Is Special (helper)</t>
        </is>
      </c>
      <c r="AO1" s="10" t="inlineStr">
        <is>
          <t>Sort Key (helper)</t>
        </is>
      </c>
    </row>
    <row r="2">
      <c r="F2" s="11" t="n"/>
      <c r="N2" s="7">
        <f>IF($C2="","",M2*U2/100)</f>
        <v/>
      </c>
      <c r="T2" s="7" t="n"/>
      <c r="U2" s="7" t="n"/>
      <c r="V2" s="7">
        <f>IF($C2="","",U2*AA2/100)</f>
        <v/>
      </c>
      <c r="W2" s="7">
        <f>IF($C2="","",U2-V2)</f>
        <v/>
      </c>
      <c r="X2" s="7">
        <f>IF($C2="","",W2-N2)</f>
        <v/>
      </c>
      <c r="AA2">
        <f>IF($C2="","",IF($AN2=1,0,IF($AM2=1,Settings!$C$6,Settings!$C$7))*100)</f>
        <v/>
      </c>
      <c r="AE2" s="7" t="n"/>
      <c r="AH2" s="11" t="n"/>
      <c r="AJ2">
        <f>IF($C2="","",$C2&amp;"|"&amp;$D2&amp;"")</f>
        <v/>
      </c>
      <c r="AK2">
        <f>IF($C2="","",IF(COUNTIF($AJ$2:$AJ2,$AJ2)=1,1,0))</f>
        <v/>
      </c>
      <c r="AL2">
        <f>IF($AK2=1,SUMPRODUCT(--($AO$2:$AO$1501&lt;$AO2))+1,"")</f>
        <v/>
      </c>
      <c r="AM2">
        <f>IF($C2="","",IF(OR($Q2=TRUE(),$Q2="TRUE"),1,0))</f>
        <v/>
      </c>
      <c r="AN2">
        <f>IF($C2="","",IF($Z2="Yes",1,0))</f>
        <v/>
      </c>
      <c r="AO2">
        <f>IF($AK2=1,IFERROR(IF(VALUE($C2)&lt;100000000,VALUE($C2),1000000000),IFERROR(IF(VALUE(MID($C2,2,20))&lt;100000000,VALUE(MID($C2,2,20)),1000000000),1000000000))+ROW()/100000,"")</f>
        <v/>
      </c>
    </row>
    <row r="3">
      <c r="F3" s="11" t="n"/>
      <c r="N3" s="7">
        <f>IF($C3="","",M3*U3/100)</f>
        <v/>
      </c>
      <c r="T3" s="7" t="n"/>
      <c r="U3" s="7" t="n"/>
      <c r="V3" s="7">
        <f>IF($C3="","",U3*AA3/100)</f>
        <v/>
      </c>
      <c r="W3" s="7">
        <f>IF($C3="","",U3-V3)</f>
        <v/>
      </c>
      <c r="X3" s="7">
        <f>IF($C3="","",W3-N3)</f>
        <v/>
      </c>
      <c r="AA3">
        <f>IF($C3="","",IF($AN3=1,0,IF($AM3=1,Settings!$C$6,Settings!$C$7))*100)</f>
        <v/>
      </c>
      <c r="AE3" s="7" t="n"/>
      <c r="AH3" s="11" t="n"/>
      <c r="AJ3">
        <f>IF($C3="","",$C3&amp;"|"&amp;$D3&amp;"")</f>
        <v/>
      </c>
      <c r="AK3">
        <f>IF($C3="","",IF(COUNTIF($AJ$2:$AJ3,$AJ3)=1,1,0))</f>
        <v/>
      </c>
      <c r="AL3">
        <f>IF($AK3=1,SUMPRODUCT(--($AO$2:$AO$1501&lt;$AO3))+1,"")</f>
        <v/>
      </c>
      <c r="AM3">
        <f>IF($C3="","",IF(OR($Q3=TRUE(),$Q3="TRUE"),1,0))</f>
        <v/>
      </c>
      <c r="AN3">
        <f>IF($C3="","",IF($Z3="Yes",1,0))</f>
        <v/>
      </c>
      <c r="AO3">
        <f>IF($AK3=1,IFERROR(IF(VALUE($C3)&lt;100000000,VALUE($C3),1000000000),IFERROR(IF(VALUE(MID($C3,2,20))&lt;100000000,VALUE(MID($C3,2,20)),1000000000),1000000000))+ROW()/100000,"")</f>
        <v/>
      </c>
    </row>
    <row r="4">
      <c r="F4" s="11" t="n"/>
      <c r="N4" s="7">
        <f>IF($C4="","",M4*U4/100)</f>
        <v/>
      </c>
      <c r="T4" s="7" t="n"/>
      <c r="U4" s="7" t="n"/>
      <c r="V4" s="7">
        <f>IF($C4="","",U4*AA4/100)</f>
        <v/>
      </c>
      <c r="W4" s="7">
        <f>IF($C4="","",U4-V4)</f>
        <v/>
      </c>
      <c r="X4" s="7">
        <f>IF($C4="","",W4-N4)</f>
        <v/>
      </c>
      <c r="AA4">
        <f>IF($C4="","",IF($AN4=1,0,IF($AM4=1,Settings!$C$6,Settings!$C$7))*100)</f>
        <v/>
      </c>
      <c r="AE4" s="7" t="n"/>
      <c r="AH4" s="11" t="n"/>
      <c r="AJ4">
        <f>IF($C4="","",$C4&amp;"|"&amp;$D4&amp;"")</f>
        <v/>
      </c>
      <c r="AK4">
        <f>IF($C4="","",IF(COUNTIF($AJ$2:$AJ4,$AJ4)=1,1,0))</f>
        <v/>
      </c>
      <c r="AL4">
        <f>IF($AK4=1,SUMPRODUCT(--($AO$2:$AO$1501&lt;$AO4))+1,"")</f>
        <v/>
      </c>
      <c r="AM4">
        <f>IF($C4="","",IF(OR($Q4=TRUE(),$Q4="TRUE"),1,0))</f>
        <v/>
      </c>
      <c r="AN4">
        <f>IF($C4="","",IF($Z4="Yes",1,0))</f>
        <v/>
      </c>
      <c r="AO4">
        <f>IF($AK4=1,IFERROR(IF(VALUE($C4)&lt;100000000,VALUE($C4),1000000000),IFERROR(IF(VALUE(MID($C4,2,20))&lt;100000000,VALUE(MID($C4,2,20)),1000000000),1000000000))+ROW()/100000,"")</f>
        <v/>
      </c>
    </row>
    <row r="5">
      <c r="F5" s="11" t="n"/>
      <c r="N5" s="7">
        <f>IF($C5="","",M5*U5/100)</f>
        <v/>
      </c>
      <c r="T5" s="7" t="n"/>
      <c r="U5" s="7" t="n"/>
      <c r="V5" s="7">
        <f>IF($C5="","",U5*AA5/100)</f>
        <v/>
      </c>
      <c r="W5" s="7">
        <f>IF($C5="","",U5-V5)</f>
        <v/>
      </c>
      <c r="X5" s="7">
        <f>IF($C5="","",W5-N5)</f>
        <v/>
      </c>
      <c r="AA5">
        <f>IF($C5="","",IF($AN5=1,0,IF($AM5=1,Settings!$C$6,Settings!$C$7))*100)</f>
        <v/>
      </c>
      <c r="AE5" s="7" t="n"/>
      <c r="AH5" s="11" t="n"/>
      <c r="AJ5">
        <f>IF($C5="","",$C5&amp;"|"&amp;$D5&amp;"")</f>
        <v/>
      </c>
      <c r="AK5">
        <f>IF($C5="","",IF(COUNTIF($AJ$2:$AJ5,$AJ5)=1,1,0))</f>
        <v/>
      </c>
      <c r="AL5">
        <f>IF($AK5=1,SUMPRODUCT(--($AO$2:$AO$1501&lt;$AO5))+1,"")</f>
        <v/>
      </c>
      <c r="AM5">
        <f>IF($C5="","",IF(OR($Q5=TRUE(),$Q5="TRUE"),1,0))</f>
        <v/>
      </c>
      <c r="AN5">
        <f>IF($C5="","",IF($Z5="Yes",1,0))</f>
        <v/>
      </c>
      <c r="AO5">
        <f>IF($AK5=1,IFERROR(IF(VALUE($C5)&lt;100000000,VALUE($C5),1000000000),IFERROR(IF(VALUE(MID($C5,2,20))&lt;100000000,VALUE(MID($C5,2,20)),1000000000),1000000000))+ROW()/100000,"")</f>
        <v/>
      </c>
    </row>
    <row r="6">
      <c r="F6" s="11" t="n"/>
      <c r="N6" s="7">
        <f>IF($C6="","",M6*U6/100)</f>
        <v/>
      </c>
      <c r="T6" s="7" t="n"/>
      <c r="U6" s="7" t="n"/>
      <c r="V6" s="7">
        <f>IF($C6="","",U6*AA6/100)</f>
        <v/>
      </c>
      <c r="W6" s="7">
        <f>IF($C6="","",U6-V6)</f>
        <v/>
      </c>
      <c r="X6" s="7">
        <f>IF($C6="","",W6-N6)</f>
        <v/>
      </c>
      <c r="AA6">
        <f>IF($C6="","",IF($AN6=1,0,IF($AM6=1,Settings!$C$6,Settings!$C$7))*100)</f>
        <v/>
      </c>
      <c r="AE6" s="7" t="n"/>
      <c r="AH6" s="11" t="n"/>
      <c r="AJ6">
        <f>IF($C6="","",$C6&amp;"|"&amp;$D6&amp;"")</f>
        <v/>
      </c>
      <c r="AK6">
        <f>IF($C6="","",IF(COUNTIF($AJ$2:$AJ6,$AJ6)=1,1,0))</f>
        <v/>
      </c>
      <c r="AL6">
        <f>IF($AK6=1,SUMPRODUCT(--($AO$2:$AO$1501&lt;$AO6))+1,"")</f>
        <v/>
      </c>
      <c r="AM6">
        <f>IF($C6="","",IF(OR($Q6=TRUE(),$Q6="TRUE"),1,0))</f>
        <v/>
      </c>
      <c r="AN6">
        <f>IF($C6="","",IF($Z6="Yes",1,0))</f>
        <v/>
      </c>
      <c r="AO6">
        <f>IF($AK6=1,IFERROR(IF(VALUE($C6)&lt;100000000,VALUE($C6),1000000000),IFERROR(IF(VALUE(MID($C6,2,20))&lt;100000000,VALUE(MID($C6,2,20)),1000000000),1000000000))+ROW()/100000,"")</f>
        <v/>
      </c>
    </row>
    <row r="7">
      <c r="F7" s="11" t="n"/>
      <c r="N7" s="7">
        <f>IF($C7="","",M7*U7/100)</f>
        <v/>
      </c>
      <c r="T7" s="7" t="n"/>
      <c r="U7" s="7" t="n"/>
      <c r="V7" s="7">
        <f>IF($C7="","",U7*AA7/100)</f>
        <v/>
      </c>
      <c r="W7" s="7">
        <f>IF($C7="","",U7-V7)</f>
        <v/>
      </c>
      <c r="X7" s="7">
        <f>IF($C7="","",W7-N7)</f>
        <v/>
      </c>
      <c r="AA7">
        <f>IF($C7="","",IF($AN7=1,0,IF($AM7=1,Settings!$C$6,Settings!$C$7))*100)</f>
        <v/>
      </c>
      <c r="AE7" s="7" t="n"/>
      <c r="AH7" s="11" t="n"/>
      <c r="AJ7">
        <f>IF($C7="","",$C7&amp;"|"&amp;$D7&amp;"")</f>
        <v/>
      </c>
      <c r="AK7">
        <f>IF($C7="","",IF(COUNTIF($AJ$2:$AJ7,$AJ7)=1,1,0))</f>
        <v/>
      </c>
      <c r="AL7">
        <f>IF($AK7=1,SUMPRODUCT(--($AO$2:$AO$1501&lt;$AO7))+1,"")</f>
        <v/>
      </c>
      <c r="AM7">
        <f>IF($C7="","",IF(OR($Q7=TRUE(),$Q7="TRUE"),1,0))</f>
        <v/>
      </c>
      <c r="AN7">
        <f>IF($C7="","",IF($Z7="Yes",1,0))</f>
        <v/>
      </c>
      <c r="AO7">
        <f>IF($AK7=1,IFERROR(IF(VALUE($C7)&lt;100000000,VALUE($C7),1000000000),IFERROR(IF(VALUE(MID($C7,2,20))&lt;100000000,VALUE(MID($C7,2,20)),1000000000),1000000000))+ROW()/100000,"")</f>
        <v/>
      </c>
    </row>
    <row r="8">
      <c r="F8" s="11" t="n"/>
      <c r="N8" s="7">
        <f>IF($C8="","",M8*U8/100)</f>
        <v/>
      </c>
      <c r="T8" s="7" t="n"/>
      <c r="U8" s="7" t="n"/>
      <c r="V8" s="7">
        <f>IF($C8="","",U8*AA8/100)</f>
        <v/>
      </c>
      <c r="W8" s="7">
        <f>IF($C8="","",U8-V8)</f>
        <v/>
      </c>
      <c r="X8" s="7">
        <f>IF($C8="","",W8-N8)</f>
        <v/>
      </c>
      <c r="AA8">
        <f>IF($C8="","",IF($AN8=1,0,IF($AM8=1,Settings!$C$6,Settings!$C$7))*100)</f>
        <v/>
      </c>
      <c r="AE8" s="7" t="n"/>
      <c r="AH8" s="11" t="n"/>
      <c r="AJ8">
        <f>IF($C8="","",$C8&amp;"|"&amp;$D8&amp;"")</f>
        <v/>
      </c>
      <c r="AK8">
        <f>IF($C8="","",IF(COUNTIF($AJ$2:$AJ8,$AJ8)=1,1,0))</f>
        <v/>
      </c>
      <c r="AL8">
        <f>IF($AK8=1,SUMPRODUCT(--($AO$2:$AO$1501&lt;$AO8))+1,"")</f>
        <v/>
      </c>
      <c r="AM8">
        <f>IF($C8="","",IF(OR($Q8=TRUE(),$Q8="TRUE"),1,0))</f>
        <v/>
      </c>
      <c r="AN8">
        <f>IF($C8="","",IF($Z8="Yes",1,0))</f>
        <v/>
      </c>
      <c r="AO8">
        <f>IF($AK8=1,IFERROR(IF(VALUE($C8)&lt;100000000,VALUE($C8),1000000000),IFERROR(IF(VALUE(MID($C8,2,20))&lt;100000000,VALUE(MID($C8,2,20)),1000000000),1000000000))+ROW()/100000,"")</f>
        <v/>
      </c>
    </row>
    <row r="9">
      <c r="F9" s="11" t="n"/>
      <c r="N9" s="7">
        <f>IF($C9="","",M9*U9/100)</f>
        <v/>
      </c>
      <c r="T9" s="7" t="n"/>
      <c r="U9" s="7" t="n"/>
      <c r="V9" s="7">
        <f>IF($C9="","",U9*AA9/100)</f>
        <v/>
      </c>
      <c r="W9" s="7">
        <f>IF($C9="","",U9-V9)</f>
        <v/>
      </c>
      <c r="X9" s="7">
        <f>IF($C9="","",W9-N9)</f>
        <v/>
      </c>
      <c r="AA9">
        <f>IF($C9="","",IF($AN9=1,0,IF($AM9=1,Settings!$C$6,Settings!$C$7))*100)</f>
        <v/>
      </c>
      <c r="AE9" s="7" t="n"/>
      <c r="AH9" s="11" t="n"/>
      <c r="AJ9">
        <f>IF($C9="","",$C9&amp;"|"&amp;$D9&amp;"")</f>
        <v/>
      </c>
      <c r="AK9">
        <f>IF($C9="","",IF(COUNTIF($AJ$2:$AJ9,$AJ9)=1,1,0))</f>
        <v/>
      </c>
      <c r="AL9">
        <f>IF($AK9=1,SUMPRODUCT(--($AO$2:$AO$1501&lt;$AO9))+1,"")</f>
        <v/>
      </c>
      <c r="AM9">
        <f>IF($C9="","",IF(OR($Q9=TRUE(),$Q9="TRUE"),1,0))</f>
        <v/>
      </c>
      <c r="AN9">
        <f>IF($C9="","",IF($Z9="Yes",1,0))</f>
        <v/>
      </c>
      <c r="AO9">
        <f>IF($AK9=1,IFERROR(IF(VALUE($C9)&lt;100000000,VALUE($C9),1000000000),IFERROR(IF(VALUE(MID($C9,2,20))&lt;100000000,VALUE(MID($C9,2,20)),1000000000),1000000000))+ROW()/100000,"")</f>
        <v/>
      </c>
    </row>
    <row r="10">
      <c r="F10" s="11" t="n"/>
      <c r="N10" s="7">
        <f>IF($C10="","",M10*U10/100)</f>
        <v/>
      </c>
      <c r="T10" s="7" t="n"/>
      <c r="U10" s="7" t="n"/>
      <c r="V10" s="7">
        <f>IF($C10="","",U10*AA10/100)</f>
        <v/>
      </c>
      <c r="W10" s="7">
        <f>IF($C10="","",U10-V10)</f>
        <v/>
      </c>
      <c r="X10" s="7">
        <f>IF($C10="","",W10-N10)</f>
        <v/>
      </c>
      <c r="AA10">
        <f>IF($C10="","",IF($AN10=1,0,IF($AM10=1,Settings!$C$6,Settings!$C$7))*100)</f>
        <v/>
      </c>
      <c r="AE10" s="7" t="n"/>
      <c r="AH10" s="11" t="n"/>
      <c r="AJ10">
        <f>IF($C10="","",$C10&amp;"|"&amp;$D10&amp;"")</f>
        <v/>
      </c>
      <c r="AK10">
        <f>IF($C10="","",IF(COUNTIF($AJ$2:$AJ10,$AJ10)=1,1,0))</f>
        <v/>
      </c>
      <c r="AL10">
        <f>IF($AK10=1,SUMPRODUCT(--($AO$2:$AO$1501&lt;$AO10))+1,"")</f>
        <v/>
      </c>
      <c r="AM10">
        <f>IF($C10="","",IF(OR($Q10=TRUE(),$Q10="TRUE"),1,0))</f>
        <v/>
      </c>
      <c r="AN10">
        <f>IF($C10="","",IF($Z10="Yes",1,0))</f>
        <v/>
      </c>
      <c r="AO10">
        <f>IF($AK10=1,IFERROR(IF(VALUE($C10)&lt;100000000,VALUE($C10),1000000000),IFERROR(IF(VALUE(MID($C10,2,20))&lt;100000000,VALUE(MID($C10,2,20)),1000000000),1000000000))+ROW()/100000,"")</f>
        <v/>
      </c>
    </row>
    <row r="11">
      <c r="F11" s="11" t="n"/>
      <c r="N11" s="7">
        <f>IF($C11="","",M11*U11/100)</f>
        <v/>
      </c>
      <c r="T11" s="7" t="n"/>
      <c r="U11" s="7" t="n"/>
      <c r="V11" s="7">
        <f>IF($C11="","",U11*AA11/100)</f>
        <v/>
      </c>
      <c r="W11" s="7">
        <f>IF($C11="","",U11-V11)</f>
        <v/>
      </c>
      <c r="X11" s="7">
        <f>IF($C11="","",W11-N11)</f>
        <v/>
      </c>
      <c r="AA11">
        <f>IF($C11="","",IF($AN11=1,0,IF($AM11=1,Settings!$C$6,Settings!$C$7))*100)</f>
        <v/>
      </c>
      <c r="AE11" s="7" t="n"/>
      <c r="AH11" s="11" t="n"/>
      <c r="AJ11">
        <f>IF($C11="","",$C11&amp;"|"&amp;$D11&amp;"")</f>
        <v/>
      </c>
      <c r="AK11">
        <f>IF($C11="","",IF(COUNTIF($AJ$2:$AJ11,$AJ11)=1,1,0))</f>
        <v/>
      </c>
      <c r="AL11">
        <f>IF($AK11=1,SUMPRODUCT(--($AO$2:$AO$1501&lt;$AO11))+1,"")</f>
        <v/>
      </c>
      <c r="AM11">
        <f>IF($C11="","",IF(OR($Q11=TRUE(),$Q11="TRUE"),1,0))</f>
        <v/>
      </c>
      <c r="AN11">
        <f>IF($C11="","",IF($Z11="Yes",1,0))</f>
        <v/>
      </c>
      <c r="AO11">
        <f>IF($AK11=1,IFERROR(IF(VALUE($C11)&lt;100000000,VALUE($C11),1000000000),IFERROR(IF(VALUE(MID($C11,2,20))&lt;100000000,VALUE(MID($C11,2,20)),1000000000),1000000000))+ROW()/100000,"")</f>
        <v/>
      </c>
    </row>
    <row r="12">
      <c r="F12" s="11" t="n"/>
      <c r="N12" s="7">
        <f>IF($C12="","",M12*U12/100)</f>
        <v/>
      </c>
      <c r="T12" s="7" t="n"/>
      <c r="U12" s="7" t="n"/>
      <c r="V12" s="7">
        <f>IF($C12="","",U12*AA12/100)</f>
        <v/>
      </c>
      <c r="W12" s="7">
        <f>IF($C12="","",U12-V12)</f>
        <v/>
      </c>
      <c r="X12" s="7">
        <f>IF($C12="","",W12-N12)</f>
        <v/>
      </c>
      <c r="AA12">
        <f>IF($C12="","",IF($AN12=1,0,IF($AM12=1,Settings!$C$6,Settings!$C$7))*100)</f>
        <v/>
      </c>
      <c r="AE12" s="7" t="n"/>
      <c r="AH12" s="11" t="n"/>
      <c r="AJ12">
        <f>IF($C12="","",$C12&amp;"|"&amp;$D12&amp;"")</f>
        <v/>
      </c>
      <c r="AK12">
        <f>IF($C12="","",IF(COUNTIF($AJ$2:$AJ12,$AJ12)=1,1,0))</f>
        <v/>
      </c>
      <c r="AL12">
        <f>IF($AK12=1,SUMPRODUCT(--($AO$2:$AO$1501&lt;$AO12))+1,"")</f>
        <v/>
      </c>
      <c r="AM12">
        <f>IF($C12="","",IF(OR($Q12=TRUE(),$Q12="TRUE"),1,0))</f>
        <v/>
      </c>
      <c r="AN12">
        <f>IF($C12="","",IF($Z12="Yes",1,0))</f>
        <v/>
      </c>
      <c r="AO12">
        <f>IF($AK12=1,IFERROR(IF(VALUE($C12)&lt;100000000,VALUE($C12),1000000000),IFERROR(IF(VALUE(MID($C12,2,20))&lt;100000000,VALUE(MID($C12,2,20)),1000000000),1000000000))+ROW()/100000,"")</f>
        <v/>
      </c>
    </row>
    <row r="13">
      <c r="F13" s="11" t="n"/>
      <c r="N13" s="7">
        <f>IF($C13="","",M13*U13/100)</f>
        <v/>
      </c>
      <c r="T13" s="7" t="n"/>
      <c r="U13" s="7" t="n"/>
      <c r="V13" s="7">
        <f>IF($C13="","",U13*AA13/100)</f>
        <v/>
      </c>
      <c r="W13" s="7">
        <f>IF($C13="","",U13-V13)</f>
        <v/>
      </c>
      <c r="X13" s="7">
        <f>IF($C13="","",W13-N13)</f>
        <v/>
      </c>
      <c r="AA13">
        <f>IF($C13="","",IF($AN13=1,0,IF($AM13=1,Settings!$C$6,Settings!$C$7))*100)</f>
        <v/>
      </c>
      <c r="AE13" s="7" t="n"/>
      <c r="AH13" s="11" t="n"/>
      <c r="AJ13">
        <f>IF($C13="","",$C13&amp;"|"&amp;$D13&amp;"")</f>
        <v/>
      </c>
      <c r="AK13">
        <f>IF($C13="","",IF(COUNTIF($AJ$2:$AJ13,$AJ13)=1,1,0))</f>
        <v/>
      </c>
      <c r="AL13">
        <f>IF($AK13=1,SUMPRODUCT(--($AO$2:$AO$1501&lt;$AO13))+1,"")</f>
        <v/>
      </c>
      <c r="AM13">
        <f>IF($C13="","",IF(OR($Q13=TRUE(),$Q13="TRUE"),1,0))</f>
        <v/>
      </c>
      <c r="AN13">
        <f>IF($C13="","",IF($Z13="Yes",1,0))</f>
        <v/>
      </c>
      <c r="AO13">
        <f>IF($AK13=1,IFERROR(IF(VALUE($C13)&lt;100000000,VALUE($C13),1000000000),IFERROR(IF(VALUE(MID($C13,2,20))&lt;100000000,VALUE(MID($C13,2,20)),1000000000),1000000000))+ROW()/100000,"")</f>
        <v/>
      </c>
    </row>
    <row r="14">
      <c r="F14" s="11" t="n"/>
      <c r="N14" s="7">
        <f>IF($C14="","",M14*U14/100)</f>
        <v/>
      </c>
      <c r="T14" s="7" t="n"/>
      <c r="U14" s="7" t="n"/>
      <c r="V14" s="7">
        <f>IF($C14="","",U14*AA14/100)</f>
        <v/>
      </c>
      <c r="W14" s="7">
        <f>IF($C14="","",U14-V14)</f>
        <v/>
      </c>
      <c r="X14" s="7">
        <f>IF($C14="","",W14-N14)</f>
        <v/>
      </c>
      <c r="AA14">
        <f>IF($C14="","",IF($AN14=1,0,IF($AM14=1,Settings!$C$6,Settings!$C$7))*100)</f>
        <v/>
      </c>
      <c r="AE14" s="7" t="n"/>
      <c r="AH14" s="11" t="n"/>
      <c r="AJ14">
        <f>IF($C14="","",$C14&amp;"|"&amp;$D14&amp;"")</f>
        <v/>
      </c>
      <c r="AK14">
        <f>IF($C14="","",IF(COUNTIF($AJ$2:$AJ14,$AJ14)=1,1,0))</f>
        <v/>
      </c>
      <c r="AL14">
        <f>IF($AK14=1,SUMPRODUCT(--($AO$2:$AO$1501&lt;$AO14))+1,"")</f>
        <v/>
      </c>
      <c r="AM14">
        <f>IF($C14="","",IF(OR($Q14=TRUE(),$Q14="TRUE"),1,0))</f>
        <v/>
      </c>
      <c r="AN14">
        <f>IF($C14="","",IF($Z14="Yes",1,0))</f>
        <v/>
      </c>
      <c r="AO14">
        <f>IF($AK14=1,IFERROR(IF(VALUE($C14)&lt;100000000,VALUE($C14),1000000000),IFERROR(IF(VALUE(MID($C14,2,20))&lt;100000000,VALUE(MID($C14,2,20)),1000000000),1000000000))+ROW()/100000,"")</f>
        <v/>
      </c>
    </row>
    <row r="15">
      <c r="F15" s="11" t="n"/>
      <c r="N15" s="7">
        <f>IF($C15="","",M15*U15/100)</f>
        <v/>
      </c>
      <c r="T15" s="7" t="n"/>
      <c r="U15" s="7" t="n"/>
      <c r="V15" s="7">
        <f>IF($C15="","",U15*AA15/100)</f>
        <v/>
      </c>
      <c r="W15" s="7">
        <f>IF($C15="","",U15-V15)</f>
        <v/>
      </c>
      <c r="X15" s="7">
        <f>IF($C15="","",W15-N15)</f>
        <v/>
      </c>
      <c r="AA15">
        <f>IF($C15="","",IF($AN15=1,0,IF($AM15=1,Settings!$C$6,Settings!$C$7))*100)</f>
        <v/>
      </c>
      <c r="AE15" s="7" t="n"/>
      <c r="AH15" s="11" t="n"/>
      <c r="AJ15">
        <f>IF($C15="","",$C15&amp;"|"&amp;$D15&amp;"")</f>
        <v/>
      </c>
      <c r="AK15">
        <f>IF($C15="","",IF(COUNTIF($AJ$2:$AJ15,$AJ15)=1,1,0))</f>
        <v/>
      </c>
      <c r="AL15">
        <f>IF($AK15=1,SUMPRODUCT(--($AO$2:$AO$1501&lt;$AO15))+1,"")</f>
        <v/>
      </c>
      <c r="AM15">
        <f>IF($C15="","",IF(OR($Q15=TRUE(),$Q15="TRUE"),1,0))</f>
        <v/>
      </c>
      <c r="AN15">
        <f>IF($C15="","",IF($Z15="Yes",1,0))</f>
        <v/>
      </c>
      <c r="AO15">
        <f>IF($AK15=1,IFERROR(IF(VALUE($C15)&lt;100000000,VALUE($C15),1000000000),IFERROR(IF(VALUE(MID($C15,2,20))&lt;100000000,VALUE(MID($C15,2,20)),1000000000),1000000000))+ROW()/100000,"")</f>
        <v/>
      </c>
    </row>
    <row r="16">
      <c r="F16" s="11" t="n"/>
      <c r="N16" s="7">
        <f>IF($C16="","",M16*U16/100)</f>
        <v/>
      </c>
      <c r="T16" s="7" t="n"/>
      <c r="U16" s="7" t="n"/>
      <c r="V16" s="7">
        <f>IF($C16="","",U16*AA16/100)</f>
        <v/>
      </c>
      <c r="W16" s="7">
        <f>IF($C16="","",U16-V16)</f>
        <v/>
      </c>
      <c r="X16" s="7">
        <f>IF($C16="","",W16-N16)</f>
        <v/>
      </c>
      <c r="AA16">
        <f>IF($C16="","",IF($AN16=1,0,IF($AM16=1,Settings!$C$6,Settings!$C$7))*100)</f>
        <v/>
      </c>
      <c r="AE16" s="7" t="n"/>
      <c r="AH16" s="11" t="n"/>
      <c r="AJ16">
        <f>IF($C16="","",$C16&amp;"|"&amp;$D16&amp;"")</f>
        <v/>
      </c>
      <c r="AK16">
        <f>IF($C16="","",IF(COUNTIF($AJ$2:$AJ16,$AJ16)=1,1,0))</f>
        <v/>
      </c>
      <c r="AL16">
        <f>IF($AK16=1,SUMPRODUCT(--($AO$2:$AO$1501&lt;$AO16))+1,"")</f>
        <v/>
      </c>
      <c r="AM16">
        <f>IF($C16="","",IF(OR($Q16=TRUE(),$Q16="TRUE"),1,0))</f>
        <v/>
      </c>
      <c r="AN16">
        <f>IF($C16="","",IF($Z16="Yes",1,0))</f>
        <v/>
      </c>
      <c r="AO16">
        <f>IF($AK16=1,IFERROR(IF(VALUE($C16)&lt;100000000,VALUE($C16),1000000000),IFERROR(IF(VALUE(MID($C16,2,20))&lt;100000000,VALUE(MID($C16,2,20)),1000000000),1000000000))+ROW()/100000,"")</f>
        <v/>
      </c>
    </row>
    <row r="17">
      <c r="F17" s="11" t="n"/>
      <c r="N17" s="7">
        <f>IF($C17="","",M17*U17/100)</f>
        <v/>
      </c>
      <c r="T17" s="7" t="n"/>
      <c r="U17" s="7" t="n"/>
      <c r="V17" s="7">
        <f>IF($C17="","",U17*AA17/100)</f>
        <v/>
      </c>
      <c r="W17" s="7">
        <f>IF($C17="","",U17-V17)</f>
        <v/>
      </c>
      <c r="X17" s="7">
        <f>IF($C17="","",W17-N17)</f>
        <v/>
      </c>
      <c r="AA17">
        <f>IF($C17="","",IF($AN17=1,0,IF($AM17=1,Settings!$C$6,Settings!$C$7))*100)</f>
        <v/>
      </c>
      <c r="AE17" s="7" t="n"/>
      <c r="AH17" s="11" t="n"/>
      <c r="AJ17">
        <f>IF($C17="","",$C17&amp;"|"&amp;$D17&amp;"")</f>
        <v/>
      </c>
      <c r="AK17">
        <f>IF($C17="","",IF(COUNTIF($AJ$2:$AJ17,$AJ17)=1,1,0))</f>
        <v/>
      </c>
      <c r="AL17">
        <f>IF($AK17=1,SUMPRODUCT(--($AO$2:$AO$1501&lt;$AO17))+1,"")</f>
        <v/>
      </c>
      <c r="AM17">
        <f>IF($C17="","",IF(OR($Q17=TRUE(),$Q17="TRUE"),1,0))</f>
        <v/>
      </c>
      <c r="AN17">
        <f>IF($C17="","",IF($Z17="Yes",1,0))</f>
        <v/>
      </c>
      <c r="AO17">
        <f>IF($AK17=1,IFERROR(IF(VALUE($C17)&lt;100000000,VALUE($C17),1000000000),IFERROR(IF(VALUE(MID($C17,2,20))&lt;100000000,VALUE(MID($C17,2,20)),1000000000),1000000000))+ROW()/100000,"")</f>
        <v/>
      </c>
    </row>
    <row r="18">
      <c r="F18" s="11" t="n"/>
      <c r="N18" s="7">
        <f>IF($C18="","",M18*U18/100)</f>
        <v/>
      </c>
      <c r="T18" s="7" t="n"/>
      <c r="U18" s="7" t="n"/>
      <c r="V18" s="7">
        <f>IF($C18="","",U18*AA18/100)</f>
        <v/>
      </c>
      <c r="W18" s="7">
        <f>IF($C18="","",U18-V18)</f>
        <v/>
      </c>
      <c r="X18" s="7">
        <f>IF($C18="","",W18-N18)</f>
        <v/>
      </c>
      <c r="AA18">
        <f>IF($C18="","",IF($AN18=1,0,IF($AM18=1,Settings!$C$6,Settings!$C$7))*100)</f>
        <v/>
      </c>
      <c r="AE18" s="7" t="n"/>
      <c r="AH18" s="11" t="n"/>
      <c r="AJ18">
        <f>IF($C18="","",$C18&amp;"|"&amp;$D18&amp;"")</f>
        <v/>
      </c>
      <c r="AK18">
        <f>IF($C18="","",IF(COUNTIF($AJ$2:$AJ18,$AJ18)=1,1,0))</f>
        <v/>
      </c>
      <c r="AL18">
        <f>IF($AK18=1,SUMPRODUCT(--($AO$2:$AO$1501&lt;$AO18))+1,"")</f>
        <v/>
      </c>
      <c r="AM18">
        <f>IF($C18="","",IF(OR($Q18=TRUE(),$Q18="TRUE"),1,0))</f>
        <v/>
      </c>
      <c r="AN18">
        <f>IF($C18="","",IF($Z18="Yes",1,0))</f>
        <v/>
      </c>
      <c r="AO18">
        <f>IF($AK18=1,IFERROR(IF(VALUE($C18)&lt;100000000,VALUE($C18),1000000000),IFERROR(IF(VALUE(MID($C18,2,20))&lt;100000000,VALUE(MID($C18,2,20)),1000000000),1000000000))+ROW()/100000,"")</f>
        <v/>
      </c>
    </row>
    <row r="19">
      <c r="F19" s="11" t="n"/>
      <c r="N19" s="7">
        <f>IF($C19="","",M19*U19/100)</f>
        <v/>
      </c>
      <c r="T19" s="7" t="n"/>
      <c r="U19" s="7" t="n"/>
      <c r="V19" s="7">
        <f>IF($C19="","",U19*AA19/100)</f>
        <v/>
      </c>
      <c r="W19" s="7">
        <f>IF($C19="","",U19-V19)</f>
        <v/>
      </c>
      <c r="X19" s="7">
        <f>IF($C19="","",W19-N19)</f>
        <v/>
      </c>
      <c r="AA19">
        <f>IF($C19="","",IF($AN19=1,0,IF($AM19=1,Settings!$C$6,Settings!$C$7))*100)</f>
        <v/>
      </c>
      <c r="AE19" s="7" t="n"/>
      <c r="AH19" s="11" t="n"/>
      <c r="AJ19">
        <f>IF($C19="","",$C19&amp;"|"&amp;$D19&amp;"")</f>
        <v/>
      </c>
      <c r="AK19">
        <f>IF($C19="","",IF(COUNTIF($AJ$2:$AJ19,$AJ19)=1,1,0))</f>
        <v/>
      </c>
      <c r="AL19">
        <f>IF($AK19=1,SUMPRODUCT(--($AO$2:$AO$1501&lt;$AO19))+1,"")</f>
        <v/>
      </c>
      <c r="AM19">
        <f>IF($C19="","",IF(OR($Q19=TRUE(),$Q19="TRUE"),1,0))</f>
        <v/>
      </c>
      <c r="AN19">
        <f>IF($C19="","",IF($Z19="Yes",1,0))</f>
        <v/>
      </c>
      <c r="AO19">
        <f>IF($AK19=1,IFERROR(IF(VALUE($C19)&lt;100000000,VALUE($C19),1000000000),IFERROR(IF(VALUE(MID($C19,2,20))&lt;100000000,VALUE(MID($C19,2,20)),1000000000),1000000000))+ROW()/100000,"")</f>
        <v/>
      </c>
    </row>
    <row r="20">
      <c r="F20" s="11" t="n"/>
      <c r="N20" s="7">
        <f>IF($C20="","",M20*U20/100)</f>
        <v/>
      </c>
      <c r="T20" s="7" t="n"/>
      <c r="U20" s="7" t="n"/>
      <c r="V20" s="7">
        <f>IF($C20="","",U20*AA20/100)</f>
        <v/>
      </c>
      <c r="W20" s="7">
        <f>IF($C20="","",U20-V20)</f>
        <v/>
      </c>
      <c r="X20" s="7">
        <f>IF($C20="","",W20-N20)</f>
        <v/>
      </c>
      <c r="AA20">
        <f>IF($C20="","",IF($AN20=1,0,IF($AM20=1,Settings!$C$6,Settings!$C$7))*100)</f>
        <v/>
      </c>
      <c r="AE20" s="7" t="n"/>
      <c r="AH20" s="11" t="n"/>
      <c r="AJ20">
        <f>IF($C20="","",$C20&amp;"|"&amp;$D20&amp;"")</f>
        <v/>
      </c>
      <c r="AK20">
        <f>IF($C20="","",IF(COUNTIF($AJ$2:$AJ20,$AJ20)=1,1,0))</f>
        <v/>
      </c>
      <c r="AL20">
        <f>IF($AK20=1,SUMPRODUCT(--($AO$2:$AO$1501&lt;$AO20))+1,"")</f>
        <v/>
      </c>
      <c r="AM20">
        <f>IF($C20="","",IF(OR($Q20=TRUE(),$Q20="TRUE"),1,0))</f>
        <v/>
      </c>
      <c r="AN20">
        <f>IF($C20="","",IF($Z20="Yes",1,0))</f>
        <v/>
      </c>
      <c r="AO20">
        <f>IF($AK20=1,IFERROR(IF(VALUE($C20)&lt;100000000,VALUE($C20),1000000000),IFERROR(IF(VALUE(MID($C20,2,20))&lt;100000000,VALUE(MID($C20,2,20)),1000000000),1000000000))+ROW()/100000,"")</f>
        <v/>
      </c>
    </row>
    <row r="21">
      <c r="F21" s="11" t="n"/>
      <c r="N21" s="7">
        <f>IF($C21="","",M21*U21/100)</f>
        <v/>
      </c>
      <c r="T21" s="7" t="n"/>
      <c r="U21" s="7" t="n"/>
      <c r="V21" s="7">
        <f>IF($C21="","",U21*AA21/100)</f>
        <v/>
      </c>
      <c r="W21" s="7">
        <f>IF($C21="","",U21-V21)</f>
        <v/>
      </c>
      <c r="X21" s="7">
        <f>IF($C21="","",W21-N21)</f>
        <v/>
      </c>
      <c r="AA21">
        <f>IF($C21="","",IF($AN21=1,0,IF($AM21=1,Settings!$C$6,Settings!$C$7))*100)</f>
        <v/>
      </c>
      <c r="AE21" s="7" t="n"/>
      <c r="AH21" s="11" t="n"/>
      <c r="AJ21">
        <f>IF($C21="","",$C21&amp;"|"&amp;$D21&amp;"")</f>
        <v/>
      </c>
      <c r="AK21">
        <f>IF($C21="","",IF(COUNTIF($AJ$2:$AJ21,$AJ21)=1,1,0))</f>
        <v/>
      </c>
      <c r="AL21">
        <f>IF($AK21=1,SUMPRODUCT(--($AO$2:$AO$1501&lt;$AO21))+1,"")</f>
        <v/>
      </c>
      <c r="AM21">
        <f>IF($C21="","",IF(OR($Q21=TRUE(),$Q21="TRUE"),1,0))</f>
        <v/>
      </c>
      <c r="AN21">
        <f>IF($C21="","",IF($Z21="Yes",1,0))</f>
        <v/>
      </c>
      <c r="AO21">
        <f>IF($AK21=1,IFERROR(IF(VALUE($C21)&lt;100000000,VALUE($C21),1000000000),IFERROR(IF(VALUE(MID($C21,2,20))&lt;100000000,VALUE(MID($C21,2,20)),1000000000),1000000000))+ROW()/100000,"")</f>
        <v/>
      </c>
    </row>
    <row r="22">
      <c r="F22" s="11" t="n"/>
      <c r="N22" s="7">
        <f>IF($C22="","",M22*U22/100)</f>
        <v/>
      </c>
      <c r="T22" s="7" t="n"/>
      <c r="U22" s="7" t="n"/>
      <c r="V22" s="7">
        <f>IF($C22="","",U22*AA22/100)</f>
        <v/>
      </c>
      <c r="W22" s="7">
        <f>IF($C22="","",U22-V22)</f>
        <v/>
      </c>
      <c r="X22" s="7">
        <f>IF($C22="","",W22-N22)</f>
        <v/>
      </c>
      <c r="AA22">
        <f>IF($C22="","",IF($AN22=1,0,IF($AM22=1,Settings!$C$6,Settings!$C$7))*100)</f>
        <v/>
      </c>
      <c r="AE22" s="7" t="n"/>
      <c r="AH22" s="11" t="n"/>
      <c r="AJ22">
        <f>IF($C22="","",$C22&amp;"|"&amp;$D22&amp;"")</f>
        <v/>
      </c>
      <c r="AK22">
        <f>IF($C22="","",IF(COUNTIF($AJ$2:$AJ22,$AJ22)=1,1,0))</f>
        <v/>
      </c>
      <c r="AL22">
        <f>IF($AK22=1,SUMPRODUCT(--($AO$2:$AO$1501&lt;$AO22))+1,"")</f>
        <v/>
      </c>
      <c r="AM22">
        <f>IF($C22="","",IF(OR($Q22=TRUE(),$Q22="TRUE"),1,0))</f>
        <v/>
      </c>
      <c r="AN22">
        <f>IF($C22="","",IF($Z22="Yes",1,0))</f>
        <v/>
      </c>
      <c r="AO22">
        <f>IF($AK22=1,IFERROR(IF(VALUE($C22)&lt;100000000,VALUE($C22),1000000000),IFERROR(IF(VALUE(MID($C22,2,20))&lt;100000000,VALUE(MID($C22,2,20)),1000000000),1000000000))+ROW()/100000,"")</f>
        <v/>
      </c>
    </row>
    <row r="23">
      <c r="F23" s="11" t="n"/>
      <c r="N23" s="7">
        <f>IF($C23="","",M23*U23/100)</f>
        <v/>
      </c>
      <c r="T23" s="7" t="n"/>
      <c r="U23" s="7" t="n"/>
      <c r="V23" s="7">
        <f>IF($C23="","",U23*AA23/100)</f>
        <v/>
      </c>
      <c r="W23" s="7">
        <f>IF($C23="","",U23-V23)</f>
        <v/>
      </c>
      <c r="X23" s="7">
        <f>IF($C23="","",W23-N23)</f>
        <v/>
      </c>
      <c r="AA23">
        <f>IF($C23="","",IF($AN23=1,0,IF($AM23=1,Settings!$C$6,Settings!$C$7))*100)</f>
        <v/>
      </c>
      <c r="AE23" s="7" t="n"/>
      <c r="AH23" s="11" t="n"/>
      <c r="AJ23">
        <f>IF($C23="","",$C23&amp;"|"&amp;$D23&amp;"")</f>
        <v/>
      </c>
      <c r="AK23">
        <f>IF($C23="","",IF(COUNTIF($AJ$2:$AJ23,$AJ23)=1,1,0))</f>
        <v/>
      </c>
      <c r="AL23">
        <f>IF($AK23=1,SUMPRODUCT(--($AO$2:$AO$1501&lt;$AO23))+1,"")</f>
        <v/>
      </c>
      <c r="AM23">
        <f>IF($C23="","",IF(OR($Q23=TRUE(),$Q23="TRUE"),1,0))</f>
        <v/>
      </c>
      <c r="AN23">
        <f>IF($C23="","",IF($Z23="Yes",1,0))</f>
        <v/>
      </c>
      <c r="AO23">
        <f>IF($AK23=1,IFERROR(IF(VALUE($C23)&lt;100000000,VALUE($C23),1000000000),IFERROR(IF(VALUE(MID($C23,2,20))&lt;100000000,VALUE(MID($C23,2,20)),1000000000),1000000000))+ROW()/100000,"")</f>
        <v/>
      </c>
    </row>
    <row r="24">
      <c r="F24" s="11" t="n"/>
      <c r="N24" s="7">
        <f>IF($C24="","",M24*U24/100)</f>
        <v/>
      </c>
      <c r="T24" s="7" t="n"/>
      <c r="U24" s="7" t="n"/>
      <c r="V24" s="7">
        <f>IF($C24="","",U24*AA24/100)</f>
        <v/>
      </c>
      <c r="W24" s="7">
        <f>IF($C24="","",U24-V24)</f>
        <v/>
      </c>
      <c r="X24" s="7">
        <f>IF($C24="","",W24-N24)</f>
        <v/>
      </c>
      <c r="AA24">
        <f>IF($C24="","",IF($AN24=1,0,IF($AM24=1,Settings!$C$6,Settings!$C$7))*100)</f>
        <v/>
      </c>
      <c r="AE24" s="7" t="n"/>
      <c r="AH24" s="11" t="n"/>
      <c r="AJ24">
        <f>IF($C24="","",$C24&amp;"|"&amp;$D24&amp;"")</f>
        <v/>
      </c>
      <c r="AK24">
        <f>IF($C24="","",IF(COUNTIF($AJ$2:$AJ24,$AJ24)=1,1,0))</f>
        <v/>
      </c>
      <c r="AL24">
        <f>IF($AK24=1,SUMPRODUCT(--($AO$2:$AO$1501&lt;$AO24))+1,"")</f>
        <v/>
      </c>
      <c r="AM24">
        <f>IF($C24="","",IF(OR($Q24=TRUE(),$Q24="TRUE"),1,0))</f>
        <v/>
      </c>
      <c r="AN24">
        <f>IF($C24="","",IF($Z24="Yes",1,0))</f>
        <v/>
      </c>
      <c r="AO24">
        <f>IF($AK24=1,IFERROR(IF(VALUE($C24)&lt;100000000,VALUE($C24),1000000000),IFERROR(IF(VALUE(MID($C24,2,20))&lt;100000000,VALUE(MID($C24,2,20)),1000000000),1000000000))+ROW()/100000,"")</f>
        <v/>
      </c>
    </row>
    <row r="25">
      <c r="F25" s="11" t="n"/>
      <c r="N25" s="7">
        <f>IF($C25="","",M25*U25/100)</f>
        <v/>
      </c>
      <c r="T25" s="7" t="n"/>
      <c r="U25" s="7" t="n"/>
      <c r="V25" s="7">
        <f>IF($C25="","",U25*AA25/100)</f>
        <v/>
      </c>
      <c r="W25" s="7">
        <f>IF($C25="","",U25-V25)</f>
        <v/>
      </c>
      <c r="X25" s="7">
        <f>IF($C25="","",W25-N25)</f>
        <v/>
      </c>
      <c r="AA25">
        <f>IF($C25="","",IF($AN25=1,0,IF($AM25=1,Settings!$C$6,Settings!$C$7))*100)</f>
        <v/>
      </c>
      <c r="AE25" s="7" t="n"/>
      <c r="AH25" s="11" t="n"/>
      <c r="AJ25">
        <f>IF($C25="","",$C25&amp;"|"&amp;$D25&amp;"")</f>
        <v/>
      </c>
      <c r="AK25">
        <f>IF($C25="","",IF(COUNTIF($AJ$2:$AJ25,$AJ25)=1,1,0))</f>
        <v/>
      </c>
      <c r="AL25">
        <f>IF($AK25=1,SUMPRODUCT(--($AO$2:$AO$1501&lt;$AO25))+1,"")</f>
        <v/>
      </c>
      <c r="AM25">
        <f>IF($C25="","",IF(OR($Q25=TRUE(),$Q25="TRUE"),1,0))</f>
        <v/>
      </c>
      <c r="AN25">
        <f>IF($C25="","",IF($Z25="Yes",1,0))</f>
        <v/>
      </c>
      <c r="AO25">
        <f>IF($AK25=1,IFERROR(IF(VALUE($C25)&lt;100000000,VALUE($C25),1000000000),IFERROR(IF(VALUE(MID($C25,2,20))&lt;100000000,VALUE(MID($C25,2,20)),1000000000),1000000000))+ROW()/100000,"")</f>
        <v/>
      </c>
    </row>
    <row r="26">
      <c r="F26" s="11" t="n"/>
      <c r="N26" s="7">
        <f>IF($C26="","",M26*U26/100)</f>
        <v/>
      </c>
      <c r="T26" s="7" t="n"/>
      <c r="U26" s="7" t="n"/>
      <c r="V26" s="7">
        <f>IF($C26="","",U26*AA26/100)</f>
        <v/>
      </c>
      <c r="W26" s="7">
        <f>IF($C26="","",U26-V26)</f>
        <v/>
      </c>
      <c r="X26" s="7">
        <f>IF($C26="","",W26-N26)</f>
        <v/>
      </c>
      <c r="AA26">
        <f>IF($C26="","",IF($AN26=1,0,IF($AM26=1,Settings!$C$6,Settings!$C$7))*100)</f>
        <v/>
      </c>
      <c r="AE26" s="7" t="n"/>
      <c r="AH26" s="11" t="n"/>
      <c r="AJ26">
        <f>IF($C26="","",$C26&amp;"|"&amp;$D26&amp;"")</f>
        <v/>
      </c>
      <c r="AK26">
        <f>IF($C26="","",IF(COUNTIF($AJ$2:$AJ26,$AJ26)=1,1,0))</f>
        <v/>
      </c>
      <c r="AL26">
        <f>IF($AK26=1,SUMPRODUCT(--($AO$2:$AO$1501&lt;$AO26))+1,"")</f>
        <v/>
      </c>
      <c r="AM26">
        <f>IF($C26="","",IF(OR($Q26=TRUE(),$Q26="TRUE"),1,0))</f>
        <v/>
      </c>
      <c r="AN26">
        <f>IF($C26="","",IF($Z26="Yes",1,0))</f>
        <v/>
      </c>
      <c r="AO26">
        <f>IF($AK26=1,IFERROR(IF(VALUE($C26)&lt;100000000,VALUE($C26),1000000000),IFERROR(IF(VALUE(MID($C26,2,20))&lt;100000000,VALUE(MID($C26,2,20)),1000000000),1000000000))+ROW()/100000,"")</f>
        <v/>
      </c>
    </row>
    <row r="27">
      <c r="F27" s="11" t="n"/>
      <c r="N27" s="7">
        <f>IF($C27="","",M27*U27/100)</f>
        <v/>
      </c>
      <c r="T27" s="7" t="n"/>
      <c r="U27" s="7" t="n"/>
      <c r="V27" s="7">
        <f>IF($C27="","",U27*AA27/100)</f>
        <v/>
      </c>
      <c r="W27" s="7">
        <f>IF($C27="","",U27-V27)</f>
        <v/>
      </c>
      <c r="X27" s="7">
        <f>IF($C27="","",W27-N27)</f>
        <v/>
      </c>
      <c r="AA27">
        <f>IF($C27="","",IF($AN27=1,0,IF($AM27=1,Settings!$C$6,Settings!$C$7))*100)</f>
        <v/>
      </c>
      <c r="AE27" s="7" t="n"/>
      <c r="AH27" s="11" t="n"/>
      <c r="AJ27">
        <f>IF($C27="","",$C27&amp;"|"&amp;$D27&amp;"")</f>
        <v/>
      </c>
      <c r="AK27">
        <f>IF($C27="","",IF(COUNTIF($AJ$2:$AJ27,$AJ27)=1,1,0))</f>
        <v/>
      </c>
      <c r="AL27">
        <f>IF($AK27=1,SUMPRODUCT(--($AO$2:$AO$1501&lt;$AO27))+1,"")</f>
        <v/>
      </c>
      <c r="AM27">
        <f>IF($C27="","",IF(OR($Q27=TRUE(),$Q27="TRUE"),1,0))</f>
        <v/>
      </c>
      <c r="AN27">
        <f>IF($C27="","",IF($Z27="Yes",1,0))</f>
        <v/>
      </c>
      <c r="AO27">
        <f>IF($AK27=1,IFERROR(IF(VALUE($C27)&lt;100000000,VALUE($C27),1000000000),IFERROR(IF(VALUE(MID($C27,2,20))&lt;100000000,VALUE(MID($C27,2,20)),1000000000),1000000000))+ROW()/100000,"")</f>
        <v/>
      </c>
    </row>
    <row r="28">
      <c r="F28" s="11" t="n"/>
      <c r="N28" s="7">
        <f>IF($C28="","",M28*U28/100)</f>
        <v/>
      </c>
      <c r="T28" s="7" t="n"/>
      <c r="U28" s="7" t="n"/>
      <c r="V28" s="7">
        <f>IF($C28="","",U28*AA28/100)</f>
        <v/>
      </c>
      <c r="W28" s="7">
        <f>IF($C28="","",U28-V28)</f>
        <v/>
      </c>
      <c r="X28" s="7">
        <f>IF($C28="","",W28-N28)</f>
        <v/>
      </c>
      <c r="AA28">
        <f>IF($C28="","",IF($AN28=1,0,IF($AM28=1,Settings!$C$6,Settings!$C$7))*100)</f>
        <v/>
      </c>
      <c r="AE28" s="7" t="n"/>
      <c r="AH28" s="11" t="n"/>
      <c r="AJ28">
        <f>IF($C28="","",$C28&amp;"|"&amp;$D28&amp;"")</f>
        <v/>
      </c>
      <c r="AK28">
        <f>IF($C28="","",IF(COUNTIF($AJ$2:$AJ28,$AJ28)=1,1,0))</f>
        <v/>
      </c>
      <c r="AL28">
        <f>IF($AK28=1,SUMPRODUCT(--($AO$2:$AO$1501&lt;$AO28))+1,"")</f>
        <v/>
      </c>
      <c r="AM28">
        <f>IF($C28="","",IF(OR($Q28=TRUE(),$Q28="TRUE"),1,0))</f>
        <v/>
      </c>
      <c r="AN28">
        <f>IF($C28="","",IF($Z28="Yes",1,0))</f>
        <v/>
      </c>
      <c r="AO28">
        <f>IF($AK28=1,IFERROR(IF(VALUE($C28)&lt;100000000,VALUE($C28),1000000000),IFERROR(IF(VALUE(MID($C28,2,20))&lt;100000000,VALUE(MID($C28,2,20)),1000000000),1000000000))+ROW()/100000,"")</f>
        <v/>
      </c>
    </row>
    <row r="29">
      <c r="F29" s="11" t="n"/>
      <c r="N29" s="7">
        <f>IF($C29="","",M29*U29/100)</f>
        <v/>
      </c>
      <c r="T29" s="7" t="n"/>
      <c r="U29" s="7" t="n"/>
      <c r="V29" s="7">
        <f>IF($C29="","",U29*AA29/100)</f>
        <v/>
      </c>
      <c r="W29" s="7">
        <f>IF($C29="","",U29-V29)</f>
        <v/>
      </c>
      <c r="X29" s="7">
        <f>IF($C29="","",W29-N29)</f>
        <v/>
      </c>
      <c r="AA29">
        <f>IF($C29="","",IF($AN29=1,0,IF($AM29=1,Settings!$C$6,Settings!$C$7))*100)</f>
        <v/>
      </c>
      <c r="AE29" s="7" t="n"/>
      <c r="AH29" s="11" t="n"/>
      <c r="AJ29">
        <f>IF($C29="","",$C29&amp;"|"&amp;$D29&amp;"")</f>
        <v/>
      </c>
      <c r="AK29">
        <f>IF($C29="","",IF(COUNTIF($AJ$2:$AJ29,$AJ29)=1,1,0))</f>
        <v/>
      </c>
      <c r="AL29">
        <f>IF($AK29=1,SUMPRODUCT(--($AO$2:$AO$1501&lt;$AO29))+1,"")</f>
        <v/>
      </c>
      <c r="AM29">
        <f>IF($C29="","",IF(OR($Q29=TRUE(),$Q29="TRUE"),1,0))</f>
        <v/>
      </c>
      <c r="AN29">
        <f>IF($C29="","",IF($Z29="Yes",1,0))</f>
        <v/>
      </c>
      <c r="AO29">
        <f>IF($AK29=1,IFERROR(IF(VALUE($C29)&lt;100000000,VALUE($C29),1000000000),IFERROR(IF(VALUE(MID($C29,2,20))&lt;100000000,VALUE(MID($C29,2,20)),1000000000),1000000000))+ROW()/100000,"")</f>
        <v/>
      </c>
    </row>
    <row r="30">
      <c r="F30" s="11" t="n"/>
      <c r="N30" s="7">
        <f>IF($C30="","",M30*U30/100)</f>
        <v/>
      </c>
      <c r="T30" s="7" t="n"/>
      <c r="U30" s="7" t="n"/>
      <c r="V30" s="7">
        <f>IF($C30="","",U30*AA30/100)</f>
        <v/>
      </c>
      <c r="W30" s="7">
        <f>IF($C30="","",U30-V30)</f>
        <v/>
      </c>
      <c r="X30" s="7">
        <f>IF($C30="","",W30-N30)</f>
        <v/>
      </c>
      <c r="AA30">
        <f>IF($C30="","",IF($AN30=1,0,IF($AM30=1,Settings!$C$6,Settings!$C$7))*100)</f>
        <v/>
      </c>
      <c r="AE30" s="7" t="n"/>
      <c r="AH30" s="11" t="n"/>
      <c r="AJ30">
        <f>IF($C30="","",$C30&amp;"|"&amp;$D30&amp;"")</f>
        <v/>
      </c>
      <c r="AK30">
        <f>IF($C30="","",IF(COUNTIF($AJ$2:$AJ30,$AJ30)=1,1,0))</f>
        <v/>
      </c>
      <c r="AL30">
        <f>IF($AK30=1,SUMPRODUCT(--($AO$2:$AO$1501&lt;$AO30))+1,"")</f>
        <v/>
      </c>
      <c r="AM30">
        <f>IF($C30="","",IF(OR($Q30=TRUE(),$Q30="TRUE"),1,0))</f>
        <v/>
      </c>
      <c r="AN30">
        <f>IF($C30="","",IF($Z30="Yes",1,0))</f>
        <v/>
      </c>
      <c r="AO30">
        <f>IF($AK30=1,IFERROR(IF(VALUE($C30)&lt;100000000,VALUE($C30),1000000000),IFERROR(IF(VALUE(MID($C30,2,20))&lt;100000000,VALUE(MID($C30,2,20)),1000000000),1000000000))+ROW()/100000,"")</f>
        <v/>
      </c>
    </row>
    <row r="31">
      <c r="F31" s="11" t="n"/>
      <c r="N31" s="7">
        <f>IF($C31="","",M31*U31/100)</f>
        <v/>
      </c>
      <c r="T31" s="7" t="n"/>
      <c r="U31" s="7" t="n"/>
      <c r="V31" s="7">
        <f>IF($C31="","",U31*AA31/100)</f>
        <v/>
      </c>
      <c r="W31" s="7">
        <f>IF($C31="","",U31-V31)</f>
        <v/>
      </c>
      <c r="X31" s="7">
        <f>IF($C31="","",W31-N31)</f>
        <v/>
      </c>
      <c r="AA31">
        <f>IF($C31="","",IF($AN31=1,0,IF($AM31=1,Settings!$C$6,Settings!$C$7))*100)</f>
        <v/>
      </c>
      <c r="AE31" s="7" t="n"/>
      <c r="AH31" s="11" t="n"/>
      <c r="AJ31">
        <f>IF($C31="","",$C31&amp;"|"&amp;$D31&amp;"")</f>
        <v/>
      </c>
      <c r="AK31">
        <f>IF($C31="","",IF(COUNTIF($AJ$2:$AJ31,$AJ31)=1,1,0))</f>
        <v/>
      </c>
      <c r="AL31">
        <f>IF($AK31=1,SUMPRODUCT(--($AO$2:$AO$1501&lt;$AO31))+1,"")</f>
        <v/>
      </c>
      <c r="AM31">
        <f>IF($C31="","",IF(OR($Q31=TRUE(),$Q31="TRUE"),1,0))</f>
        <v/>
      </c>
      <c r="AN31">
        <f>IF($C31="","",IF($Z31="Yes",1,0))</f>
        <v/>
      </c>
      <c r="AO31">
        <f>IF($AK31=1,IFERROR(IF(VALUE($C31)&lt;100000000,VALUE($C31),1000000000),IFERROR(IF(VALUE(MID($C31,2,20))&lt;100000000,VALUE(MID($C31,2,20)),1000000000),1000000000))+ROW()/100000,"")</f>
        <v/>
      </c>
    </row>
    <row r="32">
      <c r="F32" s="11" t="n"/>
      <c r="N32" s="7">
        <f>IF($C32="","",M32*U32/100)</f>
        <v/>
      </c>
      <c r="T32" s="7" t="n"/>
      <c r="U32" s="7" t="n"/>
      <c r="V32" s="7">
        <f>IF($C32="","",U32*AA32/100)</f>
        <v/>
      </c>
      <c r="W32" s="7">
        <f>IF($C32="","",U32-V32)</f>
        <v/>
      </c>
      <c r="X32" s="7">
        <f>IF($C32="","",W32-N32)</f>
        <v/>
      </c>
      <c r="AA32">
        <f>IF($C32="","",IF($AN32=1,0,IF($AM32=1,Settings!$C$6,Settings!$C$7))*100)</f>
        <v/>
      </c>
      <c r="AE32" s="7" t="n"/>
      <c r="AH32" s="11" t="n"/>
      <c r="AJ32">
        <f>IF($C32="","",$C32&amp;"|"&amp;$D32&amp;"")</f>
        <v/>
      </c>
      <c r="AK32">
        <f>IF($C32="","",IF(COUNTIF($AJ$2:$AJ32,$AJ32)=1,1,0))</f>
        <v/>
      </c>
      <c r="AL32">
        <f>IF($AK32=1,SUMPRODUCT(--($AO$2:$AO$1501&lt;$AO32))+1,"")</f>
        <v/>
      </c>
      <c r="AM32">
        <f>IF($C32="","",IF(OR($Q32=TRUE(),$Q32="TRUE"),1,0))</f>
        <v/>
      </c>
      <c r="AN32">
        <f>IF($C32="","",IF($Z32="Yes",1,0))</f>
        <v/>
      </c>
      <c r="AO32">
        <f>IF($AK32=1,IFERROR(IF(VALUE($C32)&lt;100000000,VALUE($C32),1000000000),IFERROR(IF(VALUE(MID($C32,2,20))&lt;100000000,VALUE(MID($C32,2,20)),1000000000),1000000000))+ROW()/100000,"")</f>
        <v/>
      </c>
    </row>
    <row r="33">
      <c r="F33" s="11" t="n"/>
      <c r="N33" s="7">
        <f>IF($C33="","",M33*U33/100)</f>
        <v/>
      </c>
      <c r="T33" s="7" t="n"/>
      <c r="U33" s="7" t="n"/>
      <c r="V33" s="7">
        <f>IF($C33="","",U33*AA33/100)</f>
        <v/>
      </c>
      <c r="W33" s="7">
        <f>IF($C33="","",U33-V33)</f>
        <v/>
      </c>
      <c r="X33" s="7">
        <f>IF($C33="","",W33-N33)</f>
        <v/>
      </c>
      <c r="AA33">
        <f>IF($C33="","",IF($AN33=1,0,IF($AM33=1,Settings!$C$6,Settings!$C$7))*100)</f>
        <v/>
      </c>
      <c r="AE33" s="7" t="n"/>
      <c r="AH33" s="11" t="n"/>
      <c r="AJ33">
        <f>IF($C33="","",$C33&amp;"|"&amp;$D33&amp;"")</f>
        <v/>
      </c>
      <c r="AK33">
        <f>IF($C33="","",IF(COUNTIF($AJ$2:$AJ33,$AJ33)=1,1,0))</f>
        <v/>
      </c>
      <c r="AL33">
        <f>IF($AK33=1,SUMPRODUCT(--($AO$2:$AO$1501&lt;$AO33))+1,"")</f>
        <v/>
      </c>
      <c r="AM33">
        <f>IF($C33="","",IF(OR($Q33=TRUE(),$Q33="TRUE"),1,0))</f>
        <v/>
      </c>
      <c r="AN33">
        <f>IF($C33="","",IF($Z33="Yes",1,0))</f>
        <v/>
      </c>
      <c r="AO33">
        <f>IF($AK33=1,IFERROR(IF(VALUE($C33)&lt;100000000,VALUE($C33),1000000000),IFERROR(IF(VALUE(MID($C33,2,20))&lt;100000000,VALUE(MID($C33,2,20)),1000000000),1000000000))+ROW()/100000,"")</f>
        <v/>
      </c>
    </row>
    <row r="34">
      <c r="F34" s="11" t="n"/>
      <c r="N34" s="7">
        <f>IF($C34="","",M34*U34/100)</f>
        <v/>
      </c>
      <c r="T34" s="7" t="n"/>
      <c r="U34" s="7" t="n"/>
      <c r="V34" s="7">
        <f>IF($C34="","",U34*AA34/100)</f>
        <v/>
      </c>
      <c r="W34" s="7">
        <f>IF($C34="","",U34-V34)</f>
        <v/>
      </c>
      <c r="X34" s="7">
        <f>IF($C34="","",W34-N34)</f>
        <v/>
      </c>
      <c r="AA34">
        <f>IF($C34="","",IF($AN34=1,0,IF($AM34=1,Settings!$C$6,Settings!$C$7))*100)</f>
        <v/>
      </c>
      <c r="AE34" s="7" t="n"/>
      <c r="AH34" s="11" t="n"/>
      <c r="AJ34">
        <f>IF($C34="","",$C34&amp;"|"&amp;$D34&amp;"")</f>
        <v/>
      </c>
      <c r="AK34">
        <f>IF($C34="","",IF(COUNTIF($AJ$2:$AJ34,$AJ34)=1,1,0))</f>
        <v/>
      </c>
      <c r="AL34">
        <f>IF($AK34=1,SUMPRODUCT(--($AO$2:$AO$1501&lt;$AO34))+1,"")</f>
        <v/>
      </c>
      <c r="AM34">
        <f>IF($C34="","",IF(OR($Q34=TRUE(),$Q34="TRUE"),1,0))</f>
        <v/>
      </c>
      <c r="AN34">
        <f>IF($C34="","",IF($Z34="Yes",1,0))</f>
        <v/>
      </c>
      <c r="AO34">
        <f>IF($AK34=1,IFERROR(IF(VALUE($C34)&lt;100000000,VALUE($C34),1000000000),IFERROR(IF(VALUE(MID($C34,2,20))&lt;100000000,VALUE(MID($C34,2,20)),1000000000),1000000000))+ROW()/100000,"")</f>
        <v/>
      </c>
    </row>
    <row r="35">
      <c r="F35" s="11" t="n"/>
      <c r="N35" s="7">
        <f>IF($C35="","",M35*U35/100)</f>
        <v/>
      </c>
      <c r="T35" s="7" t="n"/>
      <c r="U35" s="7" t="n"/>
      <c r="V35" s="7">
        <f>IF($C35="","",U35*AA35/100)</f>
        <v/>
      </c>
      <c r="W35" s="7">
        <f>IF($C35="","",U35-V35)</f>
        <v/>
      </c>
      <c r="X35" s="7">
        <f>IF($C35="","",W35-N35)</f>
        <v/>
      </c>
      <c r="AA35">
        <f>IF($C35="","",IF($AN35=1,0,IF($AM35=1,Settings!$C$6,Settings!$C$7))*100)</f>
        <v/>
      </c>
      <c r="AE35" s="7" t="n"/>
      <c r="AH35" s="11" t="n"/>
      <c r="AJ35">
        <f>IF($C35="","",$C35&amp;"|"&amp;$D35&amp;"")</f>
        <v/>
      </c>
      <c r="AK35">
        <f>IF($C35="","",IF(COUNTIF($AJ$2:$AJ35,$AJ35)=1,1,0))</f>
        <v/>
      </c>
      <c r="AL35">
        <f>IF($AK35=1,SUMPRODUCT(--($AO$2:$AO$1501&lt;$AO35))+1,"")</f>
        <v/>
      </c>
      <c r="AM35">
        <f>IF($C35="","",IF(OR($Q35=TRUE(),$Q35="TRUE"),1,0))</f>
        <v/>
      </c>
      <c r="AN35">
        <f>IF($C35="","",IF($Z35="Yes",1,0))</f>
        <v/>
      </c>
      <c r="AO35">
        <f>IF($AK35=1,IFERROR(IF(VALUE($C35)&lt;100000000,VALUE($C35),1000000000),IFERROR(IF(VALUE(MID($C35,2,20))&lt;100000000,VALUE(MID($C35,2,20)),1000000000),1000000000))+ROW()/100000,"")</f>
        <v/>
      </c>
    </row>
    <row r="36">
      <c r="F36" s="11" t="n"/>
      <c r="N36" s="7">
        <f>IF($C36="","",M36*U36/100)</f>
        <v/>
      </c>
      <c r="T36" s="7" t="n"/>
      <c r="U36" s="7" t="n"/>
      <c r="V36" s="7">
        <f>IF($C36="","",U36*AA36/100)</f>
        <v/>
      </c>
      <c r="W36" s="7">
        <f>IF($C36="","",U36-V36)</f>
        <v/>
      </c>
      <c r="X36" s="7">
        <f>IF($C36="","",W36-N36)</f>
        <v/>
      </c>
      <c r="AA36">
        <f>IF($C36="","",IF($AN36=1,0,IF($AM36=1,Settings!$C$6,Settings!$C$7))*100)</f>
        <v/>
      </c>
      <c r="AE36" s="7" t="n"/>
      <c r="AH36" s="11" t="n"/>
      <c r="AJ36">
        <f>IF($C36="","",$C36&amp;"|"&amp;$D36&amp;"")</f>
        <v/>
      </c>
      <c r="AK36">
        <f>IF($C36="","",IF(COUNTIF($AJ$2:$AJ36,$AJ36)=1,1,0))</f>
        <v/>
      </c>
      <c r="AL36">
        <f>IF($AK36=1,SUMPRODUCT(--($AO$2:$AO$1501&lt;$AO36))+1,"")</f>
        <v/>
      </c>
      <c r="AM36">
        <f>IF($C36="","",IF(OR($Q36=TRUE(),$Q36="TRUE"),1,0))</f>
        <v/>
      </c>
      <c r="AN36">
        <f>IF($C36="","",IF($Z36="Yes",1,0))</f>
        <v/>
      </c>
      <c r="AO36">
        <f>IF($AK36=1,IFERROR(IF(VALUE($C36)&lt;100000000,VALUE($C36),1000000000),IFERROR(IF(VALUE(MID($C36,2,20))&lt;100000000,VALUE(MID($C36,2,20)),1000000000),1000000000))+ROW()/100000,"")</f>
        <v/>
      </c>
    </row>
    <row r="37">
      <c r="F37" s="11" t="n"/>
      <c r="N37" s="7">
        <f>IF($C37="","",M37*U37/100)</f>
        <v/>
      </c>
      <c r="T37" s="7" t="n"/>
      <c r="U37" s="7" t="n"/>
      <c r="V37" s="7">
        <f>IF($C37="","",U37*AA37/100)</f>
        <v/>
      </c>
      <c r="W37" s="7">
        <f>IF($C37="","",U37-V37)</f>
        <v/>
      </c>
      <c r="X37" s="7">
        <f>IF($C37="","",W37-N37)</f>
        <v/>
      </c>
      <c r="AA37">
        <f>IF($C37="","",IF($AN37=1,0,IF($AM37=1,Settings!$C$6,Settings!$C$7))*100)</f>
        <v/>
      </c>
      <c r="AE37" s="7" t="n"/>
      <c r="AH37" s="11" t="n"/>
      <c r="AJ37">
        <f>IF($C37="","",$C37&amp;"|"&amp;$D37&amp;"")</f>
        <v/>
      </c>
      <c r="AK37">
        <f>IF($C37="","",IF(COUNTIF($AJ$2:$AJ37,$AJ37)=1,1,0))</f>
        <v/>
      </c>
      <c r="AL37">
        <f>IF($AK37=1,SUMPRODUCT(--($AO$2:$AO$1501&lt;$AO37))+1,"")</f>
        <v/>
      </c>
      <c r="AM37">
        <f>IF($C37="","",IF(OR($Q37=TRUE(),$Q37="TRUE"),1,0))</f>
        <v/>
      </c>
      <c r="AN37">
        <f>IF($C37="","",IF($Z37="Yes",1,0))</f>
        <v/>
      </c>
      <c r="AO37">
        <f>IF($AK37=1,IFERROR(IF(VALUE($C37)&lt;100000000,VALUE($C37),1000000000),IFERROR(IF(VALUE(MID($C37,2,20))&lt;100000000,VALUE(MID($C37,2,20)),1000000000),1000000000))+ROW()/100000,"")</f>
        <v/>
      </c>
    </row>
    <row r="38">
      <c r="F38" s="11" t="n"/>
      <c r="N38" s="7">
        <f>IF($C38="","",M38*U38/100)</f>
        <v/>
      </c>
      <c r="T38" s="7" t="n"/>
      <c r="U38" s="7" t="n"/>
      <c r="V38" s="7">
        <f>IF($C38="","",U38*AA38/100)</f>
        <v/>
      </c>
      <c r="W38" s="7">
        <f>IF($C38="","",U38-V38)</f>
        <v/>
      </c>
      <c r="X38" s="7">
        <f>IF($C38="","",W38-N38)</f>
        <v/>
      </c>
      <c r="AA38">
        <f>IF($C38="","",IF($AN38=1,0,IF($AM38=1,Settings!$C$6,Settings!$C$7))*100)</f>
        <v/>
      </c>
      <c r="AE38" s="7" t="n"/>
      <c r="AH38" s="11" t="n"/>
      <c r="AJ38">
        <f>IF($C38="","",$C38&amp;"|"&amp;$D38&amp;"")</f>
        <v/>
      </c>
      <c r="AK38">
        <f>IF($C38="","",IF(COUNTIF($AJ$2:$AJ38,$AJ38)=1,1,0))</f>
        <v/>
      </c>
      <c r="AL38">
        <f>IF($AK38=1,SUMPRODUCT(--($AO$2:$AO$1501&lt;$AO38))+1,"")</f>
        <v/>
      </c>
      <c r="AM38">
        <f>IF($C38="","",IF(OR($Q38=TRUE(),$Q38="TRUE"),1,0))</f>
        <v/>
      </c>
      <c r="AN38">
        <f>IF($C38="","",IF($Z38="Yes",1,0))</f>
        <v/>
      </c>
      <c r="AO38">
        <f>IF($AK38=1,IFERROR(IF(VALUE($C38)&lt;100000000,VALUE($C38),1000000000),IFERROR(IF(VALUE(MID($C38,2,20))&lt;100000000,VALUE(MID($C38,2,20)),1000000000),1000000000))+ROW()/100000,"")</f>
        <v/>
      </c>
    </row>
    <row r="39">
      <c r="F39" s="11" t="n"/>
      <c r="N39" s="7">
        <f>IF($C39="","",M39*U39/100)</f>
        <v/>
      </c>
      <c r="T39" s="7" t="n"/>
      <c r="U39" s="7" t="n"/>
      <c r="V39" s="7">
        <f>IF($C39="","",U39*AA39/100)</f>
        <v/>
      </c>
      <c r="W39" s="7">
        <f>IF($C39="","",U39-V39)</f>
        <v/>
      </c>
      <c r="X39" s="7">
        <f>IF($C39="","",W39-N39)</f>
        <v/>
      </c>
      <c r="AA39">
        <f>IF($C39="","",IF($AN39=1,0,IF($AM39=1,Settings!$C$6,Settings!$C$7))*100)</f>
        <v/>
      </c>
      <c r="AE39" s="7" t="n"/>
      <c r="AH39" s="11" t="n"/>
      <c r="AJ39">
        <f>IF($C39="","",$C39&amp;"|"&amp;$D39&amp;"")</f>
        <v/>
      </c>
      <c r="AK39">
        <f>IF($C39="","",IF(COUNTIF($AJ$2:$AJ39,$AJ39)=1,1,0))</f>
        <v/>
      </c>
      <c r="AL39">
        <f>IF($AK39=1,SUMPRODUCT(--($AO$2:$AO$1501&lt;$AO39))+1,"")</f>
        <v/>
      </c>
      <c r="AM39">
        <f>IF($C39="","",IF(OR($Q39=TRUE(),$Q39="TRUE"),1,0))</f>
        <v/>
      </c>
      <c r="AN39">
        <f>IF($C39="","",IF($Z39="Yes",1,0))</f>
        <v/>
      </c>
      <c r="AO39">
        <f>IF($AK39=1,IFERROR(IF(VALUE($C39)&lt;100000000,VALUE($C39),1000000000),IFERROR(IF(VALUE(MID($C39,2,20))&lt;100000000,VALUE(MID($C39,2,20)),1000000000),1000000000))+ROW()/100000,"")</f>
        <v/>
      </c>
    </row>
    <row r="40">
      <c r="F40" s="11" t="n"/>
      <c r="N40" s="7">
        <f>IF($C40="","",M40*U40/100)</f>
        <v/>
      </c>
      <c r="T40" s="7" t="n"/>
      <c r="U40" s="7" t="n"/>
      <c r="V40" s="7">
        <f>IF($C40="","",U40*AA40/100)</f>
        <v/>
      </c>
      <c r="W40" s="7">
        <f>IF($C40="","",U40-V40)</f>
        <v/>
      </c>
      <c r="X40" s="7">
        <f>IF($C40="","",W40-N40)</f>
        <v/>
      </c>
      <c r="AA40">
        <f>IF($C40="","",IF($AN40=1,0,IF($AM40=1,Settings!$C$6,Settings!$C$7))*100)</f>
        <v/>
      </c>
      <c r="AE40" s="7" t="n"/>
      <c r="AH40" s="11" t="n"/>
      <c r="AJ40">
        <f>IF($C40="","",$C40&amp;"|"&amp;$D40&amp;"")</f>
        <v/>
      </c>
      <c r="AK40">
        <f>IF($C40="","",IF(COUNTIF($AJ$2:$AJ40,$AJ40)=1,1,0))</f>
        <v/>
      </c>
      <c r="AL40">
        <f>IF($AK40=1,SUMPRODUCT(--($AO$2:$AO$1501&lt;$AO40))+1,"")</f>
        <v/>
      </c>
      <c r="AM40">
        <f>IF($C40="","",IF(OR($Q40=TRUE(),$Q40="TRUE"),1,0))</f>
        <v/>
      </c>
      <c r="AN40">
        <f>IF($C40="","",IF($Z40="Yes",1,0))</f>
        <v/>
      </c>
      <c r="AO40">
        <f>IF($AK40=1,IFERROR(IF(VALUE($C40)&lt;100000000,VALUE($C40),1000000000),IFERROR(IF(VALUE(MID($C40,2,20))&lt;100000000,VALUE(MID($C40,2,20)),1000000000),1000000000))+ROW()/100000,"")</f>
        <v/>
      </c>
    </row>
    <row r="41">
      <c r="F41" s="11" t="n"/>
      <c r="N41" s="7">
        <f>IF($C41="","",M41*U41/100)</f>
        <v/>
      </c>
      <c r="T41" s="7" t="n"/>
      <c r="U41" s="7" t="n"/>
      <c r="V41" s="7">
        <f>IF($C41="","",U41*AA41/100)</f>
        <v/>
      </c>
      <c r="W41" s="7">
        <f>IF($C41="","",U41-V41)</f>
        <v/>
      </c>
      <c r="X41" s="7">
        <f>IF($C41="","",W41-N41)</f>
        <v/>
      </c>
      <c r="AA41">
        <f>IF($C41="","",IF($AN41=1,0,IF($AM41=1,Settings!$C$6,Settings!$C$7))*100)</f>
        <v/>
      </c>
      <c r="AE41" s="7" t="n"/>
      <c r="AH41" s="11" t="n"/>
      <c r="AJ41">
        <f>IF($C41="","",$C41&amp;"|"&amp;$D41&amp;"")</f>
        <v/>
      </c>
      <c r="AK41">
        <f>IF($C41="","",IF(COUNTIF($AJ$2:$AJ41,$AJ41)=1,1,0))</f>
        <v/>
      </c>
      <c r="AL41">
        <f>IF($AK41=1,SUMPRODUCT(--($AO$2:$AO$1501&lt;$AO41))+1,"")</f>
        <v/>
      </c>
      <c r="AM41">
        <f>IF($C41="","",IF(OR($Q41=TRUE(),$Q41="TRUE"),1,0))</f>
        <v/>
      </c>
      <c r="AN41">
        <f>IF($C41="","",IF($Z41="Yes",1,0))</f>
        <v/>
      </c>
      <c r="AO41">
        <f>IF($AK41=1,IFERROR(IF(VALUE($C41)&lt;100000000,VALUE($C41),1000000000),IFERROR(IF(VALUE(MID($C41,2,20))&lt;100000000,VALUE(MID($C41,2,20)),1000000000),1000000000))+ROW()/100000,"")</f>
        <v/>
      </c>
    </row>
    <row r="42">
      <c r="F42" s="11" t="n"/>
      <c r="N42" s="7">
        <f>IF($C42="","",M42*U42/100)</f>
        <v/>
      </c>
      <c r="T42" s="7" t="n"/>
      <c r="U42" s="7" t="n"/>
      <c r="V42" s="7">
        <f>IF($C42="","",U42*AA42/100)</f>
        <v/>
      </c>
      <c r="W42" s="7">
        <f>IF($C42="","",U42-V42)</f>
        <v/>
      </c>
      <c r="X42" s="7">
        <f>IF($C42="","",W42-N42)</f>
        <v/>
      </c>
      <c r="AA42">
        <f>IF($C42="","",IF($AN42=1,0,IF($AM42=1,Settings!$C$6,Settings!$C$7))*100)</f>
        <v/>
      </c>
      <c r="AE42" s="7" t="n"/>
      <c r="AH42" s="11" t="n"/>
      <c r="AJ42">
        <f>IF($C42="","",$C42&amp;"|"&amp;$D42&amp;"")</f>
        <v/>
      </c>
      <c r="AK42">
        <f>IF($C42="","",IF(COUNTIF($AJ$2:$AJ42,$AJ42)=1,1,0))</f>
        <v/>
      </c>
      <c r="AL42">
        <f>IF($AK42=1,SUMPRODUCT(--($AO$2:$AO$1501&lt;$AO42))+1,"")</f>
        <v/>
      </c>
      <c r="AM42">
        <f>IF($C42="","",IF(OR($Q42=TRUE(),$Q42="TRUE"),1,0))</f>
        <v/>
      </c>
      <c r="AN42">
        <f>IF($C42="","",IF($Z42="Yes",1,0))</f>
        <v/>
      </c>
      <c r="AO42">
        <f>IF($AK42=1,IFERROR(IF(VALUE($C42)&lt;100000000,VALUE($C42),1000000000),IFERROR(IF(VALUE(MID($C42,2,20))&lt;100000000,VALUE(MID($C42,2,20)),1000000000),1000000000))+ROW()/100000,"")</f>
        <v/>
      </c>
    </row>
    <row r="43">
      <c r="F43" s="11" t="n"/>
      <c r="N43" s="7">
        <f>IF($C43="","",M43*U43/100)</f>
        <v/>
      </c>
      <c r="T43" s="7" t="n"/>
      <c r="U43" s="7" t="n"/>
      <c r="V43" s="7">
        <f>IF($C43="","",U43*AA43/100)</f>
        <v/>
      </c>
      <c r="W43" s="7">
        <f>IF($C43="","",U43-V43)</f>
        <v/>
      </c>
      <c r="X43" s="7">
        <f>IF($C43="","",W43-N43)</f>
        <v/>
      </c>
      <c r="AA43">
        <f>IF($C43="","",IF($AN43=1,0,IF($AM43=1,Settings!$C$6,Settings!$C$7))*100)</f>
        <v/>
      </c>
      <c r="AE43" s="7" t="n"/>
      <c r="AH43" s="11" t="n"/>
      <c r="AJ43">
        <f>IF($C43="","",$C43&amp;"|"&amp;$D43&amp;"")</f>
        <v/>
      </c>
      <c r="AK43">
        <f>IF($C43="","",IF(COUNTIF($AJ$2:$AJ43,$AJ43)=1,1,0))</f>
        <v/>
      </c>
      <c r="AL43">
        <f>IF($AK43=1,SUMPRODUCT(--($AO$2:$AO$1501&lt;$AO43))+1,"")</f>
        <v/>
      </c>
      <c r="AM43">
        <f>IF($C43="","",IF(OR($Q43=TRUE(),$Q43="TRUE"),1,0))</f>
        <v/>
      </c>
      <c r="AN43">
        <f>IF($C43="","",IF($Z43="Yes",1,0))</f>
        <v/>
      </c>
      <c r="AO43">
        <f>IF($AK43=1,IFERROR(IF(VALUE($C43)&lt;100000000,VALUE($C43),1000000000),IFERROR(IF(VALUE(MID($C43,2,20))&lt;100000000,VALUE(MID($C43,2,20)),1000000000),1000000000))+ROW()/100000,"")</f>
        <v/>
      </c>
    </row>
    <row r="44">
      <c r="F44" s="11" t="n"/>
      <c r="N44" s="7">
        <f>IF($C44="","",M44*U44/100)</f>
        <v/>
      </c>
      <c r="T44" s="7" t="n"/>
      <c r="U44" s="7" t="n"/>
      <c r="V44" s="7">
        <f>IF($C44="","",U44*AA44/100)</f>
        <v/>
      </c>
      <c r="W44" s="7">
        <f>IF($C44="","",U44-V44)</f>
        <v/>
      </c>
      <c r="X44" s="7">
        <f>IF($C44="","",W44-N44)</f>
        <v/>
      </c>
      <c r="AA44">
        <f>IF($C44="","",IF($AN44=1,0,IF($AM44=1,Settings!$C$6,Settings!$C$7))*100)</f>
        <v/>
      </c>
      <c r="AE44" s="7" t="n"/>
      <c r="AH44" s="11" t="n"/>
      <c r="AJ44">
        <f>IF($C44="","",$C44&amp;"|"&amp;$D44&amp;"")</f>
        <v/>
      </c>
      <c r="AK44">
        <f>IF($C44="","",IF(COUNTIF($AJ$2:$AJ44,$AJ44)=1,1,0))</f>
        <v/>
      </c>
      <c r="AL44">
        <f>IF($AK44=1,SUMPRODUCT(--($AO$2:$AO$1501&lt;$AO44))+1,"")</f>
        <v/>
      </c>
      <c r="AM44">
        <f>IF($C44="","",IF(OR($Q44=TRUE(),$Q44="TRUE"),1,0))</f>
        <v/>
      </c>
      <c r="AN44">
        <f>IF($C44="","",IF($Z44="Yes",1,0))</f>
        <v/>
      </c>
      <c r="AO44">
        <f>IF($AK44=1,IFERROR(IF(VALUE($C44)&lt;100000000,VALUE($C44),1000000000),IFERROR(IF(VALUE(MID($C44,2,20))&lt;100000000,VALUE(MID($C44,2,20)),1000000000),1000000000))+ROW()/100000,"")</f>
        <v/>
      </c>
    </row>
    <row r="45">
      <c r="F45" s="11" t="n"/>
      <c r="N45" s="7">
        <f>IF($C45="","",M45*U45/100)</f>
        <v/>
      </c>
      <c r="T45" s="7" t="n"/>
      <c r="U45" s="7" t="n"/>
      <c r="V45" s="7">
        <f>IF($C45="","",U45*AA45/100)</f>
        <v/>
      </c>
      <c r="W45" s="7">
        <f>IF($C45="","",U45-V45)</f>
        <v/>
      </c>
      <c r="X45" s="7">
        <f>IF($C45="","",W45-N45)</f>
        <v/>
      </c>
      <c r="AA45">
        <f>IF($C45="","",IF($AN45=1,0,IF($AM45=1,Settings!$C$6,Settings!$C$7))*100)</f>
        <v/>
      </c>
      <c r="AE45" s="7" t="n"/>
      <c r="AH45" s="11" t="n"/>
      <c r="AJ45">
        <f>IF($C45="","",$C45&amp;"|"&amp;$D45&amp;"")</f>
        <v/>
      </c>
      <c r="AK45">
        <f>IF($C45="","",IF(COUNTIF($AJ$2:$AJ45,$AJ45)=1,1,0))</f>
        <v/>
      </c>
      <c r="AL45">
        <f>IF($AK45=1,SUMPRODUCT(--($AO$2:$AO$1501&lt;$AO45))+1,"")</f>
        <v/>
      </c>
      <c r="AM45">
        <f>IF($C45="","",IF(OR($Q45=TRUE(),$Q45="TRUE"),1,0))</f>
        <v/>
      </c>
      <c r="AN45">
        <f>IF($C45="","",IF($Z45="Yes",1,0))</f>
        <v/>
      </c>
      <c r="AO45">
        <f>IF($AK45=1,IFERROR(IF(VALUE($C45)&lt;100000000,VALUE($C45),1000000000),IFERROR(IF(VALUE(MID($C45,2,20))&lt;100000000,VALUE(MID($C45,2,20)),1000000000),1000000000))+ROW()/100000,"")</f>
        <v/>
      </c>
    </row>
    <row r="46">
      <c r="F46" s="11" t="n"/>
      <c r="N46" s="7">
        <f>IF($C46="","",M46*U46/100)</f>
        <v/>
      </c>
      <c r="T46" s="7" t="n"/>
      <c r="U46" s="7" t="n"/>
      <c r="V46" s="7">
        <f>IF($C46="","",U46*AA46/100)</f>
        <v/>
      </c>
      <c r="W46" s="7">
        <f>IF($C46="","",U46-V46)</f>
        <v/>
      </c>
      <c r="X46" s="7">
        <f>IF($C46="","",W46-N46)</f>
        <v/>
      </c>
      <c r="AA46">
        <f>IF($C46="","",IF($AN46=1,0,IF($AM46=1,Settings!$C$6,Settings!$C$7))*100)</f>
        <v/>
      </c>
      <c r="AE46" s="7" t="n"/>
      <c r="AH46" s="11" t="n"/>
      <c r="AJ46">
        <f>IF($C46="","",$C46&amp;"|"&amp;$D46&amp;"")</f>
        <v/>
      </c>
      <c r="AK46">
        <f>IF($C46="","",IF(COUNTIF($AJ$2:$AJ46,$AJ46)=1,1,0))</f>
        <v/>
      </c>
      <c r="AL46">
        <f>IF($AK46=1,SUMPRODUCT(--($AO$2:$AO$1501&lt;$AO46))+1,"")</f>
        <v/>
      </c>
      <c r="AM46">
        <f>IF($C46="","",IF(OR($Q46=TRUE(),$Q46="TRUE"),1,0))</f>
        <v/>
      </c>
      <c r="AN46">
        <f>IF($C46="","",IF($Z46="Yes",1,0))</f>
        <v/>
      </c>
      <c r="AO46">
        <f>IF($AK46=1,IFERROR(IF(VALUE($C46)&lt;100000000,VALUE($C46),1000000000),IFERROR(IF(VALUE(MID($C46,2,20))&lt;100000000,VALUE(MID($C46,2,20)),1000000000),1000000000))+ROW()/100000,"")</f>
        <v/>
      </c>
    </row>
    <row r="47">
      <c r="F47" s="11" t="n"/>
      <c r="N47" s="7">
        <f>IF($C47="","",M47*U47/100)</f>
        <v/>
      </c>
      <c r="T47" s="7" t="n"/>
      <c r="U47" s="7" t="n"/>
      <c r="V47" s="7">
        <f>IF($C47="","",U47*AA47/100)</f>
        <v/>
      </c>
      <c r="W47" s="7">
        <f>IF($C47="","",U47-V47)</f>
        <v/>
      </c>
      <c r="X47" s="7">
        <f>IF($C47="","",W47-N47)</f>
        <v/>
      </c>
      <c r="AA47">
        <f>IF($C47="","",IF($AN47=1,0,IF($AM47=1,Settings!$C$6,Settings!$C$7))*100)</f>
        <v/>
      </c>
      <c r="AE47" s="7" t="n"/>
      <c r="AH47" s="11" t="n"/>
      <c r="AJ47">
        <f>IF($C47="","",$C47&amp;"|"&amp;$D47&amp;"")</f>
        <v/>
      </c>
      <c r="AK47">
        <f>IF($C47="","",IF(COUNTIF($AJ$2:$AJ47,$AJ47)=1,1,0))</f>
        <v/>
      </c>
      <c r="AL47">
        <f>IF($AK47=1,SUMPRODUCT(--($AO$2:$AO$1501&lt;$AO47))+1,"")</f>
        <v/>
      </c>
      <c r="AM47">
        <f>IF($C47="","",IF(OR($Q47=TRUE(),$Q47="TRUE"),1,0))</f>
        <v/>
      </c>
      <c r="AN47">
        <f>IF($C47="","",IF($Z47="Yes",1,0))</f>
        <v/>
      </c>
      <c r="AO47">
        <f>IF($AK47=1,IFERROR(IF(VALUE($C47)&lt;100000000,VALUE($C47),1000000000),IFERROR(IF(VALUE(MID($C47,2,20))&lt;100000000,VALUE(MID($C47,2,20)),1000000000),1000000000))+ROW()/100000,"")</f>
        <v/>
      </c>
    </row>
    <row r="48">
      <c r="F48" s="11" t="n"/>
      <c r="N48" s="7">
        <f>IF($C48="","",M48*U48/100)</f>
        <v/>
      </c>
      <c r="T48" s="7" t="n"/>
      <c r="U48" s="7" t="n"/>
      <c r="V48" s="7">
        <f>IF($C48="","",U48*AA48/100)</f>
        <v/>
      </c>
      <c r="W48" s="7">
        <f>IF($C48="","",U48-V48)</f>
        <v/>
      </c>
      <c r="X48" s="7">
        <f>IF($C48="","",W48-N48)</f>
        <v/>
      </c>
      <c r="AA48">
        <f>IF($C48="","",IF($AN48=1,0,IF($AM48=1,Settings!$C$6,Settings!$C$7))*100)</f>
        <v/>
      </c>
      <c r="AE48" s="7" t="n"/>
      <c r="AH48" s="11" t="n"/>
      <c r="AJ48">
        <f>IF($C48="","",$C48&amp;"|"&amp;$D48&amp;"")</f>
        <v/>
      </c>
      <c r="AK48">
        <f>IF($C48="","",IF(COUNTIF($AJ$2:$AJ48,$AJ48)=1,1,0))</f>
        <v/>
      </c>
      <c r="AL48">
        <f>IF($AK48=1,SUMPRODUCT(--($AO$2:$AO$1501&lt;$AO48))+1,"")</f>
        <v/>
      </c>
      <c r="AM48">
        <f>IF($C48="","",IF(OR($Q48=TRUE(),$Q48="TRUE"),1,0))</f>
        <v/>
      </c>
      <c r="AN48">
        <f>IF($C48="","",IF($Z48="Yes",1,0))</f>
        <v/>
      </c>
      <c r="AO48">
        <f>IF($AK48=1,IFERROR(IF(VALUE($C48)&lt;100000000,VALUE($C48),1000000000),IFERROR(IF(VALUE(MID($C48,2,20))&lt;100000000,VALUE(MID($C48,2,20)),1000000000),1000000000))+ROW()/100000,"")</f>
        <v/>
      </c>
    </row>
    <row r="49">
      <c r="F49" s="11" t="n"/>
      <c r="N49" s="7">
        <f>IF($C49="","",M49*U49/100)</f>
        <v/>
      </c>
      <c r="T49" s="7" t="n"/>
      <c r="U49" s="7" t="n"/>
      <c r="V49" s="7">
        <f>IF($C49="","",U49*AA49/100)</f>
        <v/>
      </c>
      <c r="W49" s="7">
        <f>IF($C49="","",U49-V49)</f>
        <v/>
      </c>
      <c r="X49" s="7">
        <f>IF($C49="","",W49-N49)</f>
        <v/>
      </c>
      <c r="AA49">
        <f>IF($C49="","",IF($AN49=1,0,IF($AM49=1,Settings!$C$6,Settings!$C$7))*100)</f>
        <v/>
      </c>
      <c r="AE49" s="7" t="n"/>
      <c r="AH49" s="11" t="n"/>
      <c r="AJ49">
        <f>IF($C49="","",$C49&amp;"|"&amp;$D49&amp;"")</f>
        <v/>
      </c>
      <c r="AK49">
        <f>IF($C49="","",IF(COUNTIF($AJ$2:$AJ49,$AJ49)=1,1,0))</f>
        <v/>
      </c>
      <c r="AL49">
        <f>IF($AK49=1,SUMPRODUCT(--($AO$2:$AO$1501&lt;$AO49))+1,"")</f>
        <v/>
      </c>
      <c r="AM49">
        <f>IF($C49="","",IF(OR($Q49=TRUE(),$Q49="TRUE"),1,0))</f>
        <v/>
      </c>
      <c r="AN49">
        <f>IF($C49="","",IF($Z49="Yes",1,0))</f>
        <v/>
      </c>
      <c r="AO49">
        <f>IF($AK49=1,IFERROR(IF(VALUE($C49)&lt;100000000,VALUE($C49),1000000000),IFERROR(IF(VALUE(MID($C49,2,20))&lt;100000000,VALUE(MID($C49,2,20)),1000000000),1000000000))+ROW()/100000,"")</f>
        <v/>
      </c>
    </row>
    <row r="50">
      <c r="F50" s="11" t="n"/>
      <c r="N50" s="7">
        <f>IF($C50="","",M50*U50/100)</f>
        <v/>
      </c>
      <c r="T50" s="7" t="n"/>
      <c r="U50" s="7" t="n"/>
      <c r="V50" s="7">
        <f>IF($C50="","",U50*AA50/100)</f>
        <v/>
      </c>
      <c r="W50" s="7">
        <f>IF($C50="","",U50-V50)</f>
        <v/>
      </c>
      <c r="X50" s="7">
        <f>IF($C50="","",W50-N50)</f>
        <v/>
      </c>
      <c r="AA50">
        <f>IF($C50="","",IF($AN50=1,0,IF($AM50=1,Settings!$C$6,Settings!$C$7))*100)</f>
        <v/>
      </c>
      <c r="AE50" s="7" t="n"/>
      <c r="AH50" s="11" t="n"/>
      <c r="AJ50">
        <f>IF($C50="","",$C50&amp;"|"&amp;$D50&amp;"")</f>
        <v/>
      </c>
      <c r="AK50">
        <f>IF($C50="","",IF(COUNTIF($AJ$2:$AJ50,$AJ50)=1,1,0))</f>
        <v/>
      </c>
      <c r="AL50">
        <f>IF($AK50=1,SUMPRODUCT(--($AO$2:$AO$1501&lt;$AO50))+1,"")</f>
        <v/>
      </c>
      <c r="AM50">
        <f>IF($C50="","",IF(OR($Q50=TRUE(),$Q50="TRUE"),1,0))</f>
        <v/>
      </c>
      <c r="AN50">
        <f>IF($C50="","",IF($Z50="Yes",1,0))</f>
        <v/>
      </c>
      <c r="AO50">
        <f>IF($AK50=1,IFERROR(IF(VALUE($C50)&lt;100000000,VALUE($C50),1000000000),IFERROR(IF(VALUE(MID($C50,2,20))&lt;100000000,VALUE(MID($C50,2,20)),1000000000),1000000000))+ROW()/100000,"")</f>
        <v/>
      </c>
    </row>
    <row r="51">
      <c r="F51" s="11" t="n"/>
      <c r="N51" s="7">
        <f>IF($C51="","",M51*U51/100)</f>
        <v/>
      </c>
      <c r="T51" s="7" t="n"/>
      <c r="U51" s="7" t="n"/>
      <c r="V51" s="7">
        <f>IF($C51="","",U51*AA51/100)</f>
        <v/>
      </c>
      <c r="W51" s="7">
        <f>IF($C51="","",U51-V51)</f>
        <v/>
      </c>
      <c r="X51" s="7">
        <f>IF($C51="","",W51-N51)</f>
        <v/>
      </c>
      <c r="AA51">
        <f>IF($C51="","",IF($AN51=1,0,IF($AM51=1,Settings!$C$6,Settings!$C$7))*100)</f>
        <v/>
      </c>
      <c r="AE51" s="7" t="n"/>
      <c r="AH51" s="11" t="n"/>
      <c r="AJ51">
        <f>IF($C51="","",$C51&amp;"|"&amp;$D51&amp;"")</f>
        <v/>
      </c>
      <c r="AK51">
        <f>IF($C51="","",IF(COUNTIF($AJ$2:$AJ51,$AJ51)=1,1,0))</f>
        <v/>
      </c>
      <c r="AL51">
        <f>IF($AK51=1,SUMPRODUCT(--($AO$2:$AO$1501&lt;$AO51))+1,"")</f>
        <v/>
      </c>
      <c r="AM51">
        <f>IF($C51="","",IF(OR($Q51=TRUE(),$Q51="TRUE"),1,0))</f>
        <v/>
      </c>
      <c r="AN51">
        <f>IF($C51="","",IF($Z51="Yes",1,0))</f>
        <v/>
      </c>
      <c r="AO51">
        <f>IF($AK51=1,IFERROR(IF(VALUE($C51)&lt;100000000,VALUE($C51),1000000000),IFERROR(IF(VALUE(MID($C51,2,20))&lt;100000000,VALUE(MID($C51,2,20)),1000000000),1000000000))+ROW()/100000,"")</f>
        <v/>
      </c>
    </row>
    <row r="52">
      <c r="F52" s="11" t="n"/>
      <c r="N52" s="7">
        <f>IF($C52="","",M52*U52/100)</f>
        <v/>
      </c>
      <c r="T52" s="7" t="n"/>
      <c r="U52" s="7" t="n"/>
      <c r="V52" s="7">
        <f>IF($C52="","",U52*AA52/100)</f>
        <v/>
      </c>
      <c r="W52" s="7">
        <f>IF($C52="","",U52-V52)</f>
        <v/>
      </c>
      <c r="X52" s="7">
        <f>IF($C52="","",W52-N52)</f>
        <v/>
      </c>
      <c r="AA52">
        <f>IF($C52="","",IF($AN52=1,0,IF($AM52=1,Settings!$C$6,Settings!$C$7))*100)</f>
        <v/>
      </c>
      <c r="AE52" s="7" t="n"/>
      <c r="AH52" s="11" t="n"/>
      <c r="AJ52">
        <f>IF($C52="","",$C52&amp;"|"&amp;$D52&amp;"")</f>
        <v/>
      </c>
      <c r="AK52">
        <f>IF($C52="","",IF(COUNTIF($AJ$2:$AJ52,$AJ52)=1,1,0))</f>
        <v/>
      </c>
      <c r="AL52">
        <f>IF($AK52=1,SUMPRODUCT(--($AO$2:$AO$1501&lt;$AO52))+1,"")</f>
        <v/>
      </c>
      <c r="AM52">
        <f>IF($C52="","",IF(OR($Q52=TRUE(),$Q52="TRUE"),1,0))</f>
        <v/>
      </c>
      <c r="AN52">
        <f>IF($C52="","",IF($Z52="Yes",1,0))</f>
        <v/>
      </c>
      <c r="AO52">
        <f>IF($AK52=1,IFERROR(IF(VALUE($C52)&lt;100000000,VALUE($C52),1000000000),IFERROR(IF(VALUE(MID($C52,2,20))&lt;100000000,VALUE(MID($C52,2,20)),1000000000),1000000000))+ROW()/100000,"")</f>
        <v/>
      </c>
    </row>
    <row r="53">
      <c r="F53" s="11" t="n"/>
      <c r="N53" s="7">
        <f>IF($C53="","",M53*U53/100)</f>
        <v/>
      </c>
      <c r="T53" s="7" t="n"/>
      <c r="U53" s="7" t="n"/>
      <c r="V53" s="7">
        <f>IF($C53="","",U53*AA53/100)</f>
        <v/>
      </c>
      <c r="W53" s="7">
        <f>IF($C53="","",U53-V53)</f>
        <v/>
      </c>
      <c r="X53" s="7">
        <f>IF($C53="","",W53-N53)</f>
        <v/>
      </c>
      <c r="AA53">
        <f>IF($C53="","",IF($AN53=1,0,IF($AM53=1,Settings!$C$6,Settings!$C$7))*100)</f>
        <v/>
      </c>
      <c r="AE53" s="7" t="n"/>
      <c r="AH53" s="11" t="n"/>
      <c r="AJ53">
        <f>IF($C53="","",$C53&amp;"|"&amp;$D53&amp;"")</f>
        <v/>
      </c>
      <c r="AK53">
        <f>IF($C53="","",IF(COUNTIF($AJ$2:$AJ53,$AJ53)=1,1,0))</f>
        <v/>
      </c>
      <c r="AL53">
        <f>IF($AK53=1,SUMPRODUCT(--($AO$2:$AO$1501&lt;$AO53))+1,"")</f>
        <v/>
      </c>
      <c r="AM53">
        <f>IF($C53="","",IF(OR($Q53=TRUE(),$Q53="TRUE"),1,0))</f>
        <v/>
      </c>
      <c r="AN53">
        <f>IF($C53="","",IF($Z53="Yes",1,0))</f>
        <v/>
      </c>
      <c r="AO53">
        <f>IF($AK53=1,IFERROR(IF(VALUE($C53)&lt;100000000,VALUE($C53),1000000000),IFERROR(IF(VALUE(MID($C53,2,20))&lt;100000000,VALUE(MID($C53,2,20)),1000000000),1000000000))+ROW()/100000,"")</f>
        <v/>
      </c>
    </row>
    <row r="54">
      <c r="F54" s="11" t="n"/>
      <c r="N54" s="7">
        <f>IF($C54="","",M54*U54/100)</f>
        <v/>
      </c>
      <c r="T54" s="7" t="n"/>
      <c r="U54" s="7" t="n"/>
      <c r="V54" s="7">
        <f>IF($C54="","",U54*AA54/100)</f>
        <v/>
      </c>
      <c r="W54" s="7">
        <f>IF($C54="","",U54-V54)</f>
        <v/>
      </c>
      <c r="X54" s="7">
        <f>IF($C54="","",W54-N54)</f>
        <v/>
      </c>
      <c r="AA54">
        <f>IF($C54="","",IF($AN54=1,0,IF($AM54=1,Settings!$C$6,Settings!$C$7))*100)</f>
        <v/>
      </c>
      <c r="AE54" s="7" t="n"/>
      <c r="AH54" s="11" t="n"/>
      <c r="AJ54">
        <f>IF($C54="","",$C54&amp;"|"&amp;$D54&amp;"")</f>
        <v/>
      </c>
      <c r="AK54">
        <f>IF($C54="","",IF(COUNTIF($AJ$2:$AJ54,$AJ54)=1,1,0))</f>
        <v/>
      </c>
      <c r="AL54">
        <f>IF($AK54=1,SUMPRODUCT(--($AO$2:$AO$1501&lt;$AO54))+1,"")</f>
        <v/>
      </c>
      <c r="AM54">
        <f>IF($C54="","",IF(OR($Q54=TRUE(),$Q54="TRUE"),1,0))</f>
        <v/>
      </c>
      <c r="AN54">
        <f>IF($C54="","",IF($Z54="Yes",1,0))</f>
        <v/>
      </c>
      <c r="AO54">
        <f>IF($AK54=1,IFERROR(IF(VALUE($C54)&lt;100000000,VALUE($C54),1000000000),IFERROR(IF(VALUE(MID($C54,2,20))&lt;100000000,VALUE(MID($C54,2,20)),1000000000),1000000000))+ROW()/100000,"")</f>
        <v/>
      </c>
    </row>
    <row r="55">
      <c r="F55" s="11" t="n"/>
      <c r="N55" s="7">
        <f>IF($C55="","",M55*U55/100)</f>
        <v/>
      </c>
      <c r="T55" s="7" t="n"/>
      <c r="U55" s="7" t="n"/>
      <c r="V55" s="7">
        <f>IF($C55="","",U55*AA55/100)</f>
        <v/>
      </c>
      <c r="W55" s="7">
        <f>IF($C55="","",U55-V55)</f>
        <v/>
      </c>
      <c r="X55" s="7">
        <f>IF($C55="","",W55-N55)</f>
        <v/>
      </c>
      <c r="AA55">
        <f>IF($C55="","",IF($AN55=1,0,IF($AM55=1,Settings!$C$6,Settings!$C$7))*100)</f>
        <v/>
      </c>
      <c r="AE55" s="7" t="n"/>
      <c r="AH55" s="11" t="n"/>
      <c r="AJ55">
        <f>IF($C55="","",$C55&amp;"|"&amp;$D55&amp;"")</f>
        <v/>
      </c>
      <c r="AK55">
        <f>IF($C55="","",IF(COUNTIF($AJ$2:$AJ55,$AJ55)=1,1,0))</f>
        <v/>
      </c>
      <c r="AL55">
        <f>IF($AK55=1,SUMPRODUCT(--($AO$2:$AO$1501&lt;$AO55))+1,"")</f>
        <v/>
      </c>
      <c r="AM55">
        <f>IF($C55="","",IF(OR($Q55=TRUE(),$Q55="TRUE"),1,0))</f>
        <v/>
      </c>
      <c r="AN55">
        <f>IF($C55="","",IF($Z55="Yes",1,0))</f>
        <v/>
      </c>
      <c r="AO55">
        <f>IF($AK55=1,IFERROR(IF(VALUE($C55)&lt;100000000,VALUE($C55),1000000000),IFERROR(IF(VALUE(MID($C55,2,20))&lt;100000000,VALUE(MID($C55,2,20)),1000000000),1000000000))+ROW()/100000,"")</f>
        <v/>
      </c>
    </row>
    <row r="56">
      <c r="F56" s="11" t="n"/>
      <c r="N56" s="7">
        <f>IF($C56="","",M56*U56/100)</f>
        <v/>
      </c>
      <c r="T56" s="7" t="n"/>
      <c r="U56" s="7" t="n"/>
      <c r="V56" s="7">
        <f>IF($C56="","",U56*AA56/100)</f>
        <v/>
      </c>
      <c r="W56" s="7">
        <f>IF($C56="","",U56-V56)</f>
        <v/>
      </c>
      <c r="X56" s="7">
        <f>IF($C56="","",W56-N56)</f>
        <v/>
      </c>
      <c r="AA56">
        <f>IF($C56="","",IF($AN56=1,0,IF($AM56=1,Settings!$C$6,Settings!$C$7))*100)</f>
        <v/>
      </c>
      <c r="AE56" s="7" t="n"/>
      <c r="AH56" s="11" t="n"/>
      <c r="AJ56">
        <f>IF($C56="","",$C56&amp;"|"&amp;$D56&amp;"")</f>
        <v/>
      </c>
      <c r="AK56">
        <f>IF($C56="","",IF(COUNTIF($AJ$2:$AJ56,$AJ56)=1,1,0))</f>
        <v/>
      </c>
      <c r="AL56">
        <f>IF($AK56=1,SUMPRODUCT(--($AO$2:$AO$1501&lt;$AO56))+1,"")</f>
        <v/>
      </c>
      <c r="AM56">
        <f>IF($C56="","",IF(OR($Q56=TRUE(),$Q56="TRUE"),1,0))</f>
        <v/>
      </c>
      <c r="AN56">
        <f>IF($C56="","",IF($Z56="Yes",1,0))</f>
        <v/>
      </c>
      <c r="AO56">
        <f>IF($AK56=1,IFERROR(IF(VALUE($C56)&lt;100000000,VALUE($C56),1000000000),IFERROR(IF(VALUE(MID($C56,2,20))&lt;100000000,VALUE(MID($C56,2,20)),1000000000),1000000000))+ROW()/100000,"")</f>
        <v/>
      </c>
    </row>
    <row r="57">
      <c r="F57" s="11" t="n"/>
      <c r="N57" s="7">
        <f>IF($C57="","",M57*U57/100)</f>
        <v/>
      </c>
      <c r="T57" s="7" t="n"/>
      <c r="U57" s="7" t="n"/>
      <c r="V57" s="7">
        <f>IF($C57="","",U57*AA57/100)</f>
        <v/>
      </c>
      <c r="W57" s="7">
        <f>IF($C57="","",U57-V57)</f>
        <v/>
      </c>
      <c r="X57" s="7">
        <f>IF($C57="","",W57-N57)</f>
        <v/>
      </c>
      <c r="AA57">
        <f>IF($C57="","",IF($AN57=1,0,IF($AM57=1,Settings!$C$6,Settings!$C$7))*100)</f>
        <v/>
      </c>
      <c r="AE57" s="7" t="n"/>
      <c r="AH57" s="11" t="n"/>
      <c r="AJ57">
        <f>IF($C57="","",$C57&amp;"|"&amp;$D57&amp;"")</f>
        <v/>
      </c>
      <c r="AK57">
        <f>IF($C57="","",IF(COUNTIF($AJ$2:$AJ57,$AJ57)=1,1,0))</f>
        <v/>
      </c>
      <c r="AL57">
        <f>IF($AK57=1,SUMPRODUCT(--($AO$2:$AO$1501&lt;$AO57))+1,"")</f>
        <v/>
      </c>
      <c r="AM57">
        <f>IF($C57="","",IF(OR($Q57=TRUE(),$Q57="TRUE"),1,0))</f>
        <v/>
      </c>
      <c r="AN57">
        <f>IF($C57="","",IF($Z57="Yes",1,0))</f>
        <v/>
      </c>
      <c r="AO57">
        <f>IF($AK57=1,IFERROR(IF(VALUE($C57)&lt;100000000,VALUE($C57),1000000000),IFERROR(IF(VALUE(MID($C57,2,20))&lt;100000000,VALUE(MID($C57,2,20)),1000000000),1000000000))+ROW()/100000,"")</f>
        <v/>
      </c>
    </row>
    <row r="58">
      <c r="F58" s="11" t="n"/>
      <c r="N58" s="7">
        <f>IF($C58="","",M58*U58/100)</f>
        <v/>
      </c>
      <c r="T58" s="7" t="n"/>
      <c r="U58" s="7" t="n"/>
      <c r="V58" s="7">
        <f>IF($C58="","",U58*AA58/100)</f>
        <v/>
      </c>
      <c r="W58" s="7">
        <f>IF($C58="","",U58-V58)</f>
        <v/>
      </c>
      <c r="X58" s="7">
        <f>IF($C58="","",W58-N58)</f>
        <v/>
      </c>
      <c r="AA58">
        <f>IF($C58="","",IF($AN58=1,0,IF($AM58=1,Settings!$C$6,Settings!$C$7))*100)</f>
        <v/>
      </c>
      <c r="AE58" s="7" t="n"/>
      <c r="AH58" s="11" t="n"/>
      <c r="AJ58">
        <f>IF($C58="","",$C58&amp;"|"&amp;$D58&amp;"")</f>
        <v/>
      </c>
      <c r="AK58">
        <f>IF($C58="","",IF(COUNTIF($AJ$2:$AJ58,$AJ58)=1,1,0))</f>
        <v/>
      </c>
      <c r="AL58">
        <f>IF($AK58=1,SUMPRODUCT(--($AO$2:$AO$1501&lt;$AO58))+1,"")</f>
        <v/>
      </c>
      <c r="AM58">
        <f>IF($C58="","",IF(OR($Q58=TRUE(),$Q58="TRUE"),1,0))</f>
        <v/>
      </c>
      <c r="AN58">
        <f>IF($C58="","",IF($Z58="Yes",1,0))</f>
        <v/>
      </c>
      <c r="AO58">
        <f>IF($AK58=1,IFERROR(IF(VALUE($C58)&lt;100000000,VALUE($C58),1000000000),IFERROR(IF(VALUE(MID($C58,2,20))&lt;100000000,VALUE(MID($C58,2,20)),1000000000),1000000000))+ROW()/100000,"")</f>
        <v/>
      </c>
    </row>
    <row r="59">
      <c r="F59" s="11" t="n"/>
      <c r="N59" s="7">
        <f>IF($C59="","",M59*U59/100)</f>
        <v/>
      </c>
      <c r="T59" s="7" t="n"/>
      <c r="U59" s="7" t="n"/>
      <c r="V59" s="7">
        <f>IF($C59="","",U59*AA59/100)</f>
        <v/>
      </c>
      <c r="W59" s="7">
        <f>IF($C59="","",U59-V59)</f>
        <v/>
      </c>
      <c r="X59" s="7">
        <f>IF($C59="","",W59-N59)</f>
        <v/>
      </c>
      <c r="AA59">
        <f>IF($C59="","",IF($AN59=1,0,IF($AM59=1,Settings!$C$6,Settings!$C$7))*100)</f>
        <v/>
      </c>
      <c r="AE59" s="7" t="n"/>
      <c r="AH59" s="11" t="n"/>
      <c r="AJ59">
        <f>IF($C59="","",$C59&amp;"|"&amp;$D59&amp;"")</f>
        <v/>
      </c>
      <c r="AK59">
        <f>IF($C59="","",IF(COUNTIF($AJ$2:$AJ59,$AJ59)=1,1,0))</f>
        <v/>
      </c>
      <c r="AL59">
        <f>IF($AK59=1,SUMPRODUCT(--($AO$2:$AO$1501&lt;$AO59))+1,"")</f>
        <v/>
      </c>
      <c r="AM59">
        <f>IF($C59="","",IF(OR($Q59=TRUE(),$Q59="TRUE"),1,0))</f>
        <v/>
      </c>
      <c r="AN59">
        <f>IF($C59="","",IF($Z59="Yes",1,0))</f>
        <v/>
      </c>
      <c r="AO59">
        <f>IF($AK59=1,IFERROR(IF(VALUE($C59)&lt;100000000,VALUE($C59),1000000000),IFERROR(IF(VALUE(MID($C59,2,20))&lt;100000000,VALUE(MID($C59,2,20)),1000000000),1000000000))+ROW()/100000,"")</f>
        <v/>
      </c>
    </row>
    <row r="60">
      <c r="F60" s="11" t="n"/>
      <c r="N60" s="7">
        <f>IF($C60="","",M60*U60/100)</f>
        <v/>
      </c>
      <c r="T60" s="7" t="n"/>
      <c r="U60" s="7" t="n"/>
      <c r="V60" s="7">
        <f>IF($C60="","",U60*AA60/100)</f>
        <v/>
      </c>
      <c r="W60" s="7">
        <f>IF($C60="","",U60-V60)</f>
        <v/>
      </c>
      <c r="X60" s="7">
        <f>IF($C60="","",W60-N60)</f>
        <v/>
      </c>
      <c r="AA60">
        <f>IF($C60="","",IF($AN60=1,0,IF($AM60=1,Settings!$C$6,Settings!$C$7))*100)</f>
        <v/>
      </c>
      <c r="AE60" s="7" t="n"/>
      <c r="AH60" s="11" t="n"/>
      <c r="AJ60">
        <f>IF($C60="","",$C60&amp;"|"&amp;$D60&amp;"")</f>
        <v/>
      </c>
      <c r="AK60">
        <f>IF($C60="","",IF(COUNTIF($AJ$2:$AJ60,$AJ60)=1,1,0))</f>
        <v/>
      </c>
      <c r="AL60">
        <f>IF($AK60=1,SUMPRODUCT(--($AO$2:$AO$1501&lt;$AO60))+1,"")</f>
        <v/>
      </c>
      <c r="AM60">
        <f>IF($C60="","",IF(OR($Q60=TRUE(),$Q60="TRUE"),1,0))</f>
        <v/>
      </c>
      <c r="AN60">
        <f>IF($C60="","",IF($Z60="Yes",1,0))</f>
        <v/>
      </c>
      <c r="AO60">
        <f>IF($AK60=1,IFERROR(IF(VALUE($C60)&lt;100000000,VALUE($C60),1000000000),IFERROR(IF(VALUE(MID($C60,2,20))&lt;100000000,VALUE(MID($C60,2,20)),1000000000),1000000000))+ROW()/100000,"")</f>
        <v/>
      </c>
    </row>
    <row r="61">
      <c r="F61" s="11" t="n"/>
      <c r="N61" s="7">
        <f>IF($C61="","",M61*U61/100)</f>
        <v/>
      </c>
      <c r="T61" s="7" t="n"/>
      <c r="U61" s="7" t="n"/>
      <c r="V61" s="7">
        <f>IF($C61="","",U61*AA61/100)</f>
        <v/>
      </c>
      <c r="W61" s="7">
        <f>IF($C61="","",U61-V61)</f>
        <v/>
      </c>
      <c r="X61" s="7">
        <f>IF($C61="","",W61-N61)</f>
        <v/>
      </c>
      <c r="AA61">
        <f>IF($C61="","",IF($AN61=1,0,IF($AM61=1,Settings!$C$6,Settings!$C$7))*100)</f>
        <v/>
      </c>
      <c r="AE61" s="7" t="n"/>
      <c r="AH61" s="11" t="n"/>
      <c r="AJ61">
        <f>IF($C61="","",$C61&amp;"|"&amp;$D61&amp;"")</f>
        <v/>
      </c>
      <c r="AK61">
        <f>IF($C61="","",IF(COUNTIF($AJ$2:$AJ61,$AJ61)=1,1,0))</f>
        <v/>
      </c>
      <c r="AL61">
        <f>IF($AK61=1,SUMPRODUCT(--($AO$2:$AO$1501&lt;$AO61))+1,"")</f>
        <v/>
      </c>
      <c r="AM61">
        <f>IF($C61="","",IF(OR($Q61=TRUE(),$Q61="TRUE"),1,0))</f>
        <v/>
      </c>
      <c r="AN61">
        <f>IF($C61="","",IF($Z61="Yes",1,0))</f>
        <v/>
      </c>
      <c r="AO61">
        <f>IF($AK61=1,IFERROR(IF(VALUE($C61)&lt;100000000,VALUE($C61),1000000000),IFERROR(IF(VALUE(MID($C61,2,20))&lt;100000000,VALUE(MID($C61,2,20)),1000000000),1000000000))+ROW()/100000,"")</f>
        <v/>
      </c>
    </row>
    <row r="62">
      <c r="F62" s="11" t="n"/>
      <c r="N62" s="7">
        <f>IF($C62="","",M62*U62/100)</f>
        <v/>
      </c>
      <c r="T62" s="7" t="n"/>
      <c r="U62" s="7" t="n"/>
      <c r="V62" s="7">
        <f>IF($C62="","",U62*AA62/100)</f>
        <v/>
      </c>
      <c r="W62" s="7">
        <f>IF($C62="","",U62-V62)</f>
        <v/>
      </c>
      <c r="X62" s="7">
        <f>IF($C62="","",W62-N62)</f>
        <v/>
      </c>
      <c r="AA62">
        <f>IF($C62="","",IF($AN62=1,0,IF($AM62=1,Settings!$C$6,Settings!$C$7))*100)</f>
        <v/>
      </c>
      <c r="AE62" s="7" t="n"/>
      <c r="AH62" s="11" t="n"/>
      <c r="AJ62">
        <f>IF($C62="","",$C62&amp;"|"&amp;$D62&amp;"")</f>
        <v/>
      </c>
      <c r="AK62">
        <f>IF($C62="","",IF(COUNTIF($AJ$2:$AJ62,$AJ62)=1,1,0))</f>
        <v/>
      </c>
      <c r="AL62">
        <f>IF($AK62=1,SUMPRODUCT(--($AO$2:$AO$1501&lt;$AO62))+1,"")</f>
        <v/>
      </c>
      <c r="AM62">
        <f>IF($C62="","",IF(OR($Q62=TRUE(),$Q62="TRUE"),1,0))</f>
        <v/>
      </c>
      <c r="AN62">
        <f>IF($C62="","",IF($Z62="Yes",1,0))</f>
        <v/>
      </c>
      <c r="AO62">
        <f>IF($AK62=1,IFERROR(IF(VALUE($C62)&lt;100000000,VALUE($C62),1000000000),IFERROR(IF(VALUE(MID($C62,2,20))&lt;100000000,VALUE(MID($C62,2,20)),1000000000),1000000000))+ROW()/100000,"")</f>
        <v/>
      </c>
    </row>
    <row r="63">
      <c r="F63" s="11" t="n"/>
      <c r="N63" s="7">
        <f>IF($C63="","",M63*U63/100)</f>
        <v/>
      </c>
      <c r="T63" s="7" t="n"/>
      <c r="U63" s="7" t="n"/>
      <c r="V63" s="7">
        <f>IF($C63="","",U63*AA63/100)</f>
        <v/>
      </c>
      <c r="W63" s="7">
        <f>IF($C63="","",U63-V63)</f>
        <v/>
      </c>
      <c r="X63" s="7">
        <f>IF($C63="","",W63-N63)</f>
        <v/>
      </c>
      <c r="AA63">
        <f>IF($C63="","",IF($AN63=1,0,IF($AM63=1,Settings!$C$6,Settings!$C$7))*100)</f>
        <v/>
      </c>
      <c r="AE63" s="7" t="n"/>
      <c r="AH63" s="11" t="n"/>
      <c r="AJ63">
        <f>IF($C63="","",$C63&amp;"|"&amp;$D63&amp;"")</f>
        <v/>
      </c>
      <c r="AK63">
        <f>IF($C63="","",IF(COUNTIF($AJ$2:$AJ63,$AJ63)=1,1,0))</f>
        <v/>
      </c>
      <c r="AL63">
        <f>IF($AK63=1,SUMPRODUCT(--($AO$2:$AO$1501&lt;$AO63))+1,"")</f>
        <v/>
      </c>
      <c r="AM63">
        <f>IF($C63="","",IF(OR($Q63=TRUE(),$Q63="TRUE"),1,0))</f>
        <v/>
      </c>
      <c r="AN63">
        <f>IF($C63="","",IF($Z63="Yes",1,0))</f>
        <v/>
      </c>
      <c r="AO63">
        <f>IF($AK63=1,IFERROR(IF(VALUE($C63)&lt;100000000,VALUE($C63),1000000000),IFERROR(IF(VALUE(MID($C63,2,20))&lt;100000000,VALUE(MID($C63,2,20)),1000000000),1000000000))+ROW()/100000,"")</f>
        <v/>
      </c>
    </row>
    <row r="64">
      <c r="F64" s="11" t="n"/>
      <c r="N64" s="7">
        <f>IF($C64="","",M64*U64/100)</f>
        <v/>
      </c>
      <c r="T64" s="7" t="n"/>
      <c r="U64" s="7" t="n"/>
      <c r="V64" s="7">
        <f>IF($C64="","",U64*AA64/100)</f>
        <v/>
      </c>
      <c r="W64" s="7">
        <f>IF($C64="","",U64-V64)</f>
        <v/>
      </c>
      <c r="X64" s="7">
        <f>IF($C64="","",W64-N64)</f>
        <v/>
      </c>
      <c r="AA64">
        <f>IF($C64="","",IF($AN64=1,0,IF($AM64=1,Settings!$C$6,Settings!$C$7))*100)</f>
        <v/>
      </c>
      <c r="AE64" s="7" t="n"/>
      <c r="AH64" s="11" t="n"/>
      <c r="AJ64">
        <f>IF($C64="","",$C64&amp;"|"&amp;$D64&amp;"")</f>
        <v/>
      </c>
      <c r="AK64">
        <f>IF($C64="","",IF(COUNTIF($AJ$2:$AJ64,$AJ64)=1,1,0))</f>
        <v/>
      </c>
      <c r="AL64">
        <f>IF($AK64=1,SUMPRODUCT(--($AO$2:$AO$1501&lt;$AO64))+1,"")</f>
        <v/>
      </c>
      <c r="AM64">
        <f>IF($C64="","",IF(OR($Q64=TRUE(),$Q64="TRUE"),1,0))</f>
        <v/>
      </c>
      <c r="AN64">
        <f>IF($C64="","",IF($Z64="Yes",1,0))</f>
        <v/>
      </c>
      <c r="AO64">
        <f>IF($AK64=1,IFERROR(IF(VALUE($C64)&lt;100000000,VALUE($C64),1000000000),IFERROR(IF(VALUE(MID($C64,2,20))&lt;100000000,VALUE(MID($C64,2,20)),1000000000),1000000000))+ROW()/100000,"")</f>
        <v/>
      </c>
    </row>
    <row r="65">
      <c r="F65" s="11" t="n"/>
      <c r="N65" s="7">
        <f>IF($C65="","",M65*U65/100)</f>
        <v/>
      </c>
      <c r="T65" s="7" t="n"/>
      <c r="U65" s="7" t="n"/>
      <c r="V65" s="7">
        <f>IF($C65="","",U65*AA65/100)</f>
        <v/>
      </c>
      <c r="W65" s="7">
        <f>IF($C65="","",U65-V65)</f>
        <v/>
      </c>
      <c r="X65" s="7">
        <f>IF($C65="","",W65-N65)</f>
        <v/>
      </c>
      <c r="AA65">
        <f>IF($C65="","",IF($AN65=1,0,IF($AM65=1,Settings!$C$6,Settings!$C$7))*100)</f>
        <v/>
      </c>
      <c r="AE65" s="7" t="n"/>
      <c r="AH65" s="11" t="n"/>
      <c r="AJ65">
        <f>IF($C65="","",$C65&amp;"|"&amp;$D65&amp;"")</f>
        <v/>
      </c>
      <c r="AK65">
        <f>IF($C65="","",IF(COUNTIF($AJ$2:$AJ65,$AJ65)=1,1,0))</f>
        <v/>
      </c>
      <c r="AL65">
        <f>IF($AK65=1,SUMPRODUCT(--($AO$2:$AO$1501&lt;$AO65))+1,"")</f>
        <v/>
      </c>
      <c r="AM65">
        <f>IF($C65="","",IF(OR($Q65=TRUE(),$Q65="TRUE"),1,0))</f>
        <v/>
      </c>
      <c r="AN65">
        <f>IF($C65="","",IF($Z65="Yes",1,0))</f>
        <v/>
      </c>
      <c r="AO65">
        <f>IF($AK65=1,IFERROR(IF(VALUE($C65)&lt;100000000,VALUE($C65),1000000000),IFERROR(IF(VALUE(MID($C65,2,20))&lt;100000000,VALUE(MID($C65,2,20)),1000000000),1000000000))+ROW()/100000,"")</f>
        <v/>
      </c>
    </row>
    <row r="66">
      <c r="F66" s="11" t="n"/>
      <c r="N66" s="7">
        <f>IF($C66="","",M66*U66/100)</f>
        <v/>
      </c>
      <c r="T66" s="7" t="n"/>
      <c r="U66" s="7" t="n"/>
      <c r="V66" s="7">
        <f>IF($C66="","",U66*AA66/100)</f>
        <v/>
      </c>
      <c r="W66" s="7">
        <f>IF($C66="","",U66-V66)</f>
        <v/>
      </c>
      <c r="X66" s="7">
        <f>IF($C66="","",W66-N66)</f>
        <v/>
      </c>
      <c r="AA66">
        <f>IF($C66="","",IF($AN66=1,0,IF($AM66=1,Settings!$C$6,Settings!$C$7))*100)</f>
        <v/>
      </c>
      <c r="AE66" s="7" t="n"/>
      <c r="AH66" s="11" t="n"/>
      <c r="AJ66">
        <f>IF($C66="","",$C66&amp;"|"&amp;$D66&amp;"")</f>
        <v/>
      </c>
      <c r="AK66">
        <f>IF($C66="","",IF(COUNTIF($AJ$2:$AJ66,$AJ66)=1,1,0))</f>
        <v/>
      </c>
      <c r="AL66">
        <f>IF($AK66=1,SUMPRODUCT(--($AO$2:$AO$1501&lt;$AO66))+1,"")</f>
        <v/>
      </c>
      <c r="AM66">
        <f>IF($C66="","",IF(OR($Q66=TRUE(),$Q66="TRUE"),1,0))</f>
        <v/>
      </c>
      <c r="AN66">
        <f>IF($C66="","",IF($Z66="Yes",1,0))</f>
        <v/>
      </c>
      <c r="AO66">
        <f>IF($AK66=1,IFERROR(IF(VALUE($C66)&lt;100000000,VALUE($C66),1000000000),IFERROR(IF(VALUE(MID($C66,2,20))&lt;100000000,VALUE(MID($C66,2,20)),1000000000),1000000000))+ROW()/100000,"")</f>
        <v/>
      </c>
    </row>
    <row r="67">
      <c r="F67" s="11" t="n"/>
      <c r="N67" s="7">
        <f>IF($C67="","",M67*U67/100)</f>
        <v/>
      </c>
      <c r="T67" s="7" t="n"/>
      <c r="U67" s="7" t="n"/>
      <c r="V67" s="7">
        <f>IF($C67="","",U67*AA67/100)</f>
        <v/>
      </c>
      <c r="W67" s="7">
        <f>IF($C67="","",U67-V67)</f>
        <v/>
      </c>
      <c r="X67" s="7">
        <f>IF($C67="","",W67-N67)</f>
        <v/>
      </c>
      <c r="AA67">
        <f>IF($C67="","",IF($AN67=1,0,IF($AM67=1,Settings!$C$6,Settings!$C$7))*100)</f>
        <v/>
      </c>
      <c r="AE67" s="7" t="n"/>
      <c r="AH67" s="11" t="n"/>
      <c r="AJ67">
        <f>IF($C67="","",$C67&amp;"|"&amp;$D67&amp;"")</f>
        <v/>
      </c>
      <c r="AK67">
        <f>IF($C67="","",IF(COUNTIF($AJ$2:$AJ67,$AJ67)=1,1,0))</f>
        <v/>
      </c>
      <c r="AL67">
        <f>IF($AK67=1,SUMPRODUCT(--($AO$2:$AO$1501&lt;$AO67))+1,"")</f>
        <v/>
      </c>
      <c r="AM67">
        <f>IF($C67="","",IF(OR($Q67=TRUE(),$Q67="TRUE"),1,0))</f>
        <v/>
      </c>
      <c r="AN67">
        <f>IF($C67="","",IF($Z67="Yes",1,0))</f>
        <v/>
      </c>
      <c r="AO67">
        <f>IF($AK67=1,IFERROR(IF(VALUE($C67)&lt;100000000,VALUE($C67),1000000000),IFERROR(IF(VALUE(MID($C67,2,20))&lt;100000000,VALUE(MID($C67,2,20)),1000000000),1000000000))+ROW()/100000,"")</f>
        <v/>
      </c>
    </row>
    <row r="68">
      <c r="F68" s="11" t="n"/>
      <c r="N68" s="7">
        <f>IF($C68="","",M68*U68/100)</f>
        <v/>
      </c>
      <c r="T68" s="7" t="n"/>
      <c r="U68" s="7" t="n"/>
      <c r="V68" s="7">
        <f>IF($C68="","",U68*AA68/100)</f>
        <v/>
      </c>
      <c r="W68" s="7">
        <f>IF($C68="","",U68-V68)</f>
        <v/>
      </c>
      <c r="X68" s="7">
        <f>IF($C68="","",W68-N68)</f>
        <v/>
      </c>
      <c r="AA68">
        <f>IF($C68="","",IF($AN68=1,0,IF($AM68=1,Settings!$C$6,Settings!$C$7))*100)</f>
        <v/>
      </c>
      <c r="AE68" s="7" t="n"/>
      <c r="AH68" s="11" t="n"/>
      <c r="AJ68">
        <f>IF($C68="","",$C68&amp;"|"&amp;$D68&amp;"")</f>
        <v/>
      </c>
      <c r="AK68">
        <f>IF($C68="","",IF(COUNTIF($AJ$2:$AJ68,$AJ68)=1,1,0))</f>
        <v/>
      </c>
      <c r="AL68">
        <f>IF($AK68=1,SUMPRODUCT(--($AO$2:$AO$1501&lt;$AO68))+1,"")</f>
        <v/>
      </c>
      <c r="AM68">
        <f>IF($C68="","",IF(OR($Q68=TRUE(),$Q68="TRUE"),1,0))</f>
        <v/>
      </c>
      <c r="AN68">
        <f>IF($C68="","",IF($Z68="Yes",1,0))</f>
        <v/>
      </c>
      <c r="AO68">
        <f>IF($AK68=1,IFERROR(IF(VALUE($C68)&lt;100000000,VALUE($C68),1000000000),IFERROR(IF(VALUE(MID($C68,2,20))&lt;100000000,VALUE(MID($C68,2,20)),1000000000),1000000000))+ROW()/100000,"")</f>
        <v/>
      </c>
    </row>
    <row r="69">
      <c r="F69" s="11" t="n"/>
      <c r="N69" s="7">
        <f>IF($C69="","",M69*U69/100)</f>
        <v/>
      </c>
      <c r="T69" s="7" t="n"/>
      <c r="U69" s="7" t="n"/>
      <c r="V69" s="7">
        <f>IF($C69="","",U69*AA69/100)</f>
        <v/>
      </c>
      <c r="W69" s="7">
        <f>IF($C69="","",U69-V69)</f>
        <v/>
      </c>
      <c r="X69" s="7">
        <f>IF($C69="","",W69-N69)</f>
        <v/>
      </c>
      <c r="AA69">
        <f>IF($C69="","",IF($AN69=1,0,IF($AM69=1,Settings!$C$6,Settings!$C$7))*100)</f>
        <v/>
      </c>
      <c r="AE69" s="7" t="n"/>
      <c r="AH69" s="11" t="n"/>
      <c r="AJ69">
        <f>IF($C69="","",$C69&amp;"|"&amp;$D69&amp;"")</f>
        <v/>
      </c>
      <c r="AK69">
        <f>IF($C69="","",IF(COUNTIF($AJ$2:$AJ69,$AJ69)=1,1,0))</f>
        <v/>
      </c>
      <c r="AL69">
        <f>IF($AK69=1,SUMPRODUCT(--($AO$2:$AO$1501&lt;$AO69))+1,"")</f>
        <v/>
      </c>
      <c r="AM69">
        <f>IF($C69="","",IF(OR($Q69=TRUE(),$Q69="TRUE"),1,0))</f>
        <v/>
      </c>
      <c r="AN69">
        <f>IF($C69="","",IF($Z69="Yes",1,0))</f>
        <v/>
      </c>
      <c r="AO69">
        <f>IF($AK69=1,IFERROR(IF(VALUE($C69)&lt;100000000,VALUE($C69),1000000000),IFERROR(IF(VALUE(MID($C69,2,20))&lt;100000000,VALUE(MID($C69,2,20)),1000000000),1000000000))+ROW()/100000,"")</f>
        <v/>
      </c>
    </row>
    <row r="70">
      <c r="F70" s="11" t="n"/>
      <c r="N70" s="7">
        <f>IF($C70="","",M70*U70/100)</f>
        <v/>
      </c>
      <c r="T70" s="7" t="n"/>
      <c r="U70" s="7" t="n"/>
      <c r="V70" s="7">
        <f>IF($C70="","",U70*AA70/100)</f>
        <v/>
      </c>
      <c r="W70" s="7">
        <f>IF($C70="","",U70-V70)</f>
        <v/>
      </c>
      <c r="X70" s="7">
        <f>IF($C70="","",W70-N70)</f>
        <v/>
      </c>
      <c r="AA70">
        <f>IF($C70="","",IF($AN70=1,0,IF($AM70=1,Settings!$C$6,Settings!$C$7))*100)</f>
        <v/>
      </c>
      <c r="AE70" s="7" t="n"/>
      <c r="AH70" s="11" t="n"/>
      <c r="AJ70">
        <f>IF($C70="","",$C70&amp;"|"&amp;$D70&amp;"")</f>
        <v/>
      </c>
      <c r="AK70">
        <f>IF($C70="","",IF(COUNTIF($AJ$2:$AJ70,$AJ70)=1,1,0))</f>
        <v/>
      </c>
      <c r="AL70">
        <f>IF($AK70=1,SUMPRODUCT(--($AO$2:$AO$1501&lt;$AO70))+1,"")</f>
        <v/>
      </c>
      <c r="AM70">
        <f>IF($C70="","",IF(OR($Q70=TRUE(),$Q70="TRUE"),1,0))</f>
        <v/>
      </c>
      <c r="AN70">
        <f>IF($C70="","",IF($Z70="Yes",1,0))</f>
        <v/>
      </c>
      <c r="AO70">
        <f>IF($AK70=1,IFERROR(IF(VALUE($C70)&lt;100000000,VALUE($C70),1000000000),IFERROR(IF(VALUE(MID($C70,2,20))&lt;100000000,VALUE(MID($C70,2,20)),1000000000),1000000000))+ROW()/100000,"")</f>
        <v/>
      </c>
    </row>
    <row r="71">
      <c r="F71" s="11" t="n"/>
      <c r="N71" s="7">
        <f>IF($C71="","",M71*U71/100)</f>
        <v/>
      </c>
      <c r="T71" s="7" t="n"/>
      <c r="U71" s="7" t="n"/>
      <c r="V71" s="7">
        <f>IF($C71="","",U71*AA71/100)</f>
        <v/>
      </c>
      <c r="W71" s="7">
        <f>IF($C71="","",U71-V71)</f>
        <v/>
      </c>
      <c r="X71" s="7">
        <f>IF($C71="","",W71-N71)</f>
        <v/>
      </c>
      <c r="AA71">
        <f>IF($C71="","",IF($AN71=1,0,IF($AM71=1,Settings!$C$6,Settings!$C$7))*100)</f>
        <v/>
      </c>
      <c r="AE71" s="7" t="n"/>
      <c r="AH71" s="11" t="n"/>
      <c r="AJ71">
        <f>IF($C71="","",$C71&amp;"|"&amp;$D71&amp;"")</f>
        <v/>
      </c>
      <c r="AK71">
        <f>IF($C71="","",IF(COUNTIF($AJ$2:$AJ71,$AJ71)=1,1,0))</f>
        <v/>
      </c>
      <c r="AL71">
        <f>IF($AK71=1,SUMPRODUCT(--($AO$2:$AO$1501&lt;$AO71))+1,"")</f>
        <v/>
      </c>
      <c r="AM71">
        <f>IF($C71="","",IF(OR($Q71=TRUE(),$Q71="TRUE"),1,0))</f>
        <v/>
      </c>
      <c r="AN71">
        <f>IF($C71="","",IF($Z71="Yes",1,0))</f>
        <v/>
      </c>
      <c r="AO71">
        <f>IF($AK71=1,IFERROR(IF(VALUE($C71)&lt;100000000,VALUE($C71),1000000000),IFERROR(IF(VALUE(MID($C71,2,20))&lt;100000000,VALUE(MID($C71,2,20)),1000000000),1000000000))+ROW()/100000,"")</f>
        <v/>
      </c>
    </row>
    <row r="72">
      <c r="F72" s="11" t="n"/>
      <c r="N72" s="7">
        <f>IF($C72="","",M72*U72/100)</f>
        <v/>
      </c>
      <c r="T72" s="7" t="n"/>
      <c r="U72" s="7" t="n"/>
      <c r="V72" s="7">
        <f>IF($C72="","",U72*AA72/100)</f>
        <v/>
      </c>
      <c r="W72" s="7">
        <f>IF($C72="","",U72-V72)</f>
        <v/>
      </c>
      <c r="X72" s="7">
        <f>IF($C72="","",W72-N72)</f>
        <v/>
      </c>
      <c r="AA72">
        <f>IF($C72="","",IF($AN72=1,0,IF($AM72=1,Settings!$C$6,Settings!$C$7))*100)</f>
        <v/>
      </c>
      <c r="AE72" s="7" t="n"/>
      <c r="AH72" s="11" t="n"/>
      <c r="AJ72">
        <f>IF($C72="","",$C72&amp;"|"&amp;$D72&amp;"")</f>
        <v/>
      </c>
      <c r="AK72">
        <f>IF($C72="","",IF(COUNTIF($AJ$2:$AJ72,$AJ72)=1,1,0))</f>
        <v/>
      </c>
      <c r="AL72">
        <f>IF($AK72=1,SUMPRODUCT(--($AO$2:$AO$1501&lt;$AO72))+1,"")</f>
        <v/>
      </c>
      <c r="AM72">
        <f>IF($C72="","",IF(OR($Q72=TRUE(),$Q72="TRUE"),1,0))</f>
        <v/>
      </c>
      <c r="AN72">
        <f>IF($C72="","",IF($Z72="Yes",1,0))</f>
        <v/>
      </c>
      <c r="AO72">
        <f>IF($AK72=1,IFERROR(IF(VALUE($C72)&lt;100000000,VALUE($C72),1000000000),IFERROR(IF(VALUE(MID($C72,2,20))&lt;100000000,VALUE(MID($C72,2,20)),1000000000),1000000000))+ROW()/100000,"")</f>
        <v/>
      </c>
    </row>
    <row r="73">
      <c r="F73" s="11" t="n"/>
      <c r="N73" s="7">
        <f>IF($C73="","",M73*U73/100)</f>
        <v/>
      </c>
      <c r="T73" s="7" t="n"/>
      <c r="U73" s="7" t="n"/>
      <c r="V73" s="7">
        <f>IF($C73="","",U73*AA73/100)</f>
        <v/>
      </c>
      <c r="W73" s="7">
        <f>IF($C73="","",U73-V73)</f>
        <v/>
      </c>
      <c r="X73" s="7">
        <f>IF($C73="","",W73-N73)</f>
        <v/>
      </c>
      <c r="AA73">
        <f>IF($C73="","",IF($AN73=1,0,IF($AM73=1,Settings!$C$6,Settings!$C$7))*100)</f>
        <v/>
      </c>
      <c r="AE73" s="7" t="n"/>
      <c r="AH73" s="11" t="n"/>
      <c r="AJ73">
        <f>IF($C73="","",$C73&amp;"|"&amp;$D73&amp;"")</f>
        <v/>
      </c>
      <c r="AK73">
        <f>IF($C73="","",IF(COUNTIF($AJ$2:$AJ73,$AJ73)=1,1,0))</f>
        <v/>
      </c>
      <c r="AL73">
        <f>IF($AK73=1,SUMPRODUCT(--($AO$2:$AO$1501&lt;$AO73))+1,"")</f>
        <v/>
      </c>
      <c r="AM73">
        <f>IF($C73="","",IF(OR($Q73=TRUE(),$Q73="TRUE"),1,0))</f>
        <v/>
      </c>
      <c r="AN73">
        <f>IF($C73="","",IF($Z73="Yes",1,0))</f>
        <v/>
      </c>
      <c r="AO73">
        <f>IF($AK73=1,IFERROR(IF(VALUE($C73)&lt;100000000,VALUE($C73),1000000000),IFERROR(IF(VALUE(MID($C73,2,20))&lt;100000000,VALUE(MID($C73,2,20)),1000000000),1000000000))+ROW()/100000,"")</f>
        <v/>
      </c>
    </row>
    <row r="74">
      <c r="F74" s="11" t="n"/>
      <c r="N74" s="7">
        <f>IF($C74="","",M74*U74/100)</f>
        <v/>
      </c>
      <c r="T74" s="7" t="n"/>
      <c r="U74" s="7" t="n"/>
      <c r="V74" s="7">
        <f>IF($C74="","",U74*AA74/100)</f>
        <v/>
      </c>
      <c r="W74" s="7">
        <f>IF($C74="","",U74-V74)</f>
        <v/>
      </c>
      <c r="X74" s="7">
        <f>IF($C74="","",W74-N74)</f>
        <v/>
      </c>
      <c r="AA74">
        <f>IF($C74="","",IF($AN74=1,0,IF($AM74=1,Settings!$C$6,Settings!$C$7))*100)</f>
        <v/>
      </c>
      <c r="AE74" s="7" t="n"/>
      <c r="AH74" s="11" t="n"/>
      <c r="AJ74">
        <f>IF($C74="","",$C74&amp;"|"&amp;$D74&amp;"")</f>
        <v/>
      </c>
      <c r="AK74">
        <f>IF($C74="","",IF(COUNTIF($AJ$2:$AJ74,$AJ74)=1,1,0))</f>
        <v/>
      </c>
      <c r="AL74">
        <f>IF($AK74=1,SUMPRODUCT(--($AO$2:$AO$1501&lt;$AO74))+1,"")</f>
        <v/>
      </c>
      <c r="AM74">
        <f>IF($C74="","",IF(OR($Q74=TRUE(),$Q74="TRUE"),1,0))</f>
        <v/>
      </c>
      <c r="AN74">
        <f>IF($C74="","",IF($Z74="Yes",1,0))</f>
        <v/>
      </c>
      <c r="AO74">
        <f>IF($AK74=1,IFERROR(IF(VALUE($C74)&lt;100000000,VALUE($C74),1000000000),IFERROR(IF(VALUE(MID($C74,2,20))&lt;100000000,VALUE(MID($C74,2,20)),1000000000),1000000000))+ROW()/100000,"")</f>
        <v/>
      </c>
    </row>
    <row r="75">
      <c r="F75" s="11" t="n"/>
      <c r="N75" s="7">
        <f>IF($C75="","",M75*U75/100)</f>
        <v/>
      </c>
      <c r="T75" s="7" t="n"/>
      <c r="U75" s="7" t="n"/>
      <c r="V75" s="7">
        <f>IF($C75="","",U75*AA75/100)</f>
        <v/>
      </c>
      <c r="W75" s="7">
        <f>IF($C75="","",U75-V75)</f>
        <v/>
      </c>
      <c r="X75" s="7">
        <f>IF($C75="","",W75-N75)</f>
        <v/>
      </c>
      <c r="AA75">
        <f>IF($C75="","",IF($AN75=1,0,IF($AM75=1,Settings!$C$6,Settings!$C$7))*100)</f>
        <v/>
      </c>
      <c r="AE75" s="7" t="n"/>
      <c r="AH75" s="11" t="n"/>
      <c r="AJ75">
        <f>IF($C75="","",$C75&amp;"|"&amp;$D75&amp;"")</f>
        <v/>
      </c>
      <c r="AK75">
        <f>IF($C75="","",IF(COUNTIF($AJ$2:$AJ75,$AJ75)=1,1,0))</f>
        <v/>
      </c>
      <c r="AL75">
        <f>IF($AK75=1,SUMPRODUCT(--($AO$2:$AO$1501&lt;$AO75))+1,"")</f>
        <v/>
      </c>
      <c r="AM75">
        <f>IF($C75="","",IF(OR($Q75=TRUE(),$Q75="TRUE"),1,0))</f>
        <v/>
      </c>
      <c r="AN75">
        <f>IF($C75="","",IF($Z75="Yes",1,0))</f>
        <v/>
      </c>
      <c r="AO75">
        <f>IF($AK75=1,IFERROR(IF(VALUE($C75)&lt;100000000,VALUE($C75),1000000000),IFERROR(IF(VALUE(MID($C75,2,20))&lt;100000000,VALUE(MID($C75,2,20)),1000000000),1000000000))+ROW()/100000,"")</f>
        <v/>
      </c>
    </row>
    <row r="76">
      <c r="F76" s="11" t="n"/>
      <c r="N76" s="7">
        <f>IF($C76="","",M76*U76/100)</f>
        <v/>
      </c>
      <c r="T76" s="7" t="n"/>
      <c r="U76" s="7" t="n"/>
      <c r="V76" s="7">
        <f>IF($C76="","",U76*AA76/100)</f>
        <v/>
      </c>
      <c r="W76" s="7">
        <f>IF($C76="","",U76-V76)</f>
        <v/>
      </c>
      <c r="X76" s="7">
        <f>IF($C76="","",W76-N76)</f>
        <v/>
      </c>
      <c r="AA76">
        <f>IF($C76="","",IF($AN76=1,0,IF($AM76=1,Settings!$C$6,Settings!$C$7))*100)</f>
        <v/>
      </c>
      <c r="AE76" s="7" t="n"/>
      <c r="AH76" s="11" t="n"/>
      <c r="AJ76">
        <f>IF($C76="","",$C76&amp;"|"&amp;$D76&amp;"")</f>
        <v/>
      </c>
      <c r="AK76">
        <f>IF($C76="","",IF(COUNTIF($AJ$2:$AJ76,$AJ76)=1,1,0))</f>
        <v/>
      </c>
      <c r="AL76">
        <f>IF($AK76=1,SUMPRODUCT(--($AO$2:$AO$1501&lt;$AO76))+1,"")</f>
        <v/>
      </c>
      <c r="AM76">
        <f>IF($C76="","",IF(OR($Q76=TRUE(),$Q76="TRUE"),1,0))</f>
        <v/>
      </c>
      <c r="AN76">
        <f>IF($C76="","",IF($Z76="Yes",1,0))</f>
        <v/>
      </c>
      <c r="AO76">
        <f>IF($AK76=1,IFERROR(IF(VALUE($C76)&lt;100000000,VALUE($C76),1000000000),IFERROR(IF(VALUE(MID($C76,2,20))&lt;100000000,VALUE(MID($C76,2,20)),1000000000),1000000000))+ROW()/100000,"")</f>
        <v/>
      </c>
    </row>
    <row r="77">
      <c r="F77" s="11" t="n"/>
      <c r="N77" s="7">
        <f>IF($C77="","",M77*U77/100)</f>
        <v/>
      </c>
      <c r="T77" s="7" t="n"/>
      <c r="U77" s="7" t="n"/>
      <c r="V77" s="7">
        <f>IF($C77="","",U77*AA77/100)</f>
        <v/>
      </c>
      <c r="W77" s="7">
        <f>IF($C77="","",U77-V77)</f>
        <v/>
      </c>
      <c r="X77" s="7">
        <f>IF($C77="","",W77-N77)</f>
        <v/>
      </c>
      <c r="AA77">
        <f>IF($C77="","",IF($AN77=1,0,IF($AM77=1,Settings!$C$6,Settings!$C$7))*100)</f>
        <v/>
      </c>
      <c r="AE77" s="7" t="n"/>
      <c r="AH77" s="11" t="n"/>
      <c r="AJ77">
        <f>IF($C77="","",$C77&amp;"|"&amp;$D77&amp;"")</f>
        <v/>
      </c>
      <c r="AK77">
        <f>IF($C77="","",IF(COUNTIF($AJ$2:$AJ77,$AJ77)=1,1,0))</f>
        <v/>
      </c>
      <c r="AL77">
        <f>IF($AK77=1,SUMPRODUCT(--($AO$2:$AO$1501&lt;$AO77))+1,"")</f>
        <v/>
      </c>
      <c r="AM77">
        <f>IF($C77="","",IF(OR($Q77=TRUE(),$Q77="TRUE"),1,0))</f>
        <v/>
      </c>
      <c r="AN77">
        <f>IF($C77="","",IF($Z77="Yes",1,0))</f>
        <v/>
      </c>
      <c r="AO77">
        <f>IF($AK77=1,IFERROR(IF(VALUE($C77)&lt;100000000,VALUE($C77),1000000000),IFERROR(IF(VALUE(MID($C77,2,20))&lt;100000000,VALUE(MID($C77,2,20)),1000000000),1000000000))+ROW()/100000,"")</f>
        <v/>
      </c>
    </row>
    <row r="78">
      <c r="F78" s="11" t="n"/>
      <c r="N78" s="7">
        <f>IF($C78="","",M78*U78/100)</f>
        <v/>
      </c>
      <c r="T78" s="7" t="n"/>
      <c r="U78" s="7" t="n"/>
      <c r="V78" s="7">
        <f>IF($C78="","",U78*AA78/100)</f>
        <v/>
      </c>
      <c r="W78" s="7">
        <f>IF($C78="","",U78-V78)</f>
        <v/>
      </c>
      <c r="X78" s="7">
        <f>IF($C78="","",W78-N78)</f>
        <v/>
      </c>
      <c r="AA78">
        <f>IF($C78="","",IF($AN78=1,0,IF($AM78=1,Settings!$C$6,Settings!$C$7))*100)</f>
        <v/>
      </c>
      <c r="AE78" s="7" t="n"/>
      <c r="AH78" s="11" t="n"/>
      <c r="AJ78">
        <f>IF($C78="","",$C78&amp;"|"&amp;$D78&amp;"")</f>
        <v/>
      </c>
      <c r="AK78">
        <f>IF($C78="","",IF(COUNTIF($AJ$2:$AJ78,$AJ78)=1,1,0))</f>
        <v/>
      </c>
      <c r="AL78">
        <f>IF($AK78=1,SUMPRODUCT(--($AO$2:$AO$1501&lt;$AO78))+1,"")</f>
        <v/>
      </c>
      <c r="AM78">
        <f>IF($C78="","",IF(OR($Q78=TRUE(),$Q78="TRUE"),1,0))</f>
        <v/>
      </c>
      <c r="AN78">
        <f>IF($C78="","",IF($Z78="Yes",1,0))</f>
        <v/>
      </c>
      <c r="AO78">
        <f>IF($AK78=1,IFERROR(IF(VALUE($C78)&lt;100000000,VALUE($C78),1000000000),IFERROR(IF(VALUE(MID($C78,2,20))&lt;100000000,VALUE(MID($C78,2,20)),1000000000),1000000000))+ROW()/100000,"")</f>
        <v/>
      </c>
    </row>
    <row r="79">
      <c r="F79" s="11" t="n"/>
      <c r="N79" s="7">
        <f>IF($C79="","",M79*U79/100)</f>
        <v/>
      </c>
      <c r="T79" s="7" t="n"/>
      <c r="U79" s="7" t="n"/>
      <c r="V79" s="7">
        <f>IF($C79="","",U79*AA79/100)</f>
        <v/>
      </c>
      <c r="W79" s="7">
        <f>IF($C79="","",U79-V79)</f>
        <v/>
      </c>
      <c r="X79" s="7">
        <f>IF($C79="","",W79-N79)</f>
        <v/>
      </c>
      <c r="AA79">
        <f>IF($C79="","",IF($AN79=1,0,IF($AM79=1,Settings!$C$6,Settings!$C$7))*100)</f>
        <v/>
      </c>
      <c r="AE79" s="7" t="n"/>
      <c r="AH79" s="11" t="n"/>
      <c r="AJ79">
        <f>IF($C79="","",$C79&amp;"|"&amp;$D79&amp;"")</f>
        <v/>
      </c>
      <c r="AK79">
        <f>IF($C79="","",IF(COUNTIF($AJ$2:$AJ79,$AJ79)=1,1,0))</f>
        <v/>
      </c>
      <c r="AL79">
        <f>IF($AK79=1,SUMPRODUCT(--($AO$2:$AO$1501&lt;$AO79))+1,"")</f>
        <v/>
      </c>
      <c r="AM79">
        <f>IF($C79="","",IF(OR($Q79=TRUE(),$Q79="TRUE"),1,0))</f>
        <v/>
      </c>
      <c r="AN79">
        <f>IF($C79="","",IF($Z79="Yes",1,0))</f>
        <v/>
      </c>
      <c r="AO79">
        <f>IF($AK79=1,IFERROR(IF(VALUE($C79)&lt;100000000,VALUE($C79),1000000000),IFERROR(IF(VALUE(MID($C79,2,20))&lt;100000000,VALUE(MID($C79,2,20)),1000000000),1000000000))+ROW()/100000,"")</f>
        <v/>
      </c>
    </row>
    <row r="80">
      <c r="F80" s="11" t="n"/>
      <c r="N80" s="7">
        <f>IF($C80="","",M80*U80/100)</f>
        <v/>
      </c>
      <c r="T80" s="7" t="n"/>
      <c r="U80" s="7" t="n"/>
      <c r="V80" s="7">
        <f>IF($C80="","",U80*AA80/100)</f>
        <v/>
      </c>
      <c r="W80" s="7">
        <f>IF($C80="","",U80-V80)</f>
        <v/>
      </c>
      <c r="X80" s="7">
        <f>IF($C80="","",W80-N80)</f>
        <v/>
      </c>
      <c r="AA80">
        <f>IF($C80="","",IF($AN80=1,0,IF($AM80=1,Settings!$C$6,Settings!$C$7))*100)</f>
        <v/>
      </c>
      <c r="AE80" s="7" t="n"/>
      <c r="AH80" s="11" t="n"/>
      <c r="AJ80">
        <f>IF($C80="","",$C80&amp;"|"&amp;$D80&amp;"")</f>
        <v/>
      </c>
      <c r="AK80">
        <f>IF($C80="","",IF(COUNTIF($AJ$2:$AJ80,$AJ80)=1,1,0))</f>
        <v/>
      </c>
      <c r="AL80">
        <f>IF($AK80=1,SUMPRODUCT(--($AO$2:$AO$1501&lt;$AO80))+1,"")</f>
        <v/>
      </c>
      <c r="AM80">
        <f>IF($C80="","",IF(OR($Q80=TRUE(),$Q80="TRUE"),1,0))</f>
        <v/>
      </c>
      <c r="AN80">
        <f>IF($C80="","",IF($Z80="Yes",1,0))</f>
        <v/>
      </c>
      <c r="AO80">
        <f>IF($AK80=1,IFERROR(IF(VALUE($C80)&lt;100000000,VALUE($C80),1000000000),IFERROR(IF(VALUE(MID($C80,2,20))&lt;100000000,VALUE(MID($C80,2,20)),1000000000),1000000000))+ROW()/100000,"")</f>
        <v/>
      </c>
    </row>
    <row r="81">
      <c r="F81" s="11" t="n"/>
      <c r="N81" s="7">
        <f>IF($C81="","",M81*U81/100)</f>
        <v/>
      </c>
      <c r="T81" s="7" t="n"/>
      <c r="U81" s="7" t="n"/>
      <c r="V81" s="7">
        <f>IF($C81="","",U81*AA81/100)</f>
        <v/>
      </c>
      <c r="W81" s="7">
        <f>IF($C81="","",U81-V81)</f>
        <v/>
      </c>
      <c r="X81" s="7">
        <f>IF($C81="","",W81-N81)</f>
        <v/>
      </c>
      <c r="AA81">
        <f>IF($C81="","",IF($AN81=1,0,IF($AM81=1,Settings!$C$6,Settings!$C$7))*100)</f>
        <v/>
      </c>
      <c r="AE81" s="7" t="n"/>
      <c r="AH81" s="11" t="n"/>
      <c r="AJ81">
        <f>IF($C81="","",$C81&amp;"|"&amp;$D81&amp;"")</f>
        <v/>
      </c>
      <c r="AK81">
        <f>IF($C81="","",IF(COUNTIF($AJ$2:$AJ81,$AJ81)=1,1,0))</f>
        <v/>
      </c>
      <c r="AL81">
        <f>IF($AK81=1,SUMPRODUCT(--($AO$2:$AO$1501&lt;$AO81))+1,"")</f>
        <v/>
      </c>
      <c r="AM81">
        <f>IF($C81="","",IF(OR($Q81=TRUE(),$Q81="TRUE"),1,0))</f>
        <v/>
      </c>
      <c r="AN81">
        <f>IF($C81="","",IF($Z81="Yes",1,0))</f>
        <v/>
      </c>
      <c r="AO81">
        <f>IF($AK81=1,IFERROR(IF(VALUE($C81)&lt;100000000,VALUE($C81),1000000000),IFERROR(IF(VALUE(MID($C81,2,20))&lt;100000000,VALUE(MID($C81,2,20)),1000000000),1000000000))+ROW()/100000,"")</f>
        <v/>
      </c>
    </row>
    <row r="82">
      <c r="F82" s="11" t="n"/>
      <c r="N82" s="7">
        <f>IF($C82="","",M82*U82/100)</f>
        <v/>
      </c>
      <c r="T82" s="7" t="n"/>
      <c r="U82" s="7" t="n"/>
      <c r="V82" s="7">
        <f>IF($C82="","",U82*AA82/100)</f>
        <v/>
      </c>
      <c r="W82" s="7">
        <f>IF($C82="","",U82-V82)</f>
        <v/>
      </c>
      <c r="X82" s="7">
        <f>IF($C82="","",W82-N82)</f>
        <v/>
      </c>
      <c r="AA82">
        <f>IF($C82="","",IF($AN82=1,0,IF($AM82=1,Settings!$C$6,Settings!$C$7))*100)</f>
        <v/>
      </c>
      <c r="AE82" s="7" t="n"/>
      <c r="AH82" s="11" t="n"/>
      <c r="AJ82">
        <f>IF($C82="","",$C82&amp;"|"&amp;$D82&amp;"")</f>
        <v/>
      </c>
      <c r="AK82">
        <f>IF($C82="","",IF(COUNTIF($AJ$2:$AJ82,$AJ82)=1,1,0))</f>
        <v/>
      </c>
      <c r="AL82">
        <f>IF($AK82=1,SUMPRODUCT(--($AO$2:$AO$1501&lt;$AO82))+1,"")</f>
        <v/>
      </c>
      <c r="AM82">
        <f>IF($C82="","",IF(OR($Q82=TRUE(),$Q82="TRUE"),1,0))</f>
        <v/>
      </c>
      <c r="AN82">
        <f>IF($C82="","",IF($Z82="Yes",1,0))</f>
        <v/>
      </c>
      <c r="AO82">
        <f>IF($AK82=1,IFERROR(IF(VALUE($C82)&lt;100000000,VALUE($C82),1000000000),IFERROR(IF(VALUE(MID($C82,2,20))&lt;100000000,VALUE(MID($C82,2,20)),1000000000),1000000000))+ROW()/100000,"")</f>
        <v/>
      </c>
    </row>
    <row r="83">
      <c r="F83" s="11" t="n"/>
      <c r="N83" s="7">
        <f>IF($C83="","",M83*U83/100)</f>
        <v/>
      </c>
      <c r="T83" s="7" t="n"/>
      <c r="U83" s="7" t="n"/>
      <c r="V83" s="7">
        <f>IF($C83="","",U83*AA83/100)</f>
        <v/>
      </c>
      <c r="W83" s="7">
        <f>IF($C83="","",U83-V83)</f>
        <v/>
      </c>
      <c r="X83" s="7">
        <f>IF($C83="","",W83-N83)</f>
        <v/>
      </c>
      <c r="AA83">
        <f>IF($C83="","",IF($AN83=1,0,IF($AM83=1,Settings!$C$6,Settings!$C$7))*100)</f>
        <v/>
      </c>
      <c r="AE83" s="7" t="n"/>
      <c r="AH83" s="11" t="n"/>
      <c r="AJ83">
        <f>IF($C83="","",$C83&amp;"|"&amp;$D83&amp;"")</f>
        <v/>
      </c>
      <c r="AK83">
        <f>IF($C83="","",IF(COUNTIF($AJ$2:$AJ83,$AJ83)=1,1,0))</f>
        <v/>
      </c>
      <c r="AL83">
        <f>IF($AK83=1,SUMPRODUCT(--($AO$2:$AO$1501&lt;$AO83))+1,"")</f>
        <v/>
      </c>
      <c r="AM83">
        <f>IF($C83="","",IF(OR($Q83=TRUE(),$Q83="TRUE"),1,0))</f>
        <v/>
      </c>
      <c r="AN83">
        <f>IF($C83="","",IF($Z83="Yes",1,0))</f>
        <v/>
      </c>
      <c r="AO83">
        <f>IF($AK83=1,IFERROR(IF(VALUE($C83)&lt;100000000,VALUE($C83),1000000000),IFERROR(IF(VALUE(MID($C83,2,20))&lt;100000000,VALUE(MID($C83,2,20)),1000000000),1000000000))+ROW()/100000,"")</f>
        <v/>
      </c>
    </row>
    <row r="84">
      <c r="F84" s="11" t="n"/>
      <c r="N84" s="7">
        <f>IF($C84="","",M84*U84/100)</f>
        <v/>
      </c>
      <c r="T84" s="7" t="n"/>
      <c r="U84" s="7" t="n"/>
      <c r="V84" s="7">
        <f>IF($C84="","",U84*AA84/100)</f>
        <v/>
      </c>
      <c r="W84" s="7">
        <f>IF($C84="","",U84-V84)</f>
        <v/>
      </c>
      <c r="X84" s="7">
        <f>IF($C84="","",W84-N84)</f>
        <v/>
      </c>
      <c r="AA84">
        <f>IF($C84="","",IF($AN84=1,0,IF($AM84=1,Settings!$C$6,Settings!$C$7))*100)</f>
        <v/>
      </c>
      <c r="AE84" s="7" t="n"/>
      <c r="AH84" s="11" t="n"/>
      <c r="AJ84">
        <f>IF($C84="","",$C84&amp;"|"&amp;$D84&amp;"")</f>
        <v/>
      </c>
      <c r="AK84">
        <f>IF($C84="","",IF(COUNTIF($AJ$2:$AJ84,$AJ84)=1,1,0))</f>
        <v/>
      </c>
      <c r="AL84">
        <f>IF($AK84=1,SUMPRODUCT(--($AO$2:$AO$1501&lt;$AO84))+1,"")</f>
        <v/>
      </c>
      <c r="AM84">
        <f>IF($C84="","",IF(OR($Q84=TRUE(),$Q84="TRUE"),1,0))</f>
        <v/>
      </c>
      <c r="AN84">
        <f>IF($C84="","",IF($Z84="Yes",1,0))</f>
        <v/>
      </c>
      <c r="AO84">
        <f>IF($AK84=1,IFERROR(IF(VALUE($C84)&lt;100000000,VALUE($C84),1000000000),IFERROR(IF(VALUE(MID($C84,2,20))&lt;100000000,VALUE(MID($C84,2,20)),1000000000),1000000000))+ROW()/100000,"")</f>
        <v/>
      </c>
    </row>
    <row r="85">
      <c r="F85" s="11" t="n"/>
      <c r="N85" s="7">
        <f>IF($C85="","",M85*U85/100)</f>
        <v/>
      </c>
      <c r="T85" s="7" t="n"/>
      <c r="U85" s="7" t="n"/>
      <c r="V85" s="7">
        <f>IF($C85="","",U85*AA85/100)</f>
        <v/>
      </c>
      <c r="W85" s="7">
        <f>IF($C85="","",U85-V85)</f>
        <v/>
      </c>
      <c r="X85" s="7">
        <f>IF($C85="","",W85-N85)</f>
        <v/>
      </c>
      <c r="AA85">
        <f>IF($C85="","",IF($AN85=1,0,IF($AM85=1,Settings!$C$6,Settings!$C$7))*100)</f>
        <v/>
      </c>
      <c r="AE85" s="7" t="n"/>
      <c r="AH85" s="11" t="n"/>
      <c r="AJ85">
        <f>IF($C85="","",$C85&amp;"|"&amp;$D85&amp;"")</f>
        <v/>
      </c>
      <c r="AK85">
        <f>IF($C85="","",IF(COUNTIF($AJ$2:$AJ85,$AJ85)=1,1,0))</f>
        <v/>
      </c>
      <c r="AL85">
        <f>IF($AK85=1,SUMPRODUCT(--($AO$2:$AO$1501&lt;$AO85))+1,"")</f>
        <v/>
      </c>
      <c r="AM85">
        <f>IF($C85="","",IF(OR($Q85=TRUE(),$Q85="TRUE"),1,0))</f>
        <v/>
      </c>
      <c r="AN85">
        <f>IF($C85="","",IF($Z85="Yes",1,0))</f>
        <v/>
      </c>
      <c r="AO85">
        <f>IF($AK85=1,IFERROR(IF(VALUE($C85)&lt;100000000,VALUE($C85),1000000000),IFERROR(IF(VALUE(MID($C85,2,20))&lt;100000000,VALUE(MID($C85,2,20)),1000000000),1000000000))+ROW()/100000,"")</f>
        <v/>
      </c>
    </row>
    <row r="86">
      <c r="F86" s="11" t="n"/>
      <c r="N86" s="7">
        <f>IF($C86="","",M86*U86/100)</f>
        <v/>
      </c>
      <c r="T86" s="7" t="n"/>
      <c r="U86" s="7" t="n"/>
      <c r="V86" s="7">
        <f>IF($C86="","",U86*AA86/100)</f>
        <v/>
      </c>
      <c r="W86" s="7">
        <f>IF($C86="","",U86-V86)</f>
        <v/>
      </c>
      <c r="X86" s="7">
        <f>IF($C86="","",W86-N86)</f>
        <v/>
      </c>
      <c r="AA86">
        <f>IF($C86="","",IF($AN86=1,0,IF($AM86=1,Settings!$C$6,Settings!$C$7))*100)</f>
        <v/>
      </c>
      <c r="AE86" s="7" t="n"/>
      <c r="AH86" s="11" t="n"/>
      <c r="AJ86">
        <f>IF($C86="","",$C86&amp;"|"&amp;$D86&amp;"")</f>
        <v/>
      </c>
      <c r="AK86">
        <f>IF($C86="","",IF(COUNTIF($AJ$2:$AJ86,$AJ86)=1,1,0))</f>
        <v/>
      </c>
      <c r="AL86">
        <f>IF($AK86=1,SUMPRODUCT(--($AO$2:$AO$1501&lt;$AO86))+1,"")</f>
        <v/>
      </c>
      <c r="AM86">
        <f>IF($C86="","",IF(OR($Q86=TRUE(),$Q86="TRUE"),1,0))</f>
        <v/>
      </c>
      <c r="AN86">
        <f>IF($C86="","",IF($Z86="Yes",1,0))</f>
        <v/>
      </c>
      <c r="AO86">
        <f>IF($AK86=1,IFERROR(IF(VALUE($C86)&lt;100000000,VALUE($C86),1000000000),IFERROR(IF(VALUE(MID($C86,2,20))&lt;100000000,VALUE(MID($C86,2,20)),1000000000),1000000000))+ROW()/100000,"")</f>
        <v/>
      </c>
    </row>
    <row r="87">
      <c r="F87" s="11" t="n"/>
      <c r="N87" s="7">
        <f>IF($C87="","",M87*U87/100)</f>
        <v/>
      </c>
      <c r="T87" s="7" t="n"/>
      <c r="U87" s="7" t="n"/>
      <c r="V87" s="7">
        <f>IF($C87="","",U87*AA87/100)</f>
        <v/>
      </c>
      <c r="W87" s="7">
        <f>IF($C87="","",U87-V87)</f>
        <v/>
      </c>
      <c r="X87" s="7">
        <f>IF($C87="","",W87-N87)</f>
        <v/>
      </c>
      <c r="AA87">
        <f>IF($C87="","",IF($AN87=1,0,IF($AM87=1,Settings!$C$6,Settings!$C$7))*100)</f>
        <v/>
      </c>
      <c r="AE87" s="7" t="n"/>
      <c r="AH87" s="11" t="n"/>
      <c r="AJ87">
        <f>IF($C87="","",$C87&amp;"|"&amp;$D87&amp;"")</f>
        <v/>
      </c>
      <c r="AK87">
        <f>IF($C87="","",IF(COUNTIF($AJ$2:$AJ87,$AJ87)=1,1,0))</f>
        <v/>
      </c>
      <c r="AL87">
        <f>IF($AK87=1,SUMPRODUCT(--($AO$2:$AO$1501&lt;$AO87))+1,"")</f>
        <v/>
      </c>
      <c r="AM87">
        <f>IF($C87="","",IF(OR($Q87=TRUE(),$Q87="TRUE"),1,0))</f>
        <v/>
      </c>
      <c r="AN87">
        <f>IF($C87="","",IF($Z87="Yes",1,0))</f>
        <v/>
      </c>
      <c r="AO87">
        <f>IF($AK87=1,IFERROR(IF(VALUE($C87)&lt;100000000,VALUE($C87),1000000000),IFERROR(IF(VALUE(MID($C87,2,20))&lt;100000000,VALUE(MID($C87,2,20)),1000000000),1000000000))+ROW()/100000,"")</f>
        <v/>
      </c>
    </row>
    <row r="88">
      <c r="F88" s="11" t="n"/>
      <c r="N88" s="7">
        <f>IF($C88="","",M88*U88/100)</f>
        <v/>
      </c>
      <c r="T88" s="7" t="n"/>
      <c r="U88" s="7" t="n"/>
      <c r="V88" s="7">
        <f>IF($C88="","",U88*AA88/100)</f>
        <v/>
      </c>
      <c r="W88" s="7">
        <f>IF($C88="","",U88-V88)</f>
        <v/>
      </c>
      <c r="X88" s="7">
        <f>IF($C88="","",W88-N88)</f>
        <v/>
      </c>
      <c r="AA88">
        <f>IF($C88="","",IF($AN88=1,0,IF($AM88=1,Settings!$C$6,Settings!$C$7))*100)</f>
        <v/>
      </c>
      <c r="AE88" s="7" t="n"/>
      <c r="AH88" s="11" t="n"/>
      <c r="AJ88">
        <f>IF($C88="","",$C88&amp;"|"&amp;$D88&amp;"")</f>
        <v/>
      </c>
      <c r="AK88">
        <f>IF($C88="","",IF(COUNTIF($AJ$2:$AJ88,$AJ88)=1,1,0))</f>
        <v/>
      </c>
      <c r="AL88">
        <f>IF($AK88=1,SUMPRODUCT(--($AO$2:$AO$1501&lt;$AO88))+1,"")</f>
        <v/>
      </c>
      <c r="AM88">
        <f>IF($C88="","",IF(OR($Q88=TRUE(),$Q88="TRUE"),1,0))</f>
        <v/>
      </c>
      <c r="AN88">
        <f>IF($C88="","",IF($Z88="Yes",1,0))</f>
        <v/>
      </c>
      <c r="AO88">
        <f>IF($AK88=1,IFERROR(IF(VALUE($C88)&lt;100000000,VALUE($C88),1000000000),IFERROR(IF(VALUE(MID($C88,2,20))&lt;100000000,VALUE(MID($C88,2,20)),1000000000),1000000000))+ROW()/100000,"")</f>
        <v/>
      </c>
    </row>
    <row r="89">
      <c r="F89" s="11" t="n"/>
      <c r="N89" s="7">
        <f>IF($C89="","",M89*U89/100)</f>
        <v/>
      </c>
      <c r="T89" s="7" t="n"/>
      <c r="U89" s="7" t="n"/>
      <c r="V89" s="7">
        <f>IF($C89="","",U89*AA89/100)</f>
        <v/>
      </c>
      <c r="W89" s="7">
        <f>IF($C89="","",U89-V89)</f>
        <v/>
      </c>
      <c r="X89" s="7">
        <f>IF($C89="","",W89-N89)</f>
        <v/>
      </c>
      <c r="AA89">
        <f>IF($C89="","",IF($AN89=1,0,IF($AM89=1,Settings!$C$6,Settings!$C$7))*100)</f>
        <v/>
      </c>
      <c r="AE89" s="7" t="n"/>
      <c r="AH89" s="11" t="n"/>
      <c r="AJ89">
        <f>IF($C89="","",$C89&amp;"|"&amp;$D89&amp;"")</f>
        <v/>
      </c>
      <c r="AK89">
        <f>IF($C89="","",IF(COUNTIF($AJ$2:$AJ89,$AJ89)=1,1,0))</f>
        <v/>
      </c>
      <c r="AL89">
        <f>IF($AK89=1,SUMPRODUCT(--($AO$2:$AO$1501&lt;$AO89))+1,"")</f>
        <v/>
      </c>
      <c r="AM89">
        <f>IF($C89="","",IF(OR($Q89=TRUE(),$Q89="TRUE"),1,0))</f>
        <v/>
      </c>
      <c r="AN89">
        <f>IF($C89="","",IF($Z89="Yes",1,0))</f>
        <v/>
      </c>
      <c r="AO89">
        <f>IF($AK89=1,IFERROR(IF(VALUE($C89)&lt;100000000,VALUE($C89),1000000000),IFERROR(IF(VALUE(MID($C89,2,20))&lt;100000000,VALUE(MID($C89,2,20)),1000000000),1000000000))+ROW()/100000,"")</f>
        <v/>
      </c>
    </row>
    <row r="90">
      <c r="F90" s="11" t="n"/>
      <c r="N90" s="7">
        <f>IF($C90="","",M90*U90/100)</f>
        <v/>
      </c>
      <c r="T90" s="7" t="n"/>
      <c r="U90" s="7" t="n"/>
      <c r="V90" s="7">
        <f>IF($C90="","",U90*AA90/100)</f>
        <v/>
      </c>
      <c r="W90" s="7">
        <f>IF($C90="","",U90-V90)</f>
        <v/>
      </c>
      <c r="X90" s="7">
        <f>IF($C90="","",W90-N90)</f>
        <v/>
      </c>
      <c r="AA90">
        <f>IF($C90="","",IF($AN90=1,0,IF($AM90=1,Settings!$C$6,Settings!$C$7))*100)</f>
        <v/>
      </c>
      <c r="AE90" s="7" t="n"/>
      <c r="AH90" s="11" t="n"/>
      <c r="AJ90">
        <f>IF($C90="","",$C90&amp;"|"&amp;$D90&amp;"")</f>
        <v/>
      </c>
      <c r="AK90">
        <f>IF($C90="","",IF(COUNTIF($AJ$2:$AJ90,$AJ90)=1,1,0))</f>
        <v/>
      </c>
      <c r="AL90">
        <f>IF($AK90=1,SUMPRODUCT(--($AO$2:$AO$1501&lt;$AO90))+1,"")</f>
        <v/>
      </c>
      <c r="AM90">
        <f>IF($C90="","",IF(OR($Q90=TRUE(),$Q90="TRUE"),1,0))</f>
        <v/>
      </c>
      <c r="AN90">
        <f>IF($C90="","",IF($Z90="Yes",1,0))</f>
        <v/>
      </c>
      <c r="AO90">
        <f>IF($AK90=1,IFERROR(IF(VALUE($C90)&lt;100000000,VALUE($C90),1000000000),IFERROR(IF(VALUE(MID($C90,2,20))&lt;100000000,VALUE(MID($C90,2,20)),1000000000),1000000000))+ROW()/100000,"")</f>
        <v/>
      </c>
    </row>
    <row r="91">
      <c r="F91" s="11" t="n"/>
      <c r="N91" s="7">
        <f>IF($C91="","",M91*U91/100)</f>
        <v/>
      </c>
      <c r="T91" s="7" t="n"/>
      <c r="U91" s="7" t="n"/>
      <c r="V91" s="7">
        <f>IF($C91="","",U91*AA91/100)</f>
        <v/>
      </c>
      <c r="W91" s="7">
        <f>IF($C91="","",U91-V91)</f>
        <v/>
      </c>
      <c r="X91" s="7">
        <f>IF($C91="","",W91-N91)</f>
        <v/>
      </c>
      <c r="AA91">
        <f>IF($C91="","",IF($AN91=1,0,IF($AM91=1,Settings!$C$6,Settings!$C$7))*100)</f>
        <v/>
      </c>
      <c r="AE91" s="7" t="n"/>
      <c r="AH91" s="11" t="n"/>
      <c r="AJ91">
        <f>IF($C91="","",$C91&amp;"|"&amp;$D91&amp;"")</f>
        <v/>
      </c>
      <c r="AK91">
        <f>IF($C91="","",IF(COUNTIF($AJ$2:$AJ91,$AJ91)=1,1,0))</f>
        <v/>
      </c>
      <c r="AL91">
        <f>IF($AK91=1,SUMPRODUCT(--($AO$2:$AO$1501&lt;$AO91))+1,"")</f>
        <v/>
      </c>
      <c r="AM91">
        <f>IF($C91="","",IF(OR($Q91=TRUE(),$Q91="TRUE"),1,0))</f>
        <v/>
      </c>
      <c r="AN91">
        <f>IF($C91="","",IF($Z91="Yes",1,0))</f>
        <v/>
      </c>
      <c r="AO91">
        <f>IF($AK91=1,IFERROR(IF(VALUE($C91)&lt;100000000,VALUE($C91),1000000000),IFERROR(IF(VALUE(MID($C91,2,20))&lt;100000000,VALUE(MID($C91,2,20)),1000000000),1000000000))+ROW()/100000,"")</f>
        <v/>
      </c>
    </row>
    <row r="92">
      <c r="F92" s="11" t="n"/>
      <c r="N92" s="7">
        <f>IF($C92="","",M92*U92/100)</f>
        <v/>
      </c>
      <c r="T92" s="7" t="n"/>
      <c r="U92" s="7" t="n"/>
      <c r="V92" s="7">
        <f>IF($C92="","",U92*AA92/100)</f>
        <v/>
      </c>
      <c r="W92" s="7">
        <f>IF($C92="","",U92-V92)</f>
        <v/>
      </c>
      <c r="X92" s="7">
        <f>IF($C92="","",W92-N92)</f>
        <v/>
      </c>
      <c r="AA92">
        <f>IF($C92="","",IF($AN92=1,0,IF($AM92=1,Settings!$C$6,Settings!$C$7))*100)</f>
        <v/>
      </c>
      <c r="AE92" s="7" t="n"/>
      <c r="AH92" s="11" t="n"/>
      <c r="AJ92">
        <f>IF($C92="","",$C92&amp;"|"&amp;$D92&amp;"")</f>
        <v/>
      </c>
      <c r="AK92">
        <f>IF($C92="","",IF(COUNTIF($AJ$2:$AJ92,$AJ92)=1,1,0))</f>
        <v/>
      </c>
      <c r="AL92">
        <f>IF($AK92=1,SUMPRODUCT(--($AO$2:$AO$1501&lt;$AO92))+1,"")</f>
        <v/>
      </c>
      <c r="AM92">
        <f>IF($C92="","",IF(OR($Q92=TRUE(),$Q92="TRUE"),1,0))</f>
        <v/>
      </c>
      <c r="AN92">
        <f>IF($C92="","",IF($Z92="Yes",1,0))</f>
        <v/>
      </c>
      <c r="AO92">
        <f>IF($AK92=1,IFERROR(IF(VALUE($C92)&lt;100000000,VALUE($C92),1000000000),IFERROR(IF(VALUE(MID($C92,2,20))&lt;100000000,VALUE(MID($C92,2,20)),1000000000),1000000000))+ROW()/100000,"")</f>
        <v/>
      </c>
    </row>
    <row r="93">
      <c r="F93" s="11" t="n"/>
      <c r="N93" s="7">
        <f>IF($C93="","",M93*U93/100)</f>
        <v/>
      </c>
      <c r="T93" s="7" t="n"/>
      <c r="U93" s="7" t="n"/>
      <c r="V93" s="7">
        <f>IF($C93="","",U93*AA93/100)</f>
        <v/>
      </c>
      <c r="W93" s="7">
        <f>IF($C93="","",U93-V93)</f>
        <v/>
      </c>
      <c r="X93" s="7">
        <f>IF($C93="","",W93-N93)</f>
        <v/>
      </c>
      <c r="AA93">
        <f>IF($C93="","",IF($AN93=1,0,IF($AM93=1,Settings!$C$6,Settings!$C$7))*100)</f>
        <v/>
      </c>
      <c r="AE93" s="7" t="n"/>
      <c r="AH93" s="11" t="n"/>
      <c r="AJ93">
        <f>IF($C93="","",$C93&amp;"|"&amp;$D93&amp;"")</f>
        <v/>
      </c>
      <c r="AK93">
        <f>IF($C93="","",IF(COUNTIF($AJ$2:$AJ93,$AJ93)=1,1,0))</f>
        <v/>
      </c>
      <c r="AL93">
        <f>IF($AK93=1,SUMPRODUCT(--($AO$2:$AO$1501&lt;$AO93))+1,"")</f>
        <v/>
      </c>
      <c r="AM93">
        <f>IF($C93="","",IF(OR($Q93=TRUE(),$Q93="TRUE"),1,0))</f>
        <v/>
      </c>
      <c r="AN93">
        <f>IF($C93="","",IF($Z93="Yes",1,0))</f>
        <v/>
      </c>
      <c r="AO93">
        <f>IF($AK93=1,IFERROR(IF(VALUE($C93)&lt;100000000,VALUE($C93),1000000000),IFERROR(IF(VALUE(MID($C93,2,20))&lt;100000000,VALUE(MID($C93,2,20)),1000000000),1000000000))+ROW()/100000,"")</f>
        <v/>
      </c>
    </row>
    <row r="94">
      <c r="F94" s="11" t="n"/>
      <c r="N94" s="7">
        <f>IF($C94="","",M94*U94/100)</f>
        <v/>
      </c>
      <c r="T94" s="7" t="n"/>
      <c r="U94" s="7" t="n"/>
      <c r="V94" s="7">
        <f>IF($C94="","",U94*AA94/100)</f>
        <v/>
      </c>
      <c r="W94" s="7">
        <f>IF($C94="","",U94-V94)</f>
        <v/>
      </c>
      <c r="X94" s="7">
        <f>IF($C94="","",W94-N94)</f>
        <v/>
      </c>
      <c r="AA94">
        <f>IF($C94="","",IF($AN94=1,0,IF($AM94=1,Settings!$C$6,Settings!$C$7))*100)</f>
        <v/>
      </c>
      <c r="AE94" s="7" t="n"/>
      <c r="AH94" s="11" t="n"/>
      <c r="AJ94">
        <f>IF($C94="","",$C94&amp;"|"&amp;$D94&amp;"")</f>
        <v/>
      </c>
      <c r="AK94">
        <f>IF($C94="","",IF(COUNTIF($AJ$2:$AJ94,$AJ94)=1,1,0))</f>
        <v/>
      </c>
      <c r="AL94">
        <f>IF($AK94=1,SUMPRODUCT(--($AO$2:$AO$1501&lt;$AO94))+1,"")</f>
        <v/>
      </c>
      <c r="AM94">
        <f>IF($C94="","",IF(OR($Q94=TRUE(),$Q94="TRUE"),1,0))</f>
        <v/>
      </c>
      <c r="AN94">
        <f>IF($C94="","",IF($Z94="Yes",1,0))</f>
        <v/>
      </c>
      <c r="AO94">
        <f>IF($AK94=1,IFERROR(IF(VALUE($C94)&lt;100000000,VALUE($C94),1000000000),IFERROR(IF(VALUE(MID($C94,2,20))&lt;100000000,VALUE(MID($C94,2,20)),1000000000),1000000000))+ROW()/100000,"")</f>
        <v/>
      </c>
    </row>
    <row r="95">
      <c r="F95" s="11" t="n"/>
      <c r="N95" s="7">
        <f>IF($C95="","",M95*U95/100)</f>
        <v/>
      </c>
      <c r="T95" s="7" t="n"/>
      <c r="U95" s="7" t="n"/>
      <c r="V95" s="7">
        <f>IF($C95="","",U95*AA95/100)</f>
        <v/>
      </c>
      <c r="W95" s="7">
        <f>IF($C95="","",U95-V95)</f>
        <v/>
      </c>
      <c r="X95" s="7">
        <f>IF($C95="","",W95-N95)</f>
        <v/>
      </c>
      <c r="AA95">
        <f>IF($C95="","",IF($AN95=1,0,IF($AM95=1,Settings!$C$6,Settings!$C$7))*100)</f>
        <v/>
      </c>
      <c r="AE95" s="7" t="n"/>
      <c r="AH95" s="11" t="n"/>
      <c r="AJ95">
        <f>IF($C95="","",$C95&amp;"|"&amp;$D95&amp;"")</f>
        <v/>
      </c>
      <c r="AK95">
        <f>IF($C95="","",IF(COUNTIF($AJ$2:$AJ95,$AJ95)=1,1,0))</f>
        <v/>
      </c>
      <c r="AL95">
        <f>IF($AK95=1,SUMPRODUCT(--($AO$2:$AO$1501&lt;$AO95))+1,"")</f>
        <v/>
      </c>
      <c r="AM95">
        <f>IF($C95="","",IF(OR($Q95=TRUE(),$Q95="TRUE"),1,0))</f>
        <v/>
      </c>
      <c r="AN95">
        <f>IF($C95="","",IF($Z95="Yes",1,0))</f>
        <v/>
      </c>
      <c r="AO95">
        <f>IF($AK95=1,IFERROR(IF(VALUE($C95)&lt;100000000,VALUE($C95),1000000000),IFERROR(IF(VALUE(MID($C95,2,20))&lt;100000000,VALUE(MID($C95,2,20)),1000000000),1000000000))+ROW()/100000,"")</f>
        <v/>
      </c>
    </row>
    <row r="96">
      <c r="F96" s="11" t="n"/>
      <c r="N96" s="7">
        <f>IF($C96="","",M96*U96/100)</f>
        <v/>
      </c>
      <c r="T96" s="7" t="n"/>
      <c r="U96" s="7" t="n"/>
      <c r="V96" s="7">
        <f>IF($C96="","",U96*AA96/100)</f>
        <v/>
      </c>
      <c r="W96" s="7">
        <f>IF($C96="","",U96-V96)</f>
        <v/>
      </c>
      <c r="X96" s="7">
        <f>IF($C96="","",W96-N96)</f>
        <v/>
      </c>
      <c r="AA96">
        <f>IF($C96="","",IF($AN96=1,0,IF($AM96=1,Settings!$C$6,Settings!$C$7))*100)</f>
        <v/>
      </c>
      <c r="AE96" s="7" t="n"/>
      <c r="AH96" s="11" t="n"/>
      <c r="AJ96">
        <f>IF($C96="","",$C96&amp;"|"&amp;$D96&amp;"")</f>
        <v/>
      </c>
      <c r="AK96">
        <f>IF($C96="","",IF(COUNTIF($AJ$2:$AJ96,$AJ96)=1,1,0))</f>
        <v/>
      </c>
      <c r="AL96">
        <f>IF($AK96=1,SUMPRODUCT(--($AO$2:$AO$1501&lt;$AO96))+1,"")</f>
        <v/>
      </c>
      <c r="AM96">
        <f>IF($C96="","",IF(OR($Q96=TRUE(),$Q96="TRUE"),1,0))</f>
        <v/>
      </c>
      <c r="AN96">
        <f>IF($C96="","",IF($Z96="Yes",1,0))</f>
        <v/>
      </c>
      <c r="AO96">
        <f>IF($AK96=1,IFERROR(IF(VALUE($C96)&lt;100000000,VALUE($C96),1000000000),IFERROR(IF(VALUE(MID($C96,2,20))&lt;100000000,VALUE(MID($C96,2,20)),1000000000),1000000000))+ROW()/100000,"")</f>
        <v/>
      </c>
    </row>
    <row r="97">
      <c r="F97" s="11" t="n"/>
      <c r="N97" s="7">
        <f>IF($C97="","",M97*U97/100)</f>
        <v/>
      </c>
      <c r="T97" s="7" t="n"/>
      <c r="U97" s="7" t="n"/>
      <c r="V97" s="7">
        <f>IF($C97="","",U97*AA97/100)</f>
        <v/>
      </c>
      <c r="W97" s="7">
        <f>IF($C97="","",U97-V97)</f>
        <v/>
      </c>
      <c r="X97" s="7">
        <f>IF($C97="","",W97-N97)</f>
        <v/>
      </c>
      <c r="AA97">
        <f>IF($C97="","",IF($AN97=1,0,IF($AM97=1,Settings!$C$6,Settings!$C$7))*100)</f>
        <v/>
      </c>
      <c r="AE97" s="7" t="n"/>
      <c r="AH97" s="11" t="n"/>
      <c r="AJ97">
        <f>IF($C97="","",$C97&amp;"|"&amp;$D97&amp;"")</f>
        <v/>
      </c>
      <c r="AK97">
        <f>IF($C97="","",IF(COUNTIF($AJ$2:$AJ97,$AJ97)=1,1,0))</f>
        <v/>
      </c>
      <c r="AL97">
        <f>IF($AK97=1,SUMPRODUCT(--($AO$2:$AO$1501&lt;$AO97))+1,"")</f>
        <v/>
      </c>
      <c r="AM97">
        <f>IF($C97="","",IF(OR($Q97=TRUE(),$Q97="TRUE"),1,0))</f>
        <v/>
      </c>
      <c r="AN97">
        <f>IF($C97="","",IF($Z97="Yes",1,0))</f>
        <v/>
      </c>
      <c r="AO97">
        <f>IF($AK97=1,IFERROR(IF(VALUE($C97)&lt;100000000,VALUE($C97),1000000000),IFERROR(IF(VALUE(MID($C97,2,20))&lt;100000000,VALUE(MID($C97,2,20)),1000000000),1000000000))+ROW()/100000,"")</f>
        <v/>
      </c>
    </row>
    <row r="98">
      <c r="F98" s="11" t="n"/>
      <c r="N98" s="7">
        <f>IF($C98="","",M98*U98/100)</f>
        <v/>
      </c>
      <c r="T98" s="7" t="n"/>
      <c r="U98" s="7" t="n"/>
      <c r="V98" s="7">
        <f>IF($C98="","",U98*AA98/100)</f>
        <v/>
      </c>
      <c r="W98" s="7">
        <f>IF($C98="","",U98-V98)</f>
        <v/>
      </c>
      <c r="X98" s="7">
        <f>IF($C98="","",W98-N98)</f>
        <v/>
      </c>
      <c r="AA98">
        <f>IF($C98="","",IF($AN98=1,0,IF($AM98=1,Settings!$C$6,Settings!$C$7))*100)</f>
        <v/>
      </c>
      <c r="AE98" s="7" t="n"/>
      <c r="AH98" s="11" t="n"/>
      <c r="AJ98">
        <f>IF($C98="","",$C98&amp;"|"&amp;$D98&amp;"")</f>
        <v/>
      </c>
      <c r="AK98">
        <f>IF($C98="","",IF(COUNTIF($AJ$2:$AJ98,$AJ98)=1,1,0))</f>
        <v/>
      </c>
      <c r="AL98">
        <f>IF($AK98=1,SUMPRODUCT(--($AO$2:$AO$1501&lt;$AO98))+1,"")</f>
        <v/>
      </c>
      <c r="AM98">
        <f>IF($C98="","",IF(OR($Q98=TRUE(),$Q98="TRUE"),1,0))</f>
        <v/>
      </c>
      <c r="AN98">
        <f>IF($C98="","",IF($Z98="Yes",1,0))</f>
        <v/>
      </c>
      <c r="AO98">
        <f>IF($AK98=1,IFERROR(IF(VALUE($C98)&lt;100000000,VALUE($C98),1000000000),IFERROR(IF(VALUE(MID($C98,2,20))&lt;100000000,VALUE(MID($C98,2,20)),1000000000),1000000000))+ROW()/100000,"")</f>
        <v/>
      </c>
    </row>
    <row r="99">
      <c r="F99" s="11" t="n"/>
      <c r="N99" s="7">
        <f>IF($C99="","",M99*U99/100)</f>
        <v/>
      </c>
      <c r="T99" s="7" t="n"/>
      <c r="U99" s="7" t="n"/>
      <c r="V99" s="7">
        <f>IF($C99="","",U99*AA99/100)</f>
        <v/>
      </c>
      <c r="W99" s="7">
        <f>IF($C99="","",U99-V99)</f>
        <v/>
      </c>
      <c r="X99" s="7">
        <f>IF($C99="","",W99-N99)</f>
        <v/>
      </c>
      <c r="AA99">
        <f>IF($C99="","",IF($AN99=1,0,IF($AM99=1,Settings!$C$6,Settings!$C$7))*100)</f>
        <v/>
      </c>
      <c r="AE99" s="7" t="n"/>
      <c r="AH99" s="11" t="n"/>
      <c r="AJ99">
        <f>IF($C99="","",$C99&amp;"|"&amp;$D99&amp;"")</f>
        <v/>
      </c>
      <c r="AK99">
        <f>IF($C99="","",IF(COUNTIF($AJ$2:$AJ99,$AJ99)=1,1,0))</f>
        <v/>
      </c>
      <c r="AL99">
        <f>IF($AK99=1,SUMPRODUCT(--($AO$2:$AO$1501&lt;$AO99))+1,"")</f>
        <v/>
      </c>
      <c r="AM99">
        <f>IF($C99="","",IF(OR($Q99=TRUE(),$Q99="TRUE"),1,0))</f>
        <v/>
      </c>
      <c r="AN99">
        <f>IF($C99="","",IF($Z99="Yes",1,0))</f>
        <v/>
      </c>
      <c r="AO99">
        <f>IF($AK99=1,IFERROR(IF(VALUE($C99)&lt;100000000,VALUE($C99),1000000000),IFERROR(IF(VALUE(MID($C99,2,20))&lt;100000000,VALUE(MID($C99,2,20)),1000000000),1000000000))+ROW()/100000,"")</f>
        <v/>
      </c>
    </row>
    <row r="100">
      <c r="F100" s="11" t="n"/>
      <c r="N100" s="7">
        <f>IF($C100="","",M100*U100/100)</f>
        <v/>
      </c>
      <c r="T100" s="7" t="n"/>
      <c r="U100" s="7" t="n"/>
      <c r="V100" s="7">
        <f>IF($C100="","",U100*AA100/100)</f>
        <v/>
      </c>
      <c r="W100" s="7">
        <f>IF($C100="","",U100-V100)</f>
        <v/>
      </c>
      <c r="X100" s="7">
        <f>IF($C100="","",W100-N100)</f>
        <v/>
      </c>
      <c r="AA100">
        <f>IF($C100="","",IF($AN100=1,0,IF($AM100=1,Settings!$C$6,Settings!$C$7))*100)</f>
        <v/>
      </c>
      <c r="AE100" s="7" t="n"/>
      <c r="AH100" s="11" t="n"/>
      <c r="AJ100">
        <f>IF($C100="","",$C100&amp;"|"&amp;$D100&amp;"")</f>
        <v/>
      </c>
      <c r="AK100">
        <f>IF($C100="","",IF(COUNTIF($AJ$2:$AJ100,$AJ100)=1,1,0))</f>
        <v/>
      </c>
      <c r="AL100">
        <f>IF($AK100=1,SUMPRODUCT(--($AO$2:$AO$1501&lt;$AO100))+1,"")</f>
        <v/>
      </c>
      <c r="AM100">
        <f>IF($C100="","",IF(OR($Q100=TRUE(),$Q100="TRUE"),1,0))</f>
        <v/>
      </c>
      <c r="AN100">
        <f>IF($C100="","",IF($Z100="Yes",1,0))</f>
        <v/>
      </c>
      <c r="AO100">
        <f>IF($AK100=1,IFERROR(IF(VALUE($C100)&lt;100000000,VALUE($C100),1000000000),IFERROR(IF(VALUE(MID($C100,2,20))&lt;100000000,VALUE(MID($C100,2,20)),1000000000),1000000000))+ROW()/100000,"")</f>
        <v/>
      </c>
    </row>
    <row r="101">
      <c r="F101" s="11" t="n"/>
      <c r="N101" s="7">
        <f>IF($C101="","",M101*U101/100)</f>
        <v/>
      </c>
      <c r="T101" s="7" t="n"/>
      <c r="U101" s="7" t="n"/>
      <c r="V101" s="7">
        <f>IF($C101="","",U101*AA101/100)</f>
        <v/>
      </c>
      <c r="W101" s="7">
        <f>IF($C101="","",U101-V101)</f>
        <v/>
      </c>
      <c r="X101" s="7">
        <f>IF($C101="","",W101-N101)</f>
        <v/>
      </c>
      <c r="AA101">
        <f>IF($C101="","",IF($AN101=1,0,IF($AM101=1,Settings!$C$6,Settings!$C$7))*100)</f>
        <v/>
      </c>
      <c r="AE101" s="7" t="n"/>
      <c r="AH101" s="11" t="n"/>
      <c r="AJ101">
        <f>IF($C101="","",$C101&amp;"|"&amp;$D101&amp;"")</f>
        <v/>
      </c>
      <c r="AK101">
        <f>IF($C101="","",IF(COUNTIF($AJ$2:$AJ101,$AJ101)=1,1,0))</f>
        <v/>
      </c>
      <c r="AL101">
        <f>IF($AK101=1,SUMPRODUCT(--($AO$2:$AO$1501&lt;$AO101))+1,"")</f>
        <v/>
      </c>
      <c r="AM101">
        <f>IF($C101="","",IF(OR($Q101=TRUE(),$Q101="TRUE"),1,0))</f>
        <v/>
      </c>
      <c r="AN101">
        <f>IF($C101="","",IF($Z101="Yes",1,0))</f>
        <v/>
      </c>
      <c r="AO101">
        <f>IF($AK101=1,IFERROR(IF(VALUE($C101)&lt;100000000,VALUE($C101),1000000000),IFERROR(IF(VALUE(MID($C101,2,20))&lt;100000000,VALUE(MID($C101,2,20)),1000000000),1000000000))+ROW()/100000,"")</f>
        <v/>
      </c>
    </row>
    <row r="102">
      <c r="F102" s="11" t="n"/>
      <c r="N102" s="7">
        <f>IF($C102="","",M102*U102/100)</f>
        <v/>
      </c>
      <c r="T102" s="7" t="n"/>
      <c r="U102" s="7" t="n"/>
      <c r="V102" s="7">
        <f>IF($C102="","",U102*AA102/100)</f>
        <v/>
      </c>
      <c r="W102" s="7">
        <f>IF($C102="","",U102-V102)</f>
        <v/>
      </c>
      <c r="X102" s="7">
        <f>IF($C102="","",W102-N102)</f>
        <v/>
      </c>
      <c r="AA102">
        <f>IF($C102="","",IF($AN102=1,0,IF($AM102=1,Settings!$C$6,Settings!$C$7))*100)</f>
        <v/>
      </c>
      <c r="AE102" s="7" t="n"/>
      <c r="AH102" s="11" t="n"/>
      <c r="AJ102">
        <f>IF($C102="","",$C102&amp;"|"&amp;$D102&amp;"")</f>
        <v/>
      </c>
      <c r="AK102">
        <f>IF($C102="","",IF(COUNTIF($AJ$2:$AJ102,$AJ102)=1,1,0))</f>
        <v/>
      </c>
      <c r="AL102">
        <f>IF($AK102=1,SUMPRODUCT(--($AO$2:$AO$1501&lt;$AO102))+1,"")</f>
        <v/>
      </c>
      <c r="AM102">
        <f>IF($C102="","",IF(OR($Q102=TRUE(),$Q102="TRUE"),1,0))</f>
        <v/>
      </c>
      <c r="AN102">
        <f>IF($C102="","",IF($Z102="Yes",1,0))</f>
        <v/>
      </c>
      <c r="AO102">
        <f>IF($AK102=1,IFERROR(IF(VALUE($C102)&lt;100000000,VALUE($C102),1000000000),IFERROR(IF(VALUE(MID($C102,2,20))&lt;100000000,VALUE(MID($C102,2,20)),1000000000),1000000000))+ROW()/100000,"")</f>
        <v/>
      </c>
    </row>
    <row r="103">
      <c r="F103" s="11" t="n"/>
      <c r="N103" s="7">
        <f>IF($C103="","",M103*U103/100)</f>
        <v/>
      </c>
      <c r="T103" s="7" t="n"/>
      <c r="U103" s="7" t="n"/>
      <c r="V103" s="7">
        <f>IF($C103="","",U103*AA103/100)</f>
        <v/>
      </c>
      <c r="W103" s="7">
        <f>IF($C103="","",U103-V103)</f>
        <v/>
      </c>
      <c r="X103" s="7">
        <f>IF($C103="","",W103-N103)</f>
        <v/>
      </c>
      <c r="AA103">
        <f>IF($C103="","",IF($AN103=1,0,IF($AM103=1,Settings!$C$6,Settings!$C$7))*100)</f>
        <v/>
      </c>
      <c r="AE103" s="7" t="n"/>
      <c r="AH103" s="11" t="n"/>
      <c r="AJ103">
        <f>IF($C103="","",$C103&amp;"|"&amp;$D103&amp;"")</f>
        <v/>
      </c>
      <c r="AK103">
        <f>IF($C103="","",IF(COUNTIF($AJ$2:$AJ103,$AJ103)=1,1,0))</f>
        <v/>
      </c>
      <c r="AL103">
        <f>IF($AK103=1,SUMPRODUCT(--($AO$2:$AO$1501&lt;$AO103))+1,"")</f>
        <v/>
      </c>
      <c r="AM103">
        <f>IF($C103="","",IF(OR($Q103=TRUE(),$Q103="TRUE"),1,0))</f>
        <v/>
      </c>
      <c r="AN103">
        <f>IF($C103="","",IF($Z103="Yes",1,0))</f>
        <v/>
      </c>
      <c r="AO103">
        <f>IF($AK103=1,IFERROR(IF(VALUE($C103)&lt;100000000,VALUE($C103),1000000000),IFERROR(IF(VALUE(MID($C103,2,20))&lt;100000000,VALUE(MID($C103,2,20)),1000000000),1000000000))+ROW()/100000,"")</f>
        <v/>
      </c>
    </row>
    <row r="104">
      <c r="F104" s="11" t="n"/>
      <c r="N104" s="7">
        <f>IF($C104="","",M104*U104/100)</f>
        <v/>
      </c>
      <c r="T104" s="7" t="n"/>
      <c r="U104" s="7" t="n"/>
      <c r="V104" s="7">
        <f>IF($C104="","",U104*AA104/100)</f>
        <v/>
      </c>
      <c r="W104" s="7">
        <f>IF($C104="","",U104-V104)</f>
        <v/>
      </c>
      <c r="X104" s="7">
        <f>IF($C104="","",W104-N104)</f>
        <v/>
      </c>
      <c r="AA104">
        <f>IF($C104="","",IF($AN104=1,0,IF($AM104=1,Settings!$C$6,Settings!$C$7))*100)</f>
        <v/>
      </c>
      <c r="AE104" s="7" t="n"/>
      <c r="AH104" s="11" t="n"/>
      <c r="AJ104">
        <f>IF($C104="","",$C104&amp;"|"&amp;$D104&amp;"")</f>
        <v/>
      </c>
      <c r="AK104">
        <f>IF($C104="","",IF(COUNTIF($AJ$2:$AJ104,$AJ104)=1,1,0))</f>
        <v/>
      </c>
      <c r="AL104">
        <f>IF($AK104=1,SUMPRODUCT(--($AO$2:$AO$1501&lt;$AO104))+1,"")</f>
        <v/>
      </c>
      <c r="AM104">
        <f>IF($C104="","",IF(OR($Q104=TRUE(),$Q104="TRUE"),1,0))</f>
        <v/>
      </c>
      <c r="AN104">
        <f>IF($C104="","",IF($Z104="Yes",1,0))</f>
        <v/>
      </c>
      <c r="AO104">
        <f>IF($AK104=1,IFERROR(IF(VALUE($C104)&lt;100000000,VALUE($C104),1000000000),IFERROR(IF(VALUE(MID($C104,2,20))&lt;100000000,VALUE(MID($C104,2,20)),1000000000),1000000000))+ROW()/100000,"")</f>
        <v/>
      </c>
    </row>
    <row r="105">
      <c r="F105" s="11" t="n"/>
      <c r="N105" s="7">
        <f>IF($C105="","",M105*U105/100)</f>
        <v/>
      </c>
      <c r="T105" s="7" t="n"/>
      <c r="U105" s="7" t="n"/>
      <c r="V105" s="7">
        <f>IF($C105="","",U105*AA105/100)</f>
        <v/>
      </c>
      <c r="W105" s="7">
        <f>IF($C105="","",U105-V105)</f>
        <v/>
      </c>
      <c r="X105" s="7">
        <f>IF($C105="","",W105-N105)</f>
        <v/>
      </c>
      <c r="AA105">
        <f>IF($C105="","",IF($AN105=1,0,IF($AM105=1,Settings!$C$6,Settings!$C$7))*100)</f>
        <v/>
      </c>
      <c r="AE105" s="7" t="n"/>
      <c r="AH105" s="11" t="n"/>
      <c r="AJ105">
        <f>IF($C105="","",$C105&amp;"|"&amp;$D105&amp;"")</f>
        <v/>
      </c>
      <c r="AK105">
        <f>IF($C105="","",IF(COUNTIF($AJ$2:$AJ105,$AJ105)=1,1,0))</f>
        <v/>
      </c>
      <c r="AL105">
        <f>IF($AK105=1,SUMPRODUCT(--($AO$2:$AO$1501&lt;$AO105))+1,"")</f>
        <v/>
      </c>
      <c r="AM105">
        <f>IF($C105="","",IF(OR($Q105=TRUE(),$Q105="TRUE"),1,0))</f>
        <v/>
      </c>
      <c r="AN105">
        <f>IF($C105="","",IF($Z105="Yes",1,0))</f>
        <v/>
      </c>
      <c r="AO105">
        <f>IF($AK105=1,IFERROR(IF(VALUE($C105)&lt;100000000,VALUE($C105),1000000000),IFERROR(IF(VALUE(MID($C105,2,20))&lt;100000000,VALUE(MID($C105,2,20)),1000000000),1000000000))+ROW()/100000,"")</f>
        <v/>
      </c>
    </row>
    <row r="106">
      <c r="F106" s="11" t="n"/>
      <c r="N106" s="7">
        <f>IF($C106="","",M106*U106/100)</f>
        <v/>
      </c>
      <c r="T106" s="7" t="n"/>
      <c r="U106" s="7" t="n"/>
      <c r="V106" s="7">
        <f>IF($C106="","",U106*AA106/100)</f>
        <v/>
      </c>
      <c r="W106" s="7">
        <f>IF($C106="","",U106-V106)</f>
        <v/>
      </c>
      <c r="X106" s="7">
        <f>IF($C106="","",W106-N106)</f>
        <v/>
      </c>
      <c r="AA106">
        <f>IF($C106="","",IF($AN106=1,0,IF($AM106=1,Settings!$C$6,Settings!$C$7))*100)</f>
        <v/>
      </c>
      <c r="AE106" s="7" t="n"/>
      <c r="AH106" s="11" t="n"/>
      <c r="AJ106">
        <f>IF($C106="","",$C106&amp;"|"&amp;$D106&amp;"")</f>
        <v/>
      </c>
      <c r="AK106">
        <f>IF($C106="","",IF(COUNTIF($AJ$2:$AJ106,$AJ106)=1,1,0))</f>
        <v/>
      </c>
      <c r="AL106">
        <f>IF($AK106=1,SUMPRODUCT(--($AO$2:$AO$1501&lt;$AO106))+1,"")</f>
        <v/>
      </c>
      <c r="AM106">
        <f>IF($C106="","",IF(OR($Q106=TRUE(),$Q106="TRUE"),1,0))</f>
        <v/>
      </c>
      <c r="AN106">
        <f>IF($C106="","",IF($Z106="Yes",1,0))</f>
        <v/>
      </c>
      <c r="AO106">
        <f>IF($AK106=1,IFERROR(IF(VALUE($C106)&lt;100000000,VALUE($C106),1000000000),IFERROR(IF(VALUE(MID($C106,2,20))&lt;100000000,VALUE(MID($C106,2,20)),1000000000),1000000000))+ROW()/100000,"")</f>
        <v/>
      </c>
    </row>
    <row r="107">
      <c r="F107" s="11" t="n"/>
      <c r="N107" s="7">
        <f>IF($C107="","",M107*U107/100)</f>
        <v/>
      </c>
      <c r="T107" s="7" t="n"/>
      <c r="U107" s="7" t="n"/>
      <c r="V107" s="7">
        <f>IF($C107="","",U107*AA107/100)</f>
        <v/>
      </c>
      <c r="W107" s="7">
        <f>IF($C107="","",U107-V107)</f>
        <v/>
      </c>
      <c r="X107" s="7">
        <f>IF($C107="","",W107-N107)</f>
        <v/>
      </c>
      <c r="AA107">
        <f>IF($C107="","",IF($AN107=1,0,IF($AM107=1,Settings!$C$6,Settings!$C$7))*100)</f>
        <v/>
      </c>
      <c r="AE107" s="7" t="n"/>
      <c r="AH107" s="11" t="n"/>
      <c r="AJ107">
        <f>IF($C107="","",$C107&amp;"|"&amp;$D107&amp;"")</f>
        <v/>
      </c>
      <c r="AK107">
        <f>IF($C107="","",IF(COUNTIF($AJ$2:$AJ107,$AJ107)=1,1,0))</f>
        <v/>
      </c>
      <c r="AL107">
        <f>IF($AK107=1,SUMPRODUCT(--($AO$2:$AO$1501&lt;$AO107))+1,"")</f>
        <v/>
      </c>
      <c r="AM107">
        <f>IF($C107="","",IF(OR($Q107=TRUE(),$Q107="TRUE"),1,0))</f>
        <v/>
      </c>
      <c r="AN107">
        <f>IF($C107="","",IF($Z107="Yes",1,0))</f>
        <v/>
      </c>
      <c r="AO107">
        <f>IF($AK107=1,IFERROR(IF(VALUE($C107)&lt;100000000,VALUE($C107),1000000000),IFERROR(IF(VALUE(MID($C107,2,20))&lt;100000000,VALUE(MID($C107,2,20)),1000000000),1000000000))+ROW()/100000,"")</f>
        <v/>
      </c>
    </row>
    <row r="108">
      <c r="F108" s="11" t="n"/>
      <c r="N108" s="7">
        <f>IF($C108="","",M108*U108/100)</f>
        <v/>
      </c>
      <c r="T108" s="7" t="n"/>
      <c r="U108" s="7" t="n"/>
      <c r="V108" s="7">
        <f>IF($C108="","",U108*AA108/100)</f>
        <v/>
      </c>
      <c r="W108" s="7">
        <f>IF($C108="","",U108-V108)</f>
        <v/>
      </c>
      <c r="X108" s="7">
        <f>IF($C108="","",W108-N108)</f>
        <v/>
      </c>
      <c r="AA108">
        <f>IF($C108="","",IF($AN108=1,0,IF($AM108=1,Settings!$C$6,Settings!$C$7))*100)</f>
        <v/>
      </c>
      <c r="AE108" s="7" t="n"/>
      <c r="AH108" s="11" t="n"/>
      <c r="AJ108">
        <f>IF($C108="","",$C108&amp;"|"&amp;$D108&amp;"")</f>
        <v/>
      </c>
      <c r="AK108">
        <f>IF($C108="","",IF(COUNTIF($AJ$2:$AJ108,$AJ108)=1,1,0))</f>
        <v/>
      </c>
      <c r="AL108">
        <f>IF($AK108=1,SUMPRODUCT(--($AO$2:$AO$1501&lt;$AO108))+1,"")</f>
        <v/>
      </c>
      <c r="AM108">
        <f>IF($C108="","",IF(OR($Q108=TRUE(),$Q108="TRUE"),1,0))</f>
        <v/>
      </c>
      <c r="AN108">
        <f>IF($C108="","",IF($Z108="Yes",1,0))</f>
        <v/>
      </c>
      <c r="AO108">
        <f>IF($AK108=1,IFERROR(IF(VALUE($C108)&lt;100000000,VALUE($C108),1000000000),IFERROR(IF(VALUE(MID($C108,2,20))&lt;100000000,VALUE(MID($C108,2,20)),1000000000),1000000000))+ROW()/100000,"")</f>
        <v/>
      </c>
    </row>
    <row r="109">
      <c r="F109" s="11" t="n"/>
      <c r="N109" s="7">
        <f>IF($C109="","",M109*U109/100)</f>
        <v/>
      </c>
      <c r="T109" s="7" t="n"/>
      <c r="U109" s="7" t="n"/>
      <c r="V109" s="7">
        <f>IF($C109="","",U109*AA109/100)</f>
        <v/>
      </c>
      <c r="W109" s="7">
        <f>IF($C109="","",U109-V109)</f>
        <v/>
      </c>
      <c r="X109" s="7">
        <f>IF($C109="","",W109-N109)</f>
        <v/>
      </c>
      <c r="AA109">
        <f>IF($C109="","",IF($AN109=1,0,IF($AM109=1,Settings!$C$6,Settings!$C$7))*100)</f>
        <v/>
      </c>
      <c r="AE109" s="7" t="n"/>
      <c r="AH109" s="11" t="n"/>
      <c r="AJ109">
        <f>IF($C109="","",$C109&amp;"|"&amp;$D109&amp;"")</f>
        <v/>
      </c>
      <c r="AK109">
        <f>IF($C109="","",IF(COUNTIF($AJ$2:$AJ109,$AJ109)=1,1,0))</f>
        <v/>
      </c>
      <c r="AL109">
        <f>IF($AK109=1,SUMPRODUCT(--($AO$2:$AO$1501&lt;$AO109))+1,"")</f>
        <v/>
      </c>
      <c r="AM109">
        <f>IF($C109="","",IF(OR($Q109=TRUE(),$Q109="TRUE"),1,0))</f>
        <v/>
      </c>
      <c r="AN109">
        <f>IF($C109="","",IF($Z109="Yes",1,0))</f>
        <v/>
      </c>
      <c r="AO109">
        <f>IF($AK109=1,IFERROR(IF(VALUE($C109)&lt;100000000,VALUE($C109),1000000000),IFERROR(IF(VALUE(MID($C109,2,20))&lt;100000000,VALUE(MID($C109,2,20)),1000000000),1000000000))+ROW()/100000,"")</f>
        <v/>
      </c>
    </row>
    <row r="110">
      <c r="F110" s="11" t="n"/>
      <c r="N110" s="7">
        <f>IF($C110="","",M110*U110/100)</f>
        <v/>
      </c>
      <c r="T110" s="7" t="n"/>
      <c r="U110" s="7" t="n"/>
      <c r="V110" s="7">
        <f>IF($C110="","",U110*AA110/100)</f>
        <v/>
      </c>
      <c r="W110" s="7">
        <f>IF($C110="","",U110-V110)</f>
        <v/>
      </c>
      <c r="X110" s="7">
        <f>IF($C110="","",W110-N110)</f>
        <v/>
      </c>
      <c r="AA110">
        <f>IF($C110="","",IF($AN110=1,0,IF($AM110=1,Settings!$C$6,Settings!$C$7))*100)</f>
        <v/>
      </c>
      <c r="AE110" s="7" t="n"/>
      <c r="AH110" s="11" t="n"/>
      <c r="AJ110">
        <f>IF($C110="","",$C110&amp;"|"&amp;$D110&amp;"")</f>
        <v/>
      </c>
      <c r="AK110">
        <f>IF($C110="","",IF(COUNTIF($AJ$2:$AJ110,$AJ110)=1,1,0))</f>
        <v/>
      </c>
      <c r="AL110">
        <f>IF($AK110=1,SUMPRODUCT(--($AO$2:$AO$1501&lt;$AO110))+1,"")</f>
        <v/>
      </c>
      <c r="AM110">
        <f>IF($C110="","",IF(OR($Q110=TRUE(),$Q110="TRUE"),1,0))</f>
        <v/>
      </c>
      <c r="AN110">
        <f>IF($C110="","",IF($Z110="Yes",1,0))</f>
        <v/>
      </c>
      <c r="AO110">
        <f>IF($AK110=1,IFERROR(IF(VALUE($C110)&lt;100000000,VALUE($C110),1000000000),IFERROR(IF(VALUE(MID($C110,2,20))&lt;100000000,VALUE(MID($C110,2,20)),1000000000),1000000000))+ROW()/100000,"")</f>
        <v/>
      </c>
    </row>
    <row r="111">
      <c r="F111" s="11" t="n"/>
      <c r="N111" s="7">
        <f>IF($C111="","",M111*U111/100)</f>
        <v/>
      </c>
      <c r="T111" s="7" t="n"/>
      <c r="U111" s="7" t="n"/>
      <c r="V111" s="7">
        <f>IF($C111="","",U111*AA111/100)</f>
        <v/>
      </c>
      <c r="W111" s="7">
        <f>IF($C111="","",U111-V111)</f>
        <v/>
      </c>
      <c r="X111" s="7">
        <f>IF($C111="","",W111-N111)</f>
        <v/>
      </c>
      <c r="AA111">
        <f>IF($C111="","",IF($AN111=1,0,IF($AM111=1,Settings!$C$6,Settings!$C$7))*100)</f>
        <v/>
      </c>
      <c r="AE111" s="7" t="n"/>
      <c r="AH111" s="11" t="n"/>
      <c r="AJ111">
        <f>IF($C111="","",$C111&amp;"|"&amp;$D111&amp;"")</f>
        <v/>
      </c>
      <c r="AK111">
        <f>IF($C111="","",IF(COUNTIF($AJ$2:$AJ111,$AJ111)=1,1,0))</f>
        <v/>
      </c>
      <c r="AL111">
        <f>IF($AK111=1,SUMPRODUCT(--($AO$2:$AO$1501&lt;$AO111))+1,"")</f>
        <v/>
      </c>
      <c r="AM111">
        <f>IF($C111="","",IF(OR($Q111=TRUE(),$Q111="TRUE"),1,0))</f>
        <v/>
      </c>
      <c r="AN111">
        <f>IF($C111="","",IF($Z111="Yes",1,0))</f>
        <v/>
      </c>
      <c r="AO111">
        <f>IF($AK111=1,IFERROR(IF(VALUE($C111)&lt;100000000,VALUE($C111),1000000000),IFERROR(IF(VALUE(MID($C111,2,20))&lt;100000000,VALUE(MID($C111,2,20)),1000000000),1000000000))+ROW()/100000,"")</f>
        <v/>
      </c>
    </row>
    <row r="112">
      <c r="F112" s="11" t="n"/>
      <c r="N112" s="7">
        <f>IF($C112="","",M112*U112/100)</f>
        <v/>
      </c>
      <c r="T112" s="7" t="n"/>
      <c r="U112" s="7" t="n"/>
      <c r="V112" s="7">
        <f>IF($C112="","",U112*AA112/100)</f>
        <v/>
      </c>
      <c r="W112" s="7">
        <f>IF($C112="","",U112-V112)</f>
        <v/>
      </c>
      <c r="X112" s="7">
        <f>IF($C112="","",W112-N112)</f>
        <v/>
      </c>
      <c r="AA112">
        <f>IF($C112="","",IF($AN112=1,0,IF($AM112=1,Settings!$C$6,Settings!$C$7))*100)</f>
        <v/>
      </c>
      <c r="AE112" s="7" t="n"/>
      <c r="AH112" s="11" t="n"/>
      <c r="AJ112">
        <f>IF($C112="","",$C112&amp;"|"&amp;$D112&amp;"")</f>
        <v/>
      </c>
      <c r="AK112">
        <f>IF($C112="","",IF(COUNTIF($AJ$2:$AJ112,$AJ112)=1,1,0))</f>
        <v/>
      </c>
      <c r="AL112">
        <f>IF($AK112=1,SUMPRODUCT(--($AO$2:$AO$1501&lt;$AO112))+1,"")</f>
        <v/>
      </c>
      <c r="AM112">
        <f>IF($C112="","",IF(OR($Q112=TRUE(),$Q112="TRUE"),1,0))</f>
        <v/>
      </c>
      <c r="AN112">
        <f>IF($C112="","",IF($Z112="Yes",1,0))</f>
        <v/>
      </c>
      <c r="AO112">
        <f>IF($AK112=1,IFERROR(IF(VALUE($C112)&lt;100000000,VALUE($C112),1000000000),IFERROR(IF(VALUE(MID($C112,2,20))&lt;100000000,VALUE(MID($C112,2,20)),1000000000),1000000000))+ROW()/100000,"")</f>
        <v/>
      </c>
    </row>
    <row r="113">
      <c r="F113" s="11" t="n"/>
      <c r="N113" s="7">
        <f>IF($C113="","",M113*U113/100)</f>
        <v/>
      </c>
      <c r="T113" s="7" t="n"/>
      <c r="U113" s="7" t="n"/>
      <c r="V113" s="7">
        <f>IF($C113="","",U113*AA113/100)</f>
        <v/>
      </c>
      <c r="W113" s="7">
        <f>IF($C113="","",U113-V113)</f>
        <v/>
      </c>
      <c r="X113" s="7">
        <f>IF($C113="","",W113-N113)</f>
        <v/>
      </c>
      <c r="AA113">
        <f>IF($C113="","",IF($AN113=1,0,IF($AM113=1,Settings!$C$6,Settings!$C$7))*100)</f>
        <v/>
      </c>
      <c r="AE113" s="7" t="n"/>
      <c r="AH113" s="11" t="n"/>
      <c r="AJ113">
        <f>IF($C113="","",$C113&amp;"|"&amp;$D113&amp;"")</f>
        <v/>
      </c>
      <c r="AK113">
        <f>IF($C113="","",IF(COUNTIF($AJ$2:$AJ113,$AJ113)=1,1,0))</f>
        <v/>
      </c>
      <c r="AL113">
        <f>IF($AK113=1,SUMPRODUCT(--($AO$2:$AO$1501&lt;$AO113))+1,"")</f>
        <v/>
      </c>
      <c r="AM113">
        <f>IF($C113="","",IF(OR($Q113=TRUE(),$Q113="TRUE"),1,0))</f>
        <v/>
      </c>
      <c r="AN113">
        <f>IF($C113="","",IF($Z113="Yes",1,0))</f>
        <v/>
      </c>
      <c r="AO113">
        <f>IF($AK113=1,IFERROR(IF(VALUE($C113)&lt;100000000,VALUE($C113),1000000000),IFERROR(IF(VALUE(MID($C113,2,20))&lt;100000000,VALUE(MID($C113,2,20)),1000000000),1000000000))+ROW()/100000,"")</f>
        <v/>
      </c>
    </row>
    <row r="114">
      <c r="F114" s="11" t="n"/>
      <c r="N114" s="7">
        <f>IF($C114="","",M114*U114/100)</f>
        <v/>
      </c>
      <c r="T114" s="7" t="n"/>
      <c r="U114" s="7" t="n"/>
      <c r="V114" s="7">
        <f>IF($C114="","",U114*AA114/100)</f>
        <v/>
      </c>
      <c r="W114" s="7">
        <f>IF($C114="","",U114-V114)</f>
        <v/>
      </c>
      <c r="X114" s="7">
        <f>IF($C114="","",W114-N114)</f>
        <v/>
      </c>
      <c r="AA114">
        <f>IF($C114="","",IF($AN114=1,0,IF($AM114=1,Settings!$C$6,Settings!$C$7))*100)</f>
        <v/>
      </c>
      <c r="AE114" s="7" t="n"/>
      <c r="AH114" s="11" t="n"/>
      <c r="AJ114">
        <f>IF($C114="","",$C114&amp;"|"&amp;$D114&amp;"")</f>
        <v/>
      </c>
      <c r="AK114">
        <f>IF($C114="","",IF(COUNTIF($AJ$2:$AJ114,$AJ114)=1,1,0))</f>
        <v/>
      </c>
      <c r="AL114">
        <f>IF($AK114=1,SUMPRODUCT(--($AO$2:$AO$1501&lt;$AO114))+1,"")</f>
        <v/>
      </c>
      <c r="AM114">
        <f>IF($C114="","",IF(OR($Q114=TRUE(),$Q114="TRUE"),1,0))</f>
        <v/>
      </c>
      <c r="AN114">
        <f>IF($C114="","",IF($Z114="Yes",1,0))</f>
        <v/>
      </c>
      <c r="AO114">
        <f>IF($AK114=1,IFERROR(IF(VALUE($C114)&lt;100000000,VALUE($C114),1000000000),IFERROR(IF(VALUE(MID($C114,2,20))&lt;100000000,VALUE(MID($C114,2,20)),1000000000),1000000000))+ROW()/100000,"")</f>
        <v/>
      </c>
    </row>
    <row r="115">
      <c r="F115" s="11" t="n"/>
      <c r="N115" s="7">
        <f>IF($C115="","",M115*U115/100)</f>
        <v/>
      </c>
      <c r="T115" s="7" t="n"/>
      <c r="U115" s="7" t="n"/>
      <c r="V115" s="7">
        <f>IF($C115="","",U115*AA115/100)</f>
        <v/>
      </c>
      <c r="W115" s="7">
        <f>IF($C115="","",U115-V115)</f>
        <v/>
      </c>
      <c r="X115" s="7">
        <f>IF($C115="","",W115-N115)</f>
        <v/>
      </c>
      <c r="AA115">
        <f>IF($C115="","",IF($AN115=1,0,IF($AM115=1,Settings!$C$6,Settings!$C$7))*100)</f>
        <v/>
      </c>
      <c r="AE115" s="7" t="n"/>
      <c r="AH115" s="11" t="n"/>
      <c r="AJ115">
        <f>IF($C115="","",$C115&amp;"|"&amp;$D115&amp;"")</f>
        <v/>
      </c>
      <c r="AK115">
        <f>IF($C115="","",IF(COUNTIF($AJ$2:$AJ115,$AJ115)=1,1,0))</f>
        <v/>
      </c>
      <c r="AL115">
        <f>IF($AK115=1,SUMPRODUCT(--($AO$2:$AO$1501&lt;$AO115))+1,"")</f>
        <v/>
      </c>
      <c r="AM115">
        <f>IF($C115="","",IF(OR($Q115=TRUE(),$Q115="TRUE"),1,0))</f>
        <v/>
      </c>
      <c r="AN115">
        <f>IF($C115="","",IF($Z115="Yes",1,0))</f>
        <v/>
      </c>
      <c r="AO115">
        <f>IF($AK115=1,IFERROR(IF(VALUE($C115)&lt;100000000,VALUE($C115),1000000000),IFERROR(IF(VALUE(MID($C115,2,20))&lt;100000000,VALUE(MID($C115,2,20)),1000000000),1000000000))+ROW()/100000,"")</f>
        <v/>
      </c>
    </row>
    <row r="116">
      <c r="F116" s="11" t="n"/>
      <c r="N116" s="7">
        <f>IF($C116="","",M116*U116/100)</f>
        <v/>
      </c>
      <c r="T116" s="7" t="n"/>
      <c r="U116" s="7" t="n"/>
      <c r="V116" s="7">
        <f>IF($C116="","",U116*AA116/100)</f>
        <v/>
      </c>
      <c r="W116" s="7">
        <f>IF($C116="","",U116-V116)</f>
        <v/>
      </c>
      <c r="X116" s="7">
        <f>IF($C116="","",W116-N116)</f>
        <v/>
      </c>
      <c r="AA116">
        <f>IF($C116="","",IF($AN116=1,0,IF($AM116=1,Settings!$C$6,Settings!$C$7))*100)</f>
        <v/>
      </c>
      <c r="AE116" s="7" t="n"/>
      <c r="AH116" s="11" t="n"/>
      <c r="AJ116">
        <f>IF($C116="","",$C116&amp;"|"&amp;$D116&amp;"")</f>
        <v/>
      </c>
      <c r="AK116">
        <f>IF($C116="","",IF(COUNTIF($AJ$2:$AJ116,$AJ116)=1,1,0))</f>
        <v/>
      </c>
      <c r="AL116">
        <f>IF($AK116=1,SUMPRODUCT(--($AO$2:$AO$1501&lt;$AO116))+1,"")</f>
        <v/>
      </c>
      <c r="AM116">
        <f>IF($C116="","",IF(OR($Q116=TRUE(),$Q116="TRUE"),1,0))</f>
        <v/>
      </c>
      <c r="AN116">
        <f>IF($C116="","",IF($Z116="Yes",1,0))</f>
        <v/>
      </c>
      <c r="AO116">
        <f>IF($AK116=1,IFERROR(IF(VALUE($C116)&lt;100000000,VALUE($C116),1000000000),IFERROR(IF(VALUE(MID($C116,2,20))&lt;100000000,VALUE(MID($C116,2,20)),1000000000),1000000000))+ROW()/100000,"")</f>
        <v/>
      </c>
    </row>
    <row r="117">
      <c r="F117" s="11" t="n"/>
      <c r="N117" s="7">
        <f>IF($C117="","",M117*U117/100)</f>
        <v/>
      </c>
      <c r="T117" s="7" t="n"/>
      <c r="U117" s="7" t="n"/>
      <c r="V117" s="7">
        <f>IF($C117="","",U117*AA117/100)</f>
        <v/>
      </c>
      <c r="W117" s="7">
        <f>IF($C117="","",U117-V117)</f>
        <v/>
      </c>
      <c r="X117" s="7">
        <f>IF($C117="","",W117-N117)</f>
        <v/>
      </c>
      <c r="AA117">
        <f>IF($C117="","",IF($AN117=1,0,IF($AM117=1,Settings!$C$6,Settings!$C$7))*100)</f>
        <v/>
      </c>
      <c r="AE117" s="7" t="n"/>
      <c r="AH117" s="11" t="n"/>
      <c r="AJ117">
        <f>IF($C117="","",$C117&amp;"|"&amp;$D117&amp;"")</f>
        <v/>
      </c>
      <c r="AK117">
        <f>IF($C117="","",IF(COUNTIF($AJ$2:$AJ117,$AJ117)=1,1,0))</f>
        <v/>
      </c>
      <c r="AL117">
        <f>IF($AK117=1,SUMPRODUCT(--($AO$2:$AO$1501&lt;$AO117))+1,"")</f>
        <v/>
      </c>
      <c r="AM117">
        <f>IF($C117="","",IF(OR($Q117=TRUE(),$Q117="TRUE"),1,0))</f>
        <v/>
      </c>
      <c r="AN117">
        <f>IF($C117="","",IF($Z117="Yes",1,0))</f>
        <v/>
      </c>
      <c r="AO117">
        <f>IF($AK117=1,IFERROR(IF(VALUE($C117)&lt;100000000,VALUE($C117),1000000000),IFERROR(IF(VALUE(MID($C117,2,20))&lt;100000000,VALUE(MID($C117,2,20)),1000000000),1000000000))+ROW()/100000,"")</f>
        <v/>
      </c>
    </row>
    <row r="118">
      <c r="F118" s="11" t="n"/>
      <c r="N118" s="7">
        <f>IF($C118="","",M118*U118/100)</f>
        <v/>
      </c>
      <c r="T118" s="7" t="n"/>
      <c r="U118" s="7" t="n"/>
      <c r="V118" s="7">
        <f>IF($C118="","",U118*AA118/100)</f>
        <v/>
      </c>
      <c r="W118" s="7">
        <f>IF($C118="","",U118-V118)</f>
        <v/>
      </c>
      <c r="X118" s="7">
        <f>IF($C118="","",W118-N118)</f>
        <v/>
      </c>
      <c r="AA118">
        <f>IF($C118="","",IF($AN118=1,0,IF($AM118=1,Settings!$C$6,Settings!$C$7))*100)</f>
        <v/>
      </c>
      <c r="AE118" s="7" t="n"/>
      <c r="AH118" s="11" t="n"/>
      <c r="AJ118">
        <f>IF($C118="","",$C118&amp;"|"&amp;$D118&amp;"")</f>
        <v/>
      </c>
      <c r="AK118">
        <f>IF($C118="","",IF(COUNTIF($AJ$2:$AJ118,$AJ118)=1,1,0))</f>
        <v/>
      </c>
      <c r="AL118">
        <f>IF($AK118=1,SUMPRODUCT(--($AO$2:$AO$1501&lt;$AO118))+1,"")</f>
        <v/>
      </c>
      <c r="AM118">
        <f>IF($C118="","",IF(OR($Q118=TRUE(),$Q118="TRUE"),1,0))</f>
        <v/>
      </c>
      <c r="AN118">
        <f>IF($C118="","",IF($Z118="Yes",1,0))</f>
        <v/>
      </c>
      <c r="AO118">
        <f>IF($AK118=1,IFERROR(IF(VALUE($C118)&lt;100000000,VALUE($C118),1000000000),IFERROR(IF(VALUE(MID($C118,2,20))&lt;100000000,VALUE(MID($C118,2,20)),1000000000),1000000000))+ROW()/100000,"")</f>
        <v/>
      </c>
    </row>
    <row r="119">
      <c r="F119" s="11" t="n"/>
      <c r="N119" s="7">
        <f>IF($C119="","",M119*U119/100)</f>
        <v/>
      </c>
      <c r="T119" s="7" t="n"/>
      <c r="U119" s="7" t="n"/>
      <c r="V119" s="7">
        <f>IF($C119="","",U119*AA119/100)</f>
        <v/>
      </c>
      <c r="W119" s="7">
        <f>IF($C119="","",U119-V119)</f>
        <v/>
      </c>
      <c r="X119" s="7">
        <f>IF($C119="","",W119-N119)</f>
        <v/>
      </c>
      <c r="AA119">
        <f>IF($C119="","",IF($AN119=1,0,IF($AM119=1,Settings!$C$6,Settings!$C$7))*100)</f>
        <v/>
      </c>
      <c r="AE119" s="7" t="n"/>
      <c r="AH119" s="11" t="n"/>
      <c r="AJ119">
        <f>IF($C119="","",$C119&amp;"|"&amp;$D119&amp;"")</f>
        <v/>
      </c>
      <c r="AK119">
        <f>IF($C119="","",IF(COUNTIF($AJ$2:$AJ119,$AJ119)=1,1,0))</f>
        <v/>
      </c>
      <c r="AL119">
        <f>IF($AK119=1,SUMPRODUCT(--($AO$2:$AO$1501&lt;$AO119))+1,"")</f>
        <v/>
      </c>
      <c r="AM119">
        <f>IF($C119="","",IF(OR($Q119=TRUE(),$Q119="TRUE"),1,0))</f>
        <v/>
      </c>
      <c r="AN119">
        <f>IF($C119="","",IF($Z119="Yes",1,0))</f>
        <v/>
      </c>
      <c r="AO119">
        <f>IF($AK119=1,IFERROR(IF(VALUE($C119)&lt;100000000,VALUE($C119),1000000000),IFERROR(IF(VALUE(MID($C119,2,20))&lt;100000000,VALUE(MID($C119,2,20)),1000000000),1000000000))+ROW()/100000,"")</f>
        <v/>
      </c>
    </row>
    <row r="120">
      <c r="F120" s="11" t="n"/>
      <c r="N120" s="7">
        <f>IF($C120="","",M120*U120/100)</f>
        <v/>
      </c>
      <c r="T120" s="7" t="n"/>
      <c r="U120" s="7" t="n"/>
      <c r="V120" s="7">
        <f>IF($C120="","",U120*AA120/100)</f>
        <v/>
      </c>
      <c r="W120" s="7">
        <f>IF($C120="","",U120-V120)</f>
        <v/>
      </c>
      <c r="X120" s="7">
        <f>IF($C120="","",W120-N120)</f>
        <v/>
      </c>
      <c r="AA120">
        <f>IF($C120="","",IF($AN120=1,0,IF($AM120=1,Settings!$C$6,Settings!$C$7))*100)</f>
        <v/>
      </c>
      <c r="AE120" s="7" t="n"/>
      <c r="AH120" s="11" t="n"/>
      <c r="AJ120">
        <f>IF($C120="","",$C120&amp;"|"&amp;$D120&amp;"")</f>
        <v/>
      </c>
      <c r="AK120">
        <f>IF($C120="","",IF(COUNTIF($AJ$2:$AJ120,$AJ120)=1,1,0))</f>
        <v/>
      </c>
      <c r="AL120">
        <f>IF($AK120=1,SUMPRODUCT(--($AO$2:$AO$1501&lt;$AO120))+1,"")</f>
        <v/>
      </c>
      <c r="AM120">
        <f>IF($C120="","",IF(OR($Q120=TRUE(),$Q120="TRUE"),1,0))</f>
        <v/>
      </c>
      <c r="AN120">
        <f>IF($C120="","",IF($Z120="Yes",1,0))</f>
        <v/>
      </c>
      <c r="AO120">
        <f>IF($AK120=1,IFERROR(IF(VALUE($C120)&lt;100000000,VALUE($C120),1000000000),IFERROR(IF(VALUE(MID($C120,2,20))&lt;100000000,VALUE(MID($C120,2,20)),1000000000),1000000000))+ROW()/100000,"")</f>
        <v/>
      </c>
    </row>
    <row r="121">
      <c r="F121" s="11" t="n"/>
      <c r="N121" s="7">
        <f>IF($C121="","",M121*U121/100)</f>
        <v/>
      </c>
      <c r="T121" s="7" t="n"/>
      <c r="U121" s="7" t="n"/>
      <c r="V121" s="7">
        <f>IF($C121="","",U121*AA121/100)</f>
        <v/>
      </c>
      <c r="W121" s="7">
        <f>IF($C121="","",U121-V121)</f>
        <v/>
      </c>
      <c r="X121" s="7">
        <f>IF($C121="","",W121-N121)</f>
        <v/>
      </c>
      <c r="AA121">
        <f>IF($C121="","",IF($AN121=1,0,IF($AM121=1,Settings!$C$6,Settings!$C$7))*100)</f>
        <v/>
      </c>
      <c r="AE121" s="7" t="n"/>
      <c r="AH121" s="11" t="n"/>
      <c r="AJ121">
        <f>IF($C121="","",$C121&amp;"|"&amp;$D121&amp;"")</f>
        <v/>
      </c>
      <c r="AK121">
        <f>IF($C121="","",IF(COUNTIF($AJ$2:$AJ121,$AJ121)=1,1,0))</f>
        <v/>
      </c>
      <c r="AL121">
        <f>IF($AK121=1,SUMPRODUCT(--($AO$2:$AO$1501&lt;$AO121))+1,"")</f>
        <v/>
      </c>
      <c r="AM121">
        <f>IF($C121="","",IF(OR($Q121=TRUE(),$Q121="TRUE"),1,0))</f>
        <v/>
      </c>
      <c r="AN121">
        <f>IF($C121="","",IF($Z121="Yes",1,0))</f>
        <v/>
      </c>
      <c r="AO121">
        <f>IF($AK121=1,IFERROR(IF(VALUE($C121)&lt;100000000,VALUE($C121),1000000000),IFERROR(IF(VALUE(MID($C121,2,20))&lt;100000000,VALUE(MID($C121,2,20)),1000000000),1000000000))+ROW()/100000,"")</f>
        <v/>
      </c>
    </row>
    <row r="122">
      <c r="F122" s="11" t="n"/>
      <c r="N122" s="7">
        <f>IF($C122="","",M122*U122/100)</f>
        <v/>
      </c>
      <c r="T122" s="7" t="n"/>
      <c r="U122" s="7" t="n"/>
      <c r="V122" s="7">
        <f>IF($C122="","",U122*AA122/100)</f>
        <v/>
      </c>
      <c r="W122" s="7">
        <f>IF($C122="","",U122-V122)</f>
        <v/>
      </c>
      <c r="X122" s="7">
        <f>IF($C122="","",W122-N122)</f>
        <v/>
      </c>
      <c r="AA122">
        <f>IF($C122="","",IF($AN122=1,0,IF($AM122=1,Settings!$C$6,Settings!$C$7))*100)</f>
        <v/>
      </c>
      <c r="AE122" s="7" t="n"/>
      <c r="AH122" s="11" t="n"/>
      <c r="AJ122">
        <f>IF($C122="","",$C122&amp;"|"&amp;$D122&amp;"")</f>
        <v/>
      </c>
      <c r="AK122">
        <f>IF($C122="","",IF(COUNTIF($AJ$2:$AJ122,$AJ122)=1,1,0))</f>
        <v/>
      </c>
      <c r="AL122">
        <f>IF($AK122=1,SUMPRODUCT(--($AO$2:$AO$1501&lt;$AO122))+1,"")</f>
        <v/>
      </c>
      <c r="AM122">
        <f>IF($C122="","",IF(OR($Q122=TRUE(),$Q122="TRUE"),1,0))</f>
        <v/>
      </c>
      <c r="AN122">
        <f>IF($C122="","",IF($Z122="Yes",1,0))</f>
        <v/>
      </c>
      <c r="AO122">
        <f>IF($AK122=1,IFERROR(IF(VALUE($C122)&lt;100000000,VALUE($C122),1000000000),IFERROR(IF(VALUE(MID($C122,2,20))&lt;100000000,VALUE(MID($C122,2,20)),1000000000),1000000000))+ROW()/100000,"")</f>
        <v/>
      </c>
    </row>
    <row r="123">
      <c r="F123" s="11" t="n"/>
      <c r="N123" s="7">
        <f>IF($C123="","",M123*U123/100)</f>
        <v/>
      </c>
      <c r="T123" s="7" t="n"/>
      <c r="U123" s="7" t="n"/>
      <c r="V123" s="7">
        <f>IF($C123="","",U123*AA123/100)</f>
        <v/>
      </c>
      <c r="W123" s="7">
        <f>IF($C123="","",U123-V123)</f>
        <v/>
      </c>
      <c r="X123" s="7">
        <f>IF($C123="","",W123-N123)</f>
        <v/>
      </c>
      <c r="AA123">
        <f>IF($C123="","",IF($AN123=1,0,IF($AM123=1,Settings!$C$6,Settings!$C$7))*100)</f>
        <v/>
      </c>
      <c r="AE123" s="7" t="n"/>
      <c r="AH123" s="11" t="n"/>
      <c r="AJ123">
        <f>IF($C123="","",$C123&amp;"|"&amp;$D123&amp;"")</f>
        <v/>
      </c>
      <c r="AK123">
        <f>IF($C123="","",IF(COUNTIF($AJ$2:$AJ123,$AJ123)=1,1,0))</f>
        <v/>
      </c>
      <c r="AL123">
        <f>IF($AK123=1,SUMPRODUCT(--($AO$2:$AO$1501&lt;$AO123))+1,"")</f>
        <v/>
      </c>
      <c r="AM123">
        <f>IF($C123="","",IF(OR($Q123=TRUE(),$Q123="TRUE"),1,0))</f>
        <v/>
      </c>
      <c r="AN123">
        <f>IF($C123="","",IF($Z123="Yes",1,0))</f>
        <v/>
      </c>
      <c r="AO123">
        <f>IF($AK123=1,IFERROR(IF(VALUE($C123)&lt;100000000,VALUE($C123),1000000000),IFERROR(IF(VALUE(MID($C123,2,20))&lt;100000000,VALUE(MID($C123,2,20)),1000000000),1000000000))+ROW()/100000,"")</f>
        <v/>
      </c>
    </row>
    <row r="124">
      <c r="F124" s="11" t="n"/>
      <c r="N124" s="7">
        <f>IF($C124="","",M124*U124/100)</f>
        <v/>
      </c>
      <c r="T124" s="7" t="n"/>
      <c r="U124" s="7" t="n"/>
      <c r="V124" s="7">
        <f>IF($C124="","",U124*AA124/100)</f>
        <v/>
      </c>
      <c r="W124" s="7">
        <f>IF($C124="","",U124-V124)</f>
        <v/>
      </c>
      <c r="X124" s="7">
        <f>IF($C124="","",W124-N124)</f>
        <v/>
      </c>
      <c r="AA124">
        <f>IF($C124="","",IF($AN124=1,0,IF($AM124=1,Settings!$C$6,Settings!$C$7))*100)</f>
        <v/>
      </c>
      <c r="AE124" s="7" t="n"/>
      <c r="AH124" s="11" t="n"/>
      <c r="AJ124">
        <f>IF($C124="","",$C124&amp;"|"&amp;$D124&amp;"")</f>
        <v/>
      </c>
      <c r="AK124">
        <f>IF($C124="","",IF(COUNTIF($AJ$2:$AJ124,$AJ124)=1,1,0))</f>
        <v/>
      </c>
      <c r="AL124">
        <f>IF($AK124=1,SUMPRODUCT(--($AO$2:$AO$1501&lt;$AO124))+1,"")</f>
        <v/>
      </c>
      <c r="AM124">
        <f>IF($C124="","",IF(OR($Q124=TRUE(),$Q124="TRUE"),1,0))</f>
        <v/>
      </c>
      <c r="AN124">
        <f>IF($C124="","",IF($Z124="Yes",1,0))</f>
        <v/>
      </c>
      <c r="AO124">
        <f>IF($AK124=1,IFERROR(IF(VALUE($C124)&lt;100000000,VALUE($C124),1000000000),IFERROR(IF(VALUE(MID($C124,2,20))&lt;100000000,VALUE(MID($C124,2,20)),1000000000),1000000000))+ROW()/100000,"")</f>
        <v/>
      </c>
    </row>
    <row r="125">
      <c r="F125" s="11" t="n"/>
      <c r="N125" s="7">
        <f>IF($C125="","",M125*U125/100)</f>
        <v/>
      </c>
      <c r="T125" s="7" t="n"/>
      <c r="U125" s="7" t="n"/>
      <c r="V125" s="7">
        <f>IF($C125="","",U125*AA125/100)</f>
        <v/>
      </c>
      <c r="W125" s="7">
        <f>IF($C125="","",U125-V125)</f>
        <v/>
      </c>
      <c r="X125" s="7">
        <f>IF($C125="","",W125-N125)</f>
        <v/>
      </c>
      <c r="AA125">
        <f>IF($C125="","",IF($AN125=1,0,IF($AM125=1,Settings!$C$6,Settings!$C$7))*100)</f>
        <v/>
      </c>
      <c r="AE125" s="7" t="n"/>
      <c r="AH125" s="11" t="n"/>
      <c r="AJ125">
        <f>IF($C125="","",$C125&amp;"|"&amp;$D125&amp;"")</f>
        <v/>
      </c>
      <c r="AK125">
        <f>IF($C125="","",IF(COUNTIF($AJ$2:$AJ125,$AJ125)=1,1,0))</f>
        <v/>
      </c>
      <c r="AL125">
        <f>IF($AK125=1,SUMPRODUCT(--($AO$2:$AO$1501&lt;$AO125))+1,"")</f>
        <v/>
      </c>
      <c r="AM125">
        <f>IF($C125="","",IF(OR($Q125=TRUE(),$Q125="TRUE"),1,0))</f>
        <v/>
      </c>
      <c r="AN125">
        <f>IF($C125="","",IF($Z125="Yes",1,0))</f>
        <v/>
      </c>
      <c r="AO125">
        <f>IF($AK125=1,IFERROR(IF(VALUE($C125)&lt;100000000,VALUE($C125),1000000000),IFERROR(IF(VALUE(MID($C125,2,20))&lt;100000000,VALUE(MID($C125,2,20)),1000000000),1000000000))+ROW()/100000,"")</f>
        <v/>
      </c>
    </row>
    <row r="126">
      <c r="F126" s="11" t="n"/>
      <c r="N126" s="7">
        <f>IF($C126="","",M126*U126/100)</f>
        <v/>
      </c>
      <c r="T126" s="7" t="n"/>
      <c r="U126" s="7" t="n"/>
      <c r="V126" s="7">
        <f>IF($C126="","",U126*AA126/100)</f>
        <v/>
      </c>
      <c r="W126" s="7">
        <f>IF($C126="","",U126-V126)</f>
        <v/>
      </c>
      <c r="X126" s="7">
        <f>IF($C126="","",W126-N126)</f>
        <v/>
      </c>
      <c r="AA126">
        <f>IF($C126="","",IF($AN126=1,0,IF($AM126=1,Settings!$C$6,Settings!$C$7))*100)</f>
        <v/>
      </c>
      <c r="AE126" s="7" t="n"/>
      <c r="AH126" s="11" t="n"/>
      <c r="AJ126">
        <f>IF($C126="","",$C126&amp;"|"&amp;$D126&amp;"")</f>
        <v/>
      </c>
      <c r="AK126">
        <f>IF($C126="","",IF(COUNTIF($AJ$2:$AJ126,$AJ126)=1,1,0))</f>
        <v/>
      </c>
      <c r="AL126">
        <f>IF($AK126=1,SUMPRODUCT(--($AO$2:$AO$1501&lt;$AO126))+1,"")</f>
        <v/>
      </c>
      <c r="AM126">
        <f>IF($C126="","",IF(OR($Q126=TRUE(),$Q126="TRUE"),1,0))</f>
        <v/>
      </c>
      <c r="AN126">
        <f>IF($C126="","",IF($Z126="Yes",1,0))</f>
        <v/>
      </c>
      <c r="AO126">
        <f>IF($AK126=1,IFERROR(IF(VALUE($C126)&lt;100000000,VALUE($C126),1000000000),IFERROR(IF(VALUE(MID($C126,2,20))&lt;100000000,VALUE(MID($C126,2,20)),1000000000),1000000000))+ROW()/100000,"")</f>
        <v/>
      </c>
    </row>
    <row r="127">
      <c r="F127" s="11" t="n"/>
      <c r="N127" s="7">
        <f>IF($C127="","",M127*U127/100)</f>
        <v/>
      </c>
      <c r="T127" s="7" t="n"/>
      <c r="U127" s="7" t="n"/>
      <c r="V127" s="7">
        <f>IF($C127="","",U127*AA127/100)</f>
        <v/>
      </c>
      <c r="W127" s="7">
        <f>IF($C127="","",U127-V127)</f>
        <v/>
      </c>
      <c r="X127" s="7">
        <f>IF($C127="","",W127-N127)</f>
        <v/>
      </c>
      <c r="AA127">
        <f>IF($C127="","",IF($AN127=1,0,IF($AM127=1,Settings!$C$6,Settings!$C$7))*100)</f>
        <v/>
      </c>
      <c r="AE127" s="7" t="n"/>
      <c r="AH127" s="11" t="n"/>
      <c r="AJ127">
        <f>IF($C127="","",$C127&amp;"|"&amp;$D127&amp;"")</f>
        <v/>
      </c>
      <c r="AK127">
        <f>IF($C127="","",IF(COUNTIF($AJ$2:$AJ127,$AJ127)=1,1,0))</f>
        <v/>
      </c>
      <c r="AL127">
        <f>IF($AK127=1,SUMPRODUCT(--($AO$2:$AO$1501&lt;$AO127))+1,"")</f>
        <v/>
      </c>
      <c r="AM127">
        <f>IF($C127="","",IF(OR($Q127=TRUE(),$Q127="TRUE"),1,0))</f>
        <v/>
      </c>
      <c r="AN127">
        <f>IF($C127="","",IF($Z127="Yes",1,0))</f>
        <v/>
      </c>
      <c r="AO127">
        <f>IF($AK127=1,IFERROR(IF(VALUE($C127)&lt;100000000,VALUE($C127),1000000000),IFERROR(IF(VALUE(MID($C127,2,20))&lt;100000000,VALUE(MID($C127,2,20)),1000000000),1000000000))+ROW()/100000,"")</f>
        <v/>
      </c>
    </row>
    <row r="128">
      <c r="F128" s="11" t="n"/>
      <c r="N128" s="7">
        <f>IF($C128="","",M128*U128/100)</f>
        <v/>
      </c>
      <c r="T128" s="7" t="n"/>
      <c r="U128" s="7" t="n"/>
      <c r="V128" s="7">
        <f>IF($C128="","",U128*AA128/100)</f>
        <v/>
      </c>
      <c r="W128" s="7">
        <f>IF($C128="","",U128-V128)</f>
        <v/>
      </c>
      <c r="X128" s="7">
        <f>IF($C128="","",W128-N128)</f>
        <v/>
      </c>
      <c r="AA128">
        <f>IF($C128="","",IF($AN128=1,0,IF($AM128=1,Settings!$C$6,Settings!$C$7))*100)</f>
        <v/>
      </c>
      <c r="AE128" s="7" t="n"/>
      <c r="AH128" s="11" t="n"/>
      <c r="AJ128">
        <f>IF($C128="","",$C128&amp;"|"&amp;$D128&amp;"")</f>
        <v/>
      </c>
      <c r="AK128">
        <f>IF($C128="","",IF(COUNTIF($AJ$2:$AJ128,$AJ128)=1,1,0))</f>
        <v/>
      </c>
      <c r="AL128">
        <f>IF($AK128=1,SUMPRODUCT(--($AO$2:$AO$1501&lt;$AO128))+1,"")</f>
        <v/>
      </c>
      <c r="AM128">
        <f>IF($C128="","",IF(OR($Q128=TRUE(),$Q128="TRUE"),1,0))</f>
        <v/>
      </c>
      <c r="AN128">
        <f>IF($C128="","",IF($Z128="Yes",1,0))</f>
        <v/>
      </c>
      <c r="AO128">
        <f>IF($AK128=1,IFERROR(IF(VALUE($C128)&lt;100000000,VALUE($C128),1000000000),IFERROR(IF(VALUE(MID($C128,2,20))&lt;100000000,VALUE(MID($C128,2,20)),1000000000),1000000000))+ROW()/100000,"")</f>
        <v/>
      </c>
    </row>
    <row r="129">
      <c r="F129" s="11" t="n"/>
      <c r="N129" s="7">
        <f>IF($C129="","",M129*U129/100)</f>
        <v/>
      </c>
      <c r="T129" s="7" t="n"/>
      <c r="U129" s="7" t="n"/>
      <c r="V129" s="7">
        <f>IF($C129="","",U129*AA129/100)</f>
        <v/>
      </c>
      <c r="W129" s="7">
        <f>IF($C129="","",U129-V129)</f>
        <v/>
      </c>
      <c r="X129" s="7">
        <f>IF($C129="","",W129-N129)</f>
        <v/>
      </c>
      <c r="AA129">
        <f>IF($C129="","",IF($AN129=1,0,IF($AM129=1,Settings!$C$6,Settings!$C$7))*100)</f>
        <v/>
      </c>
      <c r="AE129" s="7" t="n"/>
      <c r="AH129" s="11" t="n"/>
      <c r="AJ129">
        <f>IF($C129="","",$C129&amp;"|"&amp;$D129&amp;"")</f>
        <v/>
      </c>
      <c r="AK129">
        <f>IF($C129="","",IF(COUNTIF($AJ$2:$AJ129,$AJ129)=1,1,0))</f>
        <v/>
      </c>
      <c r="AL129">
        <f>IF($AK129=1,SUMPRODUCT(--($AO$2:$AO$1501&lt;$AO129))+1,"")</f>
        <v/>
      </c>
      <c r="AM129">
        <f>IF($C129="","",IF(OR($Q129=TRUE(),$Q129="TRUE"),1,0))</f>
        <v/>
      </c>
      <c r="AN129">
        <f>IF($C129="","",IF($Z129="Yes",1,0))</f>
        <v/>
      </c>
      <c r="AO129">
        <f>IF($AK129=1,IFERROR(IF(VALUE($C129)&lt;100000000,VALUE($C129),1000000000),IFERROR(IF(VALUE(MID($C129,2,20))&lt;100000000,VALUE(MID($C129,2,20)),1000000000),1000000000))+ROW()/100000,"")</f>
        <v/>
      </c>
    </row>
    <row r="130">
      <c r="F130" s="11" t="n"/>
      <c r="N130" s="7">
        <f>IF($C130="","",M130*U130/100)</f>
        <v/>
      </c>
      <c r="T130" s="7" t="n"/>
      <c r="U130" s="7" t="n"/>
      <c r="V130" s="7">
        <f>IF($C130="","",U130*AA130/100)</f>
        <v/>
      </c>
      <c r="W130" s="7">
        <f>IF($C130="","",U130-V130)</f>
        <v/>
      </c>
      <c r="X130" s="7">
        <f>IF($C130="","",W130-N130)</f>
        <v/>
      </c>
      <c r="AA130">
        <f>IF($C130="","",IF($AN130=1,0,IF($AM130=1,Settings!$C$6,Settings!$C$7))*100)</f>
        <v/>
      </c>
      <c r="AE130" s="7" t="n"/>
      <c r="AH130" s="11" t="n"/>
      <c r="AJ130">
        <f>IF($C130="","",$C130&amp;"|"&amp;$D130&amp;"")</f>
        <v/>
      </c>
      <c r="AK130">
        <f>IF($C130="","",IF(COUNTIF($AJ$2:$AJ130,$AJ130)=1,1,0))</f>
        <v/>
      </c>
      <c r="AL130">
        <f>IF($AK130=1,SUMPRODUCT(--($AO$2:$AO$1501&lt;$AO130))+1,"")</f>
        <v/>
      </c>
      <c r="AM130">
        <f>IF($C130="","",IF(OR($Q130=TRUE(),$Q130="TRUE"),1,0))</f>
        <v/>
      </c>
      <c r="AN130">
        <f>IF($C130="","",IF($Z130="Yes",1,0))</f>
        <v/>
      </c>
      <c r="AO130">
        <f>IF($AK130=1,IFERROR(IF(VALUE($C130)&lt;100000000,VALUE($C130),1000000000),IFERROR(IF(VALUE(MID($C130,2,20))&lt;100000000,VALUE(MID($C130,2,20)),1000000000),1000000000))+ROW()/100000,"")</f>
        <v/>
      </c>
    </row>
    <row r="131">
      <c r="F131" s="11" t="n"/>
      <c r="N131" s="7">
        <f>IF($C131="","",M131*U131/100)</f>
        <v/>
      </c>
      <c r="T131" s="7" t="n"/>
      <c r="U131" s="7" t="n"/>
      <c r="V131" s="7">
        <f>IF($C131="","",U131*AA131/100)</f>
        <v/>
      </c>
      <c r="W131" s="7">
        <f>IF($C131="","",U131-V131)</f>
        <v/>
      </c>
      <c r="X131" s="7">
        <f>IF($C131="","",W131-N131)</f>
        <v/>
      </c>
      <c r="AA131">
        <f>IF($C131="","",IF($AN131=1,0,IF($AM131=1,Settings!$C$6,Settings!$C$7))*100)</f>
        <v/>
      </c>
      <c r="AE131" s="7" t="n"/>
      <c r="AH131" s="11" t="n"/>
      <c r="AJ131">
        <f>IF($C131="","",$C131&amp;"|"&amp;$D131&amp;"")</f>
        <v/>
      </c>
      <c r="AK131">
        <f>IF($C131="","",IF(COUNTIF($AJ$2:$AJ131,$AJ131)=1,1,0))</f>
        <v/>
      </c>
      <c r="AL131">
        <f>IF($AK131=1,SUMPRODUCT(--($AO$2:$AO$1501&lt;$AO131))+1,"")</f>
        <v/>
      </c>
      <c r="AM131">
        <f>IF($C131="","",IF(OR($Q131=TRUE(),$Q131="TRUE"),1,0))</f>
        <v/>
      </c>
      <c r="AN131">
        <f>IF($C131="","",IF($Z131="Yes",1,0))</f>
        <v/>
      </c>
      <c r="AO131">
        <f>IF($AK131=1,IFERROR(IF(VALUE($C131)&lt;100000000,VALUE($C131),1000000000),IFERROR(IF(VALUE(MID($C131,2,20))&lt;100000000,VALUE(MID($C131,2,20)),1000000000),1000000000))+ROW()/100000,"")</f>
        <v/>
      </c>
    </row>
    <row r="132">
      <c r="F132" s="11" t="n"/>
      <c r="N132" s="7">
        <f>IF($C132="","",M132*U132/100)</f>
        <v/>
      </c>
      <c r="T132" s="7" t="n"/>
      <c r="U132" s="7" t="n"/>
      <c r="V132" s="7">
        <f>IF($C132="","",U132*AA132/100)</f>
        <v/>
      </c>
      <c r="W132" s="7">
        <f>IF($C132="","",U132-V132)</f>
        <v/>
      </c>
      <c r="X132" s="7">
        <f>IF($C132="","",W132-N132)</f>
        <v/>
      </c>
      <c r="AA132">
        <f>IF($C132="","",IF($AN132=1,0,IF($AM132=1,Settings!$C$6,Settings!$C$7))*100)</f>
        <v/>
      </c>
      <c r="AE132" s="7" t="n"/>
      <c r="AH132" s="11" t="n"/>
      <c r="AJ132">
        <f>IF($C132="","",$C132&amp;"|"&amp;$D132&amp;"")</f>
        <v/>
      </c>
      <c r="AK132">
        <f>IF($C132="","",IF(COUNTIF($AJ$2:$AJ132,$AJ132)=1,1,0))</f>
        <v/>
      </c>
      <c r="AL132">
        <f>IF($AK132=1,SUMPRODUCT(--($AO$2:$AO$1501&lt;$AO132))+1,"")</f>
        <v/>
      </c>
      <c r="AM132">
        <f>IF($C132="","",IF(OR($Q132=TRUE(),$Q132="TRUE"),1,0))</f>
        <v/>
      </c>
      <c r="AN132">
        <f>IF($C132="","",IF($Z132="Yes",1,0))</f>
        <v/>
      </c>
      <c r="AO132">
        <f>IF($AK132=1,IFERROR(IF(VALUE($C132)&lt;100000000,VALUE($C132),1000000000),IFERROR(IF(VALUE(MID($C132,2,20))&lt;100000000,VALUE(MID($C132,2,20)),1000000000),1000000000))+ROW()/100000,"")</f>
        <v/>
      </c>
    </row>
    <row r="133">
      <c r="F133" s="11" t="n"/>
      <c r="N133" s="7">
        <f>IF($C133="","",M133*U133/100)</f>
        <v/>
      </c>
      <c r="T133" s="7" t="n"/>
      <c r="U133" s="7" t="n"/>
      <c r="V133" s="7">
        <f>IF($C133="","",U133*AA133/100)</f>
        <v/>
      </c>
      <c r="W133" s="7">
        <f>IF($C133="","",U133-V133)</f>
        <v/>
      </c>
      <c r="X133" s="7">
        <f>IF($C133="","",W133-N133)</f>
        <v/>
      </c>
      <c r="AA133">
        <f>IF($C133="","",IF($AN133=1,0,IF($AM133=1,Settings!$C$6,Settings!$C$7))*100)</f>
        <v/>
      </c>
      <c r="AE133" s="7" t="n"/>
      <c r="AH133" s="11" t="n"/>
      <c r="AJ133">
        <f>IF($C133="","",$C133&amp;"|"&amp;$D133&amp;"")</f>
        <v/>
      </c>
      <c r="AK133">
        <f>IF($C133="","",IF(COUNTIF($AJ$2:$AJ133,$AJ133)=1,1,0))</f>
        <v/>
      </c>
      <c r="AL133">
        <f>IF($AK133=1,SUMPRODUCT(--($AO$2:$AO$1501&lt;$AO133))+1,"")</f>
        <v/>
      </c>
      <c r="AM133">
        <f>IF($C133="","",IF(OR($Q133=TRUE(),$Q133="TRUE"),1,0))</f>
        <v/>
      </c>
      <c r="AN133">
        <f>IF($C133="","",IF($Z133="Yes",1,0))</f>
        <v/>
      </c>
      <c r="AO133">
        <f>IF($AK133=1,IFERROR(IF(VALUE($C133)&lt;100000000,VALUE($C133),1000000000),IFERROR(IF(VALUE(MID($C133,2,20))&lt;100000000,VALUE(MID($C133,2,20)),1000000000),1000000000))+ROW()/100000,"")</f>
        <v/>
      </c>
    </row>
    <row r="134">
      <c r="F134" s="11" t="n"/>
      <c r="N134" s="7">
        <f>IF($C134="","",M134*U134/100)</f>
        <v/>
      </c>
      <c r="T134" s="7" t="n"/>
      <c r="U134" s="7" t="n"/>
      <c r="V134" s="7">
        <f>IF($C134="","",U134*AA134/100)</f>
        <v/>
      </c>
      <c r="W134" s="7">
        <f>IF($C134="","",U134-V134)</f>
        <v/>
      </c>
      <c r="X134" s="7">
        <f>IF($C134="","",W134-N134)</f>
        <v/>
      </c>
      <c r="AA134">
        <f>IF($C134="","",IF($AN134=1,0,IF($AM134=1,Settings!$C$6,Settings!$C$7))*100)</f>
        <v/>
      </c>
      <c r="AE134" s="7" t="n"/>
      <c r="AH134" s="11" t="n"/>
      <c r="AJ134">
        <f>IF($C134="","",$C134&amp;"|"&amp;$D134&amp;"")</f>
        <v/>
      </c>
      <c r="AK134">
        <f>IF($C134="","",IF(COUNTIF($AJ$2:$AJ134,$AJ134)=1,1,0))</f>
        <v/>
      </c>
      <c r="AL134">
        <f>IF($AK134=1,SUMPRODUCT(--($AO$2:$AO$1501&lt;$AO134))+1,"")</f>
        <v/>
      </c>
      <c r="AM134">
        <f>IF($C134="","",IF(OR($Q134=TRUE(),$Q134="TRUE"),1,0))</f>
        <v/>
      </c>
      <c r="AN134">
        <f>IF($C134="","",IF($Z134="Yes",1,0))</f>
        <v/>
      </c>
      <c r="AO134">
        <f>IF($AK134=1,IFERROR(IF(VALUE($C134)&lt;100000000,VALUE($C134),1000000000),IFERROR(IF(VALUE(MID($C134,2,20))&lt;100000000,VALUE(MID($C134,2,20)),1000000000),1000000000))+ROW()/100000,"")</f>
        <v/>
      </c>
    </row>
    <row r="135">
      <c r="F135" s="11" t="n"/>
      <c r="N135" s="7">
        <f>IF($C135="","",M135*U135/100)</f>
        <v/>
      </c>
      <c r="T135" s="7" t="n"/>
      <c r="U135" s="7" t="n"/>
      <c r="V135" s="7">
        <f>IF($C135="","",U135*AA135/100)</f>
        <v/>
      </c>
      <c r="W135" s="7">
        <f>IF($C135="","",U135-V135)</f>
        <v/>
      </c>
      <c r="X135" s="7">
        <f>IF($C135="","",W135-N135)</f>
        <v/>
      </c>
      <c r="AA135">
        <f>IF($C135="","",IF($AN135=1,0,IF($AM135=1,Settings!$C$6,Settings!$C$7))*100)</f>
        <v/>
      </c>
      <c r="AE135" s="7" t="n"/>
      <c r="AH135" s="11" t="n"/>
      <c r="AJ135">
        <f>IF($C135="","",$C135&amp;"|"&amp;$D135&amp;"")</f>
        <v/>
      </c>
      <c r="AK135">
        <f>IF($C135="","",IF(COUNTIF($AJ$2:$AJ135,$AJ135)=1,1,0))</f>
        <v/>
      </c>
      <c r="AL135">
        <f>IF($AK135=1,SUMPRODUCT(--($AO$2:$AO$1501&lt;$AO135))+1,"")</f>
        <v/>
      </c>
      <c r="AM135">
        <f>IF($C135="","",IF(OR($Q135=TRUE(),$Q135="TRUE"),1,0))</f>
        <v/>
      </c>
      <c r="AN135">
        <f>IF($C135="","",IF($Z135="Yes",1,0))</f>
        <v/>
      </c>
      <c r="AO135">
        <f>IF($AK135=1,IFERROR(IF(VALUE($C135)&lt;100000000,VALUE($C135),1000000000),IFERROR(IF(VALUE(MID($C135,2,20))&lt;100000000,VALUE(MID($C135,2,20)),1000000000),1000000000))+ROW()/100000,"")</f>
        <v/>
      </c>
    </row>
    <row r="136">
      <c r="F136" s="11" t="n"/>
      <c r="N136" s="7">
        <f>IF($C136="","",M136*U136/100)</f>
        <v/>
      </c>
      <c r="T136" s="7" t="n"/>
      <c r="U136" s="7" t="n"/>
      <c r="V136" s="7">
        <f>IF($C136="","",U136*AA136/100)</f>
        <v/>
      </c>
      <c r="W136" s="7">
        <f>IF($C136="","",U136-V136)</f>
        <v/>
      </c>
      <c r="X136" s="7">
        <f>IF($C136="","",W136-N136)</f>
        <v/>
      </c>
      <c r="AA136">
        <f>IF($C136="","",IF($AN136=1,0,IF($AM136=1,Settings!$C$6,Settings!$C$7))*100)</f>
        <v/>
      </c>
      <c r="AE136" s="7" t="n"/>
      <c r="AH136" s="11" t="n"/>
      <c r="AJ136">
        <f>IF($C136="","",$C136&amp;"|"&amp;$D136&amp;"")</f>
        <v/>
      </c>
      <c r="AK136">
        <f>IF($C136="","",IF(COUNTIF($AJ$2:$AJ136,$AJ136)=1,1,0))</f>
        <v/>
      </c>
      <c r="AL136">
        <f>IF($AK136=1,SUMPRODUCT(--($AO$2:$AO$1501&lt;$AO136))+1,"")</f>
        <v/>
      </c>
      <c r="AM136">
        <f>IF($C136="","",IF(OR($Q136=TRUE(),$Q136="TRUE"),1,0))</f>
        <v/>
      </c>
      <c r="AN136">
        <f>IF($C136="","",IF($Z136="Yes",1,0))</f>
        <v/>
      </c>
      <c r="AO136">
        <f>IF($AK136=1,IFERROR(IF(VALUE($C136)&lt;100000000,VALUE($C136),1000000000),IFERROR(IF(VALUE(MID($C136,2,20))&lt;100000000,VALUE(MID($C136,2,20)),1000000000),1000000000))+ROW()/100000,"")</f>
        <v/>
      </c>
    </row>
    <row r="137">
      <c r="F137" s="11" t="n"/>
      <c r="N137" s="7">
        <f>IF($C137="","",M137*U137/100)</f>
        <v/>
      </c>
      <c r="T137" s="7" t="n"/>
      <c r="U137" s="7" t="n"/>
      <c r="V137" s="7">
        <f>IF($C137="","",U137*AA137/100)</f>
        <v/>
      </c>
      <c r="W137" s="7">
        <f>IF($C137="","",U137-V137)</f>
        <v/>
      </c>
      <c r="X137" s="7">
        <f>IF($C137="","",W137-N137)</f>
        <v/>
      </c>
      <c r="AA137">
        <f>IF($C137="","",IF($AN137=1,0,IF($AM137=1,Settings!$C$6,Settings!$C$7))*100)</f>
        <v/>
      </c>
      <c r="AE137" s="7" t="n"/>
      <c r="AH137" s="11" t="n"/>
      <c r="AJ137">
        <f>IF($C137="","",$C137&amp;"|"&amp;$D137&amp;"")</f>
        <v/>
      </c>
      <c r="AK137">
        <f>IF($C137="","",IF(COUNTIF($AJ$2:$AJ137,$AJ137)=1,1,0))</f>
        <v/>
      </c>
      <c r="AL137">
        <f>IF($AK137=1,SUMPRODUCT(--($AO$2:$AO$1501&lt;$AO137))+1,"")</f>
        <v/>
      </c>
      <c r="AM137">
        <f>IF($C137="","",IF(OR($Q137=TRUE(),$Q137="TRUE"),1,0))</f>
        <v/>
      </c>
      <c r="AN137">
        <f>IF($C137="","",IF($Z137="Yes",1,0))</f>
        <v/>
      </c>
      <c r="AO137">
        <f>IF($AK137=1,IFERROR(IF(VALUE($C137)&lt;100000000,VALUE($C137),1000000000),IFERROR(IF(VALUE(MID($C137,2,20))&lt;100000000,VALUE(MID($C137,2,20)),1000000000),1000000000))+ROW()/100000,"")</f>
        <v/>
      </c>
    </row>
    <row r="138">
      <c r="F138" s="11" t="n"/>
      <c r="N138" s="7">
        <f>IF($C138="","",M138*U138/100)</f>
        <v/>
      </c>
      <c r="T138" s="7" t="n"/>
      <c r="U138" s="7" t="n"/>
      <c r="V138" s="7">
        <f>IF($C138="","",U138*AA138/100)</f>
        <v/>
      </c>
      <c r="W138" s="7">
        <f>IF($C138="","",U138-V138)</f>
        <v/>
      </c>
      <c r="X138" s="7">
        <f>IF($C138="","",W138-N138)</f>
        <v/>
      </c>
      <c r="AA138">
        <f>IF($C138="","",IF($AN138=1,0,IF($AM138=1,Settings!$C$6,Settings!$C$7))*100)</f>
        <v/>
      </c>
      <c r="AE138" s="7" t="n"/>
      <c r="AH138" s="11" t="n"/>
      <c r="AJ138">
        <f>IF($C138="","",$C138&amp;"|"&amp;$D138&amp;"")</f>
        <v/>
      </c>
      <c r="AK138">
        <f>IF($C138="","",IF(COUNTIF($AJ$2:$AJ138,$AJ138)=1,1,0))</f>
        <v/>
      </c>
      <c r="AL138">
        <f>IF($AK138=1,SUMPRODUCT(--($AO$2:$AO$1501&lt;$AO138))+1,"")</f>
        <v/>
      </c>
      <c r="AM138">
        <f>IF($C138="","",IF(OR($Q138=TRUE(),$Q138="TRUE"),1,0))</f>
        <v/>
      </c>
      <c r="AN138">
        <f>IF($C138="","",IF($Z138="Yes",1,0))</f>
        <v/>
      </c>
      <c r="AO138">
        <f>IF($AK138=1,IFERROR(IF(VALUE($C138)&lt;100000000,VALUE($C138),1000000000),IFERROR(IF(VALUE(MID($C138,2,20))&lt;100000000,VALUE(MID($C138,2,20)),1000000000),1000000000))+ROW()/100000,"")</f>
        <v/>
      </c>
    </row>
    <row r="139">
      <c r="F139" s="11" t="n"/>
      <c r="N139" s="7">
        <f>IF($C139="","",M139*U139/100)</f>
        <v/>
      </c>
      <c r="T139" s="7" t="n"/>
      <c r="U139" s="7" t="n"/>
      <c r="V139" s="7">
        <f>IF($C139="","",U139*AA139/100)</f>
        <v/>
      </c>
      <c r="W139" s="7">
        <f>IF($C139="","",U139-V139)</f>
        <v/>
      </c>
      <c r="X139" s="7">
        <f>IF($C139="","",W139-N139)</f>
        <v/>
      </c>
      <c r="AA139">
        <f>IF($C139="","",IF($AN139=1,0,IF($AM139=1,Settings!$C$6,Settings!$C$7))*100)</f>
        <v/>
      </c>
      <c r="AE139" s="7" t="n"/>
      <c r="AH139" s="11" t="n"/>
      <c r="AJ139">
        <f>IF($C139="","",$C139&amp;"|"&amp;$D139&amp;"")</f>
        <v/>
      </c>
      <c r="AK139">
        <f>IF($C139="","",IF(COUNTIF($AJ$2:$AJ139,$AJ139)=1,1,0))</f>
        <v/>
      </c>
      <c r="AL139">
        <f>IF($AK139=1,SUMPRODUCT(--($AO$2:$AO$1501&lt;$AO139))+1,"")</f>
        <v/>
      </c>
      <c r="AM139">
        <f>IF($C139="","",IF(OR($Q139=TRUE(),$Q139="TRUE"),1,0))</f>
        <v/>
      </c>
      <c r="AN139">
        <f>IF($C139="","",IF($Z139="Yes",1,0))</f>
        <v/>
      </c>
      <c r="AO139">
        <f>IF($AK139=1,IFERROR(IF(VALUE($C139)&lt;100000000,VALUE($C139),1000000000),IFERROR(IF(VALUE(MID($C139,2,20))&lt;100000000,VALUE(MID($C139,2,20)),1000000000),1000000000))+ROW()/100000,"")</f>
        <v/>
      </c>
    </row>
    <row r="140">
      <c r="F140" s="11" t="n"/>
      <c r="N140" s="7">
        <f>IF($C140="","",M140*U140/100)</f>
        <v/>
      </c>
      <c r="T140" s="7" t="n"/>
      <c r="U140" s="7" t="n"/>
      <c r="V140" s="7">
        <f>IF($C140="","",U140*AA140/100)</f>
        <v/>
      </c>
      <c r="W140" s="7">
        <f>IF($C140="","",U140-V140)</f>
        <v/>
      </c>
      <c r="X140" s="7">
        <f>IF($C140="","",W140-N140)</f>
        <v/>
      </c>
      <c r="AA140">
        <f>IF($C140="","",IF($AN140=1,0,IF($AM140=1,Settings!$C$6,Settings!$C$7))*100)</f>
        <v/>
      </c>
      <c r="AE140" s="7" t="n"/>
      <c r="AH140" s="11" t="n"/>
      <c r="AJ140">
        <f>IF($C140="","",$C140&amp;"|"&amp;$D140&amp;"")</f>
        <v/>
      </c>
      <c r="AK140">
        <f>IF($C140="","",IF(COUNTIF($AJ$2:$AJ140,$AJ140)=1,1,0))</f>
        <v/>
      </c>
      <c r="AL140">
        <f>IF($AK140=1,SUMPRODUCT(--($AO$2:$AO$1501&lt;$AO140))+1,"")</f>
        <v/>
      </c>
      <c r="AM140">
        <f>IF($C140="","",IF(OR($Q140=TRUE(),$Q140="TRUE"),1,0))</f>
        <v/>
      </c>
      <c r="AN140">
        <f>IF($C140="","",IF($Z140="Yes",1,0))</f>
        <v/>
      </c>
      <c r="AO140">
        <f>IF($AK140=1,IFERROR(IF(VALUE($C140)&lt;100000000,VALUE($C140),1000000000),IFERROR(IF(VALUE(MID($C140,2,20))&lt;100000000,VALUE(MID($C140,2,20)),1000000000),1000000000))+ROW()/100000,"")</f>
        <v/>
      </c>
    </row>
    <row r="141">
      <c r="F141" s="11" t="n"/>
      <c r="N141" s="7">
        <f>IF($C141="","",M141*U141/100)</f>
        <v/>
      </c>
      <c r="T141" s="7" t="n"/>
      <c r="U141" s="7" t="n"/>
      <c r="V141" s="7">
        <f>IF($C141="","",U141*AA141/100)</f>
        <v/>
      </c>
      <c r="W141" s="7">
        <f>IF($C141="","",U141-V141)</f>
        <v/>
      </c>
      <c r="X141" s="7">
        <f>IF($C141="","",W141-N141)</f>
        <v/>
      </c>
      <c r="AA141">
        <f>IF($C141="","",IF($AN141=1,0,IF($AM141=1,Settings!$C$6,Settings!$C$7))*100)</f>
        <v/>
      </c>
      <c r="AE141" s="7" t="n"/>
      <c r="AH141" s="11" t="n"/>
      <c r="AJ141">
        <f>IF($C141="","",$C141&amp;"|"&amp;$D141&amp;"")</f>
        <v/>
      </c>
      <c r="AK141">
        <f>IF($C141="","",IF(COUNTIF($AJ$2:$AJ141,$AJ141)=1,1,0))</f>
        <v/>
      </c>
      <c r="AL141">
        <f>IF($AK141=1,SUMPRODUCT(--($AO$2:$AO$1501&lt;$AO141))+1,"")</f>
        <v/>
      </c>
      <c r="AM141">
        <f>IF($C141="","",IF(OR($Q141=TRUE(),$Q141="TRUE"),1,0))</f>
        <v/>
      </c>
      <c r="AN141">
        <f>IF($C141="","",IF($Z141="Yes",1,0))</f>
        <v/>
      </c>
      <c r="AO141">
        <f>IF($AK141=1,IFERROR(IF(VALUE($C141)&lt;100000000,VALUE($C141),1000000000),IFERROR(IF(VALUE(MID($C141,2,20))&lt;100000000,VALUE(MID($C141,2,20)),1000000000),1000000000))+ROW()/100000,"")</f>
        <v/>
      </c>
    </row>
    <row r="142">
      <c r="F142" s="11" t="n"/>
      <c r="N142" s="7">
        <f>IF($C142="","",M142*U142/100)</f>
        <v/>
      </c>
      <c r="T142" s="7" t="n"/>
      <c r="U142" s="7" t="n"/>
      <c r="V142" s="7">
        <f>IF($C142="","",U142*AA142/100)</f>
        <v/>
      </c>
      <c r="W142" s="7">
        <f>IF($C142="","",U142-V142)</f>
        <v/>
      </c>
      <c r="X142" s="7">
        <f>IF($C142="","",W142-N142)</f>
        <v/>
      </c>
      <c r="AA142">
        <f>IF($C142="","",IF($AN142=1,0,IF($AM142=1,Settings!$C$6,Settings!$C$7))*100)</f>
        <v/>
      </c>
      <c r="AE142" s="7" t="n"/>
      <c r="AH142" s="11" t="n"/>
      <c r="AJ142">
        <f>IF($C142="","",$C142&amp;"|"&amp;$D142&amp;"")</f>
        <v/>
      </c>
      <c r="AK142">
        <f>IF($C142="","",IF(COUNTIF($AJ$2:$AJ142,$AJ142)=1,1,0))</f>
        <v/>
      </c>
      <c r="AL142">
        <f>IF($AK142=1,SUMPRODUCT(--($AO$2:$AO$1501&lt;$AO142))+1,"")</f>
        <v/>
      </c>
      <c r="AM142">
        <f>IF($C142="","",IF(OR($Q142=TRUE(),$Q142="TRUE"),1,0))</f>
        <v/>
      </c>
      <c r="AN142">
        <f>IF($C142="","",IF($Z142="Yes",1,0))</f>
        <v/>
      </c>
      <c r="AO142">
        <f>IF($AK142=1,IFERROR(IF(VALUE($C142)&lt;100000000,VALUE($C142),1000000000),IFERROR(IF(VALUE(MID($C142,2,20))&lt;100000000,VALUE(MID($C142,2,20)),1000000000),1000000000))+ROW()/100000,"")</f>
        <v/>
      </c>
    </row>
    <row r="143">
      <c r="F143" s="11" t="n"/>
      <c r="N143" s="7">
        <f>IF($C143="","",M143*U143/100)</f>
        <v/>
      </c>
      <c r="T143" s="7" t="n"/>
      <c r="U143" s="7" t="n"/>
      <c r="V143" s="7">
        <f>IF($C143="","",U143*AA143/100)</f>
        <v/>
      </c>
      <c r="W143" s="7">
        <f>IF($C143="","",U143-V143)</f>
        <v/>
      </c>
      <c r="X143" s="7">
        <f>IF($C143="","",W143-N143)</f>
        <v/>
      </c>
      <c r="AA143">
        <f>IF($C143="","",IF($AN143=1,0,IF($AM143=1,Settings!$C$6,Settings!$C$7))*100)</f>
        <v/>
      </c>
      <c r="AE143" s="7" t="n"/>
      <c r="AH143" s="11" t="n"/>
      <c r="AJ143">
        <f>IF($C143="","",$C143&amp;"|"&amp;$D143&amp;"")</f>
        <v/>
      </c>
      <c r="AK143">
        <f>IF($C143="","",IF(COUNTIF($AJ$2:$AJ143,$AJ143)=1,1,0))</f>
        <v/>
      </c>
      <c r="AL143">
        <f>IF($AK143=1,SUMPRODUCT(--($AO$2:$AO$1501&lt;$AO143))+1,"")</f>
        <v/>
      </c>
      <c r="AM143">
        <f>IF($C143="","",IF(OR($Q143=TRUE(),$Q143="TRUE"),1,0))</f>
        <v/>
      </c>
      <c r="AN143">
        <f>IF($C143="","",IF($Z143="Yes",1,0))</f>
        <v/>
      </c>
      <c r="AO143">
        <f>IF($AK143=1,IFERROR(IF(VALUE($C143)&lt;100000000,VALUE($C143),1000000000),IFERROR(IF(VALUE(MID($C143,2,20))&lt;100000000,VALUE(MID($C143,2,20)),1000000000),1000000000))+ROW()/100000,"")</f>
        <v/>
      </c>
    </row>
    <row r="144">
      <c r="F144" s="11" t="n"/>
      <c r="N144" s="7">
        <f>IF($C144="","",M144*U144/100)</f>
        <v/>
      </c>
      <c r="T144" s="7" t="n"/>
      <c r="U144" s="7" t="n"/>
      <c r="V144" s="7">
        <f>IF($C144="","",U144*AA144/100)</f>
        <v/>
      </c>
      <c r="W144" s="7">
        <f>IF($C144="","",U144-V144)</f>
        <v/>
      </c>
      <c r="X144" s="7">
        <f>IF($C144="","",W144-N144)</f>
        <v/>
      </c>
      <c r="AA144">
        <f>IF($C144="","",IF($AN144=1,0,IF($AM144=1,Settings!$C$6,Settings!$C$7))*100)</f>
        <v/>
      </c>
      <c r="AE144" s="7" t="n"/>
      <c r="AH144" s="11" t="n"/>
      <c r="AJ144">
        <f>IF($C144="","",$C144&amp;"|"&amp;$D144&amp;"")</f>
        <v/>
      </c>
      <c r="AK144">
        <f>IF($C144="","",IF(COUNTIF($AJ$2:$AJ144,$AJ144)=1,1,0))</f>
        <v/>
      </c>
      <c r="AL144">
        <f>IF($AK144=1,SUMPRODUCT(--($AO$2:$AO$1501&lt;$AO144))+1,"")</f>
        <v/>
      </c>
      <c r="AM144">
        <f>IF($C144="","",IF(OR($Q144=TRUE(),$Q144="TRUE"),1,0))</f>
        <v/>
      </c>
      <c r="AN144">
        <f>IF($C144="","",IF($Z144="Yes",1,0))</f>
        <v/>
      </c>
      <c r="AO144">
        <f>IF($AK144=1,IFERROR(IF(VALUE($C144)&lt;100000000,VALUE($C144),1000000000),IFERROR(IF(VALUE(MID($C144,2,20))&lt;100000000,VALUE(MID($C144,2,20)),1000000000),1000000000))+ROW()/100000,"")</f>
        <v/>
      </c>
    </row>
    <row r="145">
      <c r="F145" s="11" t="n"/>
      <c r="N145" s="7">
        <f>IF($C145="","",M145*U145/100)</f>
        <v/>
      </c>
      <c r="T145" s="7" t="n"/>
      <c r="U145" s="7" t="n"/>
      <c r="V145" s="7">
        <f>IF($C145="","",U145*AA145/100)</f>
        <v/>
      </c>
      <c r="W145" s="7">
        <f>IF($C145="","",U145-V145)</f>
        <v/>
      </c>
      <c r="X145" s="7">
        <f>IF($C145="","",W145-N145)</f>
        <v/>
      </c>
      <c r="AA145">
        <f>IF($C145="","",IF($AN145=1,0,IF($AM145=1,Settings!$C$6,Settings!$C$7))*100)</f>
        <v/>
      </c>
      <c r="AE145" s="7" t="n"/>
      <c r="AH145" s="11" t="n"/>
      <c r="AJ145">
        <f>IF($C145="","",$C145&amp;"|"&amp;$D145&amp;"")</f>
        <v/>
      </c>
      <c r="AK145">
        <f>IF($C145="","",IF(COUNTIF($AJ$2:$AJ145,$AJ145)=1,1,0))</f>
        <v/>
      </c>
      <c r="AL145">
        <f>IF($AK145=1,SUMPRODUCT(--($AO$2:$AO$1501&lt;$AO145))+1,"")</f>
        <v/>
      </c>
      <c r="AM145">
        <f>IF($C145="","",IF(OR($Q145=TRUE(),$Q145="TRUE"),1,0))</f>
        <v/>
      </c>
      <c r="AN145">
        <f>IF($C145="","",IF($Z145="Yes",1,0))</f>
        <v/>
      </c>
      <c r="AO145">
        <f>IF($AK145=1,IFERROR(IF(VALUE($C145)&lt;100000000,VALUE($C145),1000000000),IFERROR(IF(VALUE(MID($C145,2,20))&lt;100000000,VALUE(MID($C145,2,20)),1000000000),1000000000))+ROW()/100000,"")</f>
        <v/>
      </c>
    </row>
    <row r="146">
      <c r="F146" s="11" t="n"/>
      <c r="N146" s="7">
        <f>IF($C146="","",M146*U146/100)</f>
        <v/>
      </c>
      <c r="T146" s="7" t="n"/>
      <c r="U146" s="7" t="n"/>
      <c r="V146" s="7">
        <f>IF($C146="","",U146*AA146/100)</f>
        <v/>
      </c>
      <c r="W146" s="7">
        <f>IF($C146="","",U146-V146)</f>
        <v/>
      </c>
      <c r="X146" s="7">
        <f>IF($C146="","",W146-N146)</f>
        <v/>
      </c>
      <c r="AA146">
        <f>IF($C146="","",IF($AN146=1,0,IF($AM146=1,Settings!$C$6,Settings!$C$7))*100)</f>
        <v/>
      </c>
      <c r="AE146" s="7" t="n"/>
      <c r="AH146" s="11" t="n"/>
      <c r="AJ146">
        <f>IF($C146="","",$C146&amp;"|"&amp;$D146&amp;"")</f>
        <v/>
      </c>
      <c r="AK146">
        <f>IF($C146="","",IF(COUNTIF($AJ$2:$AJ146,$AJ146)=1,1,0))</f>
        <v/>
      </c>
      <c r="AL146">
        <f>IF($AK146=1,SUMPRODUCT(--($AO$2:$AO$1501&lt;$AO146))+1,"")</f>
        <v/>
      </c>
      <c r="AM146">
        <f>IF($C146="","",IF(OR($Q146=TRUE(),$Q146="TRUE"),1,0))</f>
        <v/>
      </c>
      <c r="AN146">
        <f>IF($C146="","",IF($Z146="Yes",1,0))</f>
        <v/>
      </c>
      <c r="AO146">
        <f>IF($AK146=1,IFERROR(IF(VALUE($C146)&lt;100000000,VALUE($C146),1000000000),IFERROR(IF(VALUE(MID($C146,2,20))&lt;100000000,VALUE(MID($C146,2,20)),1000000000),1000000000))+ROW()/100000,"")</f>
        <v/>
      </c>
    </row>
    <row r="147">
      <c r="F147" s="11" t="n"/>
      <c r="N147" s="7">
        <f>IF($C147="","",M147*U147/100)</f>
        <v/>
      </c>
      <c r="T147" s="7" t="n"/>
      <c r="U147" s="7" t="n"/>
      <c r="V147" s="7">
        <f>IF($C147="","",U147*AA147/100)</f>
        <v/>
      </c>
      <c r="W147" s="7">
        <f>IF($C147="","",U147-V147)</f>
        <v/>
      </c>
      <c r="X147" s="7">
        <f>IF($C147="","",W147-N147)</f>
        <v/>
      </c>
      <c r="AA147">
        <f>IF($C147="","",IF($AN147=1,0,IF($AM147=1,Settings!$C$6,Settings!$C$7))*100)</f>
        <v/>
      </c>
      <c r="AE147" s="7" t="n"/>
      <c r="AH147" s="11" t="n"/>
      <c r="AJ147">
        <f>IF($C147="","",$C147&amp;"|"&amp;$D147&amp;"")</f>
        <v/>
      </c>
      <c r="AK147">
        <f>IF($C147="","",IF(COUNTIF($AJ$2:$AJ147,$AJ147)=1,1,0))</f>
        <v/>
      </c>
      <c r="AL147">
        <f>IF($AK147=1,SUMPRODUCT(--($AO$2:$AO$1501&lt;$AO147))+1,"")</f>
        <v/>
      </c>
      <c r="AM147">
        <f>IF($C147="","",IF(OR($Q147=TRUE(),$Q147="TRUE"),1,0))</f>
        <v/>
      </c>
      <c r="AN147">
        <f>IF($C147="","",IF($Z147="Yes",1,0))</f>
        <v/>
      </c>
      <c r="AO147">
        <f>IF($AK147=1,IFERROR(IF(VALUE($C147)&lt;100000000,VALUE($C147),1000000000),IFERROR(IF(VALUE(MID($C147,2,20))&lt;100000000,VALUE(MID($C147,2,20)),1000000000),1000000000))+ROW()/100000,"")</f>
        <v/>
      </c>
    </row>
    <row r="148">
      <c r="F148" s="11" t="n"/>
      <c r="N148" s="7">
        <f>IF($C148="","",M148*U148/100)</f>
        <v/>
      </c>
      <c r="T148" s="7" t="n"/>
      <c r="U148" s="7" t="n"/>
      <c r="V148" s="7">
        <f>IF($C148="","",U148*AA148/100)</f>
        <v/>
      </c>
      <c r="W148" s="7">
        <f>IF($C148="","",U148-V148)</f>
        <v/>
      </c>
      <c r="X148" s="7">
        <f>IF($C148="","",W148-N148)</f>
        <v/>
      </c>
      <c r="AA148">
        <f>IF($C148="","",IF($AN148=1,0,IF($AM148=1,Settings!$C$6,Settings!$C$7))*100)</f>
        <v/>
      </c>
      <c r="AE148" s="7" t="n"/>
      <c r="AH148" s="11" t="n"/>
      <c r="AJ148">
        <f>IF($C148="","",$C148&amp;"|"&amp;$D148&amp;"")</f>
        <v/>
      </c>
      <c r="AK148">
        <f>IF($C148="","",IF(COUNTIF($AJ$2:$AJ148,$AJ148)=1,1,0))</f>
        <v/>
      </c>
      <c r="AL148">
        <f>IF($AK148=1,SUMPRODUCT(--($AO$2:$AO$1501&lt;$AO148))+1,"")</f>
        <v/>
      </c>
      <c r="AM148">
        <f>IF($C148="","",IF(OR($Q148=TRUE(),$Q148="TRUE"),1,0))</f>
        <v/>
      </c>
      <c r="AN148">
        <f>IF($C148="","",IF($Z148="Yes",1,0))</f>
        <v/>
      </c>
      <c r="AO148">
        <f>IF($AK148=1,IFERROR(IF(VALUE($C148)&lt;100000000,VALUE($C148),1000000000),IFERROR(IF(VALUE(MID($C148,2,20))&lt;100000000,VALUE(MID($C148,2,20)),1000000000),1000000000))+ROW()/100000,"")</f>
        <v/>
      </c>
    </row>
    <row r="149">
      <c r="F149" s="11" t="n"/>
      <c r="N149" s="7">
        <f>IF($C149="","",M149*U149/100)</f>
        <v/>
      </c>
      <c r="T149" s="7" t="n"/>
      <c r="U149" s="7" t="n"/>
      <c r="V149" s="7">
        <f>IF($C149="","",U149*AA149/100)</f>
        <v/>
      </c>
      <c r="W149" s="7">
        <f>IF($C149="","",U149-V149)</f>
        <v/>
      </c>
      <c r="X149" s="7">
        <f>IF($C149="","",W149-N149)</f>
        <v/>
      </c>
      <c r="AA149">
        <f>IF($C149="","",IF($AN149=1,0,IF($AM149=1,Settings!$C$6,Settings!$C$7))*100)</f>
        <v/>
      </c>
      <c r="AE149" s="7" t="n"/>
      <c r="AH149" s="11" t="n"/>
      <c r="AJ149">
        <f>IF($C149="","",$C149&amp;"|"&amp;$D149&amp;"")</f>
        <v/>
      </c>
      <c r="AK149">
        <f>IF($C149="","",IF(COUNTIF($AJ$2:$AJ149,$AJ149)=1,1,0))</f>
        <v/>
      </c>
      <c r="AL149">
        <f>IF($AK149=1,SUMPRODUCT(--($AO$2:$AO$1501&lt;$AO149))+1,"")</f>
        <v/>
      </c>
      <c r="AM149">
        <f>IF($C149="","",IF(OR($Q149=TRUE(),$Q149="TRUE"),1,0))</f>
        <v/>
      </c>
      <c r="AN149">
        <f>IF($C149="","",IF($Z149="Yes",1,0))</f>
        <v/>
      </c>
      <c r="AO149">
        <f>IF($AK149=1,IFERROR(IF(VALUE($C149)&lt;100000000,VALUE($C149),1000000000),IFERROR(IF(VALUE(MID($C149,2,20))&lt;100000000,VALUE(MID($C149,2,20)),1000000000),1000000000))+ROW()/100000,"")</f>
        <v/>
      </c>
    </row>
    <row r="150">
      <c r="F150" s="11" t="n"/>
      <c r="N150" s="7">
        <f>IF($C150="","",M150*U150/100)</f>
        <v/>
      </c>
      <c r="T150" s="7" t="n"/>
      <c r="U150" s="7" t="n"/>
      <c r="V150" s="7">
        <f>IF($C150="","",U150*AA150/100)</f>
        <v/>
      </c>
      <c r="W150" s="7">
        <f>IF($C150="","",U150-V150)</f>
        <v/>
      </c>
      <c r="X150" s="7">
        <f>IF($C150="","",W150-N150)</f>
        <v/>
      </c>
      <c r="AA150">
        <f>IF($C150="","",IF($AN150=1,0,IF($AM150=1,Settings!$C$6,Settings!$C$7))*100)</f>
        <v/>
      </c>
      <c r="AE150" s="7" t="n"/>
      <c r="AH150" s="11" t="n"/>
      <c r="AJ150">
        <f>IF($C150="","",$C150&amp;"|"&amp;$D150&amp;"")</f>
        <v/>
      </c>
      <c r="AK150">
        <f>IF($C150="","",IF(COUNTIF($AJ$2:$AJ150,$AJ150)=1,1,0))</f>
        <v/>
      </c>
      <c r="AL150">
        <f>IF($AK150=1,SUMPRODUCT(--($AO$2:$AO$1501&lt;$AO150))+1,"")</f>
        <v/>
      </c>
      <c r="AM150">
        <f>IF($C150="","",IF(OR($Q150=TRUE(),$Q150="TRUE"),1,0))</f>
        <v/>
      </c>
      <c r="AN150">
        <f>IF($C150="","",IF($Z150="Yes",1,0))</f>
        <v/>
      </c>
      <c r="AO150">
        <f>IF($AK150=1,IFERROR(IF(VALUE($C150)&lt;100000000,VALUE($C150),1000000000),IFERROR(IF(VALUE(MID($C150,2,20))&lt;100000000,VALUE(MID($C150,2,20)),1000000000),1000000000))+ROW()/100000,"")</f>
        <v/>
      </c>
    </row>
    <row r="151">
      <c r="F151" s="11" t="n"/>
      <c r="N151" s="7">
        <f>IF($C151="","",M151*U151/100)</f>
        <v/>
      </c>
      <c r="T151" s="7" t="n"/>
      <c r="U151" s="7" t="n"/>
      <c r="V151" s="7">
        <f>IF($C151="","",U151*AA151/100)</f>
        <v/>
      </c>
      <c r="W151" s="7">
        <f>IF($C151="","",U151-V151)</f>
        <v/>
      </c>
      <c r="X151" s="7">
        <f>IF($C151="","",W151-N151)</f>
        <v/>
      </c>
      <c r="AA151">
        <f>IF($C151="","",IF($AN151=1,0,IF($AM151=1,Settings!$C$6,Settings!$C$7))*100)</f>
        <v/>
      </c>
      <c r="AE151" s="7" t="n"/>
      <c r="AH151" s="11" t="n"/>
      <c r="AJ151">
        <f>IF($C151="","",$C151&amp;"|"&amp;$D151&amp;"")</f>
        <v/>
      </c>
      <c r="AK151">
        <f>IF($C151="","",IF(COUNTIF($AJ$2:$AJ151,$AJ151)=1,1,0))</f>
        <v/>
      </c>
      <c r="AL151">
        <f>IF($AK151=1,SUMPRODUCT(--($AO$2:$AO$1501&lt;$AO151))+1,"")</f>
        <v/>
      </c>
      <c r="AM151">
        <f>IF($C151="","",IF(OR($Q151=TRUE(),$Q151="TRUE"),1,0))</f>
        <v/>
      </c>
      <c r="AN151">
        <f>IF($C151="","",IF($Z151="Yes",1,0))</f>
        <v/>
      </c>
      <c r="AO151">
        <f>IF($AK151=1,IFERROR(IF(VALUE($C151)&lt;100000000,VALUE($C151),1000000000),IFERROR(IF(VALUE(MID($C151,2,20))&lt;100000000,VALUE(MID($C151,2,20)),1000000000),1000000000))+ROW()/100000,"")</f>
        <v/>
      </c>
    </row>
    <row r="152">
      <c r="F152" s="11" t="n"/>
      <c r="N152" s="7">
        <f>IF($C152="","",M152*U152/100)</f>
        <v/>
      </c>
      <c r="T152" s="7" t="n"/>
      <c r="U152" s="7" t="n"/>
      <c r="V152" s="7">
        <f>IF($C152="","",U152*AA152/100)</f>
        <v/>
      </c>
      <c r="W152" s="7">
        <f>IF($C152="","",U152-V152)</f>
        <v/>
      </c>
      <c r="X152" s="7">
        <f>IF($C152="","",W152-N152)</f>
        <v/>
      </c>
      <c r="AA152">
        <f>IF($C152="","",IF($AN152=1,0,IF($AM152=1,Settings!$C$6,Settings!$C$7))*100)</f>
        <v/>
      </c>
      <c r="AE152" s="7" t="n"/>
      <c r="AH152" s="11" t="n"/>
      <c r="AJ152">
        <f>IF($C152="","",$C152&amp;"|"&amp;$D152&amp;"")</f>
        <v/>
      </c>
      <c r="AK152">
        <f>IF($C152="","",IF(COUNTIF($AJ$2:$AJ152,$AJ152)=1,1,0))</f>
        <v/>
      </c>
      <c r="AL152">
        <f>IF($AK152=1,SUMPRODUCT(--($AO$2:$AO$1501&lt;$AO152))+1,"")</f>
        <v/>
      </c>
      <c r="AM152">
        <f>IF($C152="","",IF(OR($Q152=TRUE(),$Q152="TRUE"),1,0))</f>
        <v/>
      </c>
      <c r="AN152">
        <f>IF($C152="","",IF($Z152="Yes",1,0))</f>
        <v/>
      </c>
      <c r="AO152">
        <f>IF($AK152=1,IFERROR(IF(VALUE($C152)&lt;100000000,VALUE($C152),1000000000),IFERROR(IF(VALUE(MID($C152,2,20))&lt;100000000,VALUE(MID($C152,2,20)),1000000000),1000000000))+ROW()/100000,"")</f>
        <v/>
      </c>
    </row>
    <row r="153">
      <c r="F153" s="11" t="n"/>
      <c r="N153" s="7">
        <f>IF($C153="","",M153*U153/100)</f>
        <v/>
      </c>
      <c r="T153" s="7" t="n"/>
      <c r="U153" s="7" t="n"/>
      <c r="V153" s="7">
        <f>IF($C153="","",U153*AA153/100)</f>
        <v/>
      </c>
      <c r="W153" s="7">
        <f>IF($C153="","",U153-V153)</f>
        <v/>
      </c>
      <c r="X153" s="7">
        <f>IF($C153="","",W153-N153)</f>
        <v/>
      </c>
      <c r="AA153">
        <f>IF($C153="","",IF($AN153=1,0,IF($AM153=1,Settings!$C$6,Settings!$C$7))*100)</f>
        <v/>
      </c>
      <c r="AE153" s="7" t="n"/>
      <c r="AH153" s="11" t="n"/>
      <c r="AJ153">
        <f>IF($C153="","",$C153&amp;"|"&amp;$D153&amp;"")</f>
        <v/>
      </c>
      <c r="AK153">
        <f>IF($C153="","",IF(COUNTIF($AJ$2:$AJ153,$AJ153)=1,1,0))</f>
        <v/>
      </c>
      <c r="AL153">
        <f>IF($AK153=1,SUMPRODUCT(--($AO$2:$AO$1501&lt;$AO153))+1,"")</f>
        <v/>
      </c>
      <c r="AM153">
        <f>IF($C153="","",IF(OR($Q153=TRUE(),$Q153="TRUE"),1,0))</f>
        <v/>
      </c>
      <c r="AN153">
        <f>IF($C153="","",IF($Z153="Yes",1,0))</f>
        <v/>
      </c>
      <c r="AO153">
        <f>IF($AK153=1,IFERROR(IF(VALUE($C153)&lt;100000000,VALUE($C153),1000000000),IFERROR(IF(VALUE(MID($C153,2,20))&lt;100000000,VALUE(MID($C153,2,20)),1000000000),1000000000))+ROW()/100000,"")</f>
        <v/>
      </c>
    </row>
    <row r="154">
      <c r="F154" s="11" t="n"/>
      <c r="N154" s="7">
        <f>IF($C154="","",M154*U154/100)</f>
        <v/>
      </c>
      <c r="T154" s="7" t="n"/>
      <c r="U154" s="7" t="n"/>
      <c r="V154" s="7">
        <f>IF($C154="","",U154*AA154/100)</f>
        <v/>
      </c>
      <c r="W154" s="7">
        <f>IF($C154="","",U154-V154)</f>
        <v/>
      </c>
      <c r="X154" s="7">
        <f>IF($C154="","",W154-N154)</f>
        <v/>
      </c>
      <c r="AA154">
        <f>IF($C154="","",IF($AN154=1,0,IF($AM154=1,Settings!$C$6,Settings!$C$7))*100)</f>
        <v/>
      </c>
      <c r="AE154" s="7" t="n"/>
      <c r="AH154" s="11" t="n"/>
      <c r="AJ154">
        <f>IF($C154="","",$C154&amp;"|"&amp;$D154&amp;"")</f>
        <v/>
      </c>
      <c r="AK154">
        <f>IF($C154="","",IF(COUNTIF($AJ$2:$AJ154,$AJ154)=1,1,0))</f>
        <v/>
      </c>
      <c r="AL154">
        <f>IF($AK154=1,SUMPRODUCT(--($AO$2:$AO$1501&lt;$AO154))+1,"")</f>
        <v/>
      </c>
      <c r="AM154">
        <f>IF($C154="","",IF(OR($Q154=TRUE(),$Q154="TRUE"),1,0))</f>
        <v/>
      </c>
      <c r="AN154">
        <f>IF($C154="","",IF($Z154="Yes",1,0))</f>
        <v/>
      </c>
      <c r="AO154">
        <f>IF($AK154=1,IFERROR(IF(VALUE($C154)&lt;100000000,VALUE($C154),1000000000),IFERROR(IF(VALUE(MID($C154,2,20))&lt;100000000,VALUE(MID($C154,2,20)),1000000000),1000000000))+ROW()/100000,"")</f>
        <v/>
      </c>
    </row>
    <row r="155">
      <c r="F155" s="11" t="n"/>
      <c r="N155" s="7">
        <f>IF($C155="","",M155*U155/100)</f>
        <v/>
      </c>
      <c r="T155" s="7" t="n"/>
      <c r="U155" s="7" t="n"/>
      <c r="V155" s="7">
        <f>IF($C155="","",U155*AA155/100)</f>
        <v/>
      </c>
      <c r="W155" s="7">
        <f>IF($C155="","",U155-V155)</f>
        <v/>
      </c>
      <c r="X155" s="7">
        <f>IF($C155="","",W155-N155)</f>
        <v/>
      </c>
      <c r="AA155">
        <f>IF($C155="","",IF($AN155=1,0,IF($AM155=1,Settings!$C$6,Settings!$C$7))*100)</f>
        <v/>
      </c>
      <c r="AE155" s="7" t="n"/>
      <c r="AH155" s="11" t="n"/>
      <c r="AJ155">
        <f>IF($C155="","",$C155&amp;"|"&amp;$D155&amp;"")</f>
        <v/>
      </c>
      <c r="AK155">
        <f>IF($C155="","",IF(COUNTIF($AJ$2:$AJ155,$AJ155)=1,1,0))</f>
        <v/>
      </c>
      <c r="AL155">
        <f>IF($AK155=1,SUMPRODUCT(--($AO$2:$AO$1501&lt;$AO155))+1,"")</f>
        <v/>
      </c>
      <c r="AM155">
        <f>IF($C155="","",IF(OR($Q155=TRUE(),$Q155="TRUE"),1,0))</f>
        <v/>
      </c>
      <c r="AN155">
        <f>IF($C155="","",IF($Z155="Yes",1,0))</f>
        <v/>
      </c>
      <c r="AO155">
        <f>IF($AK155=1,IFERROR(IF(VALUE($C155)&lt;100000000,VALUE($C155),1000000000),IFERROR(IF(VALUE(MID($C155,2,20))&lt;100000000,VALUE(MID($C155,2,20)),1000000000),1000000000))+ROW()/100000,"")</f>
        <v/>
      </c>
    </row>
    <row r="156">
      <c r="F156" s="11" t="n"/>
      <c r="N156" s="7">
        <f>IF($C156="","",M156*U156/100)</f>
        <v/>
      </c>
      <c r="T156" s="7" t="n"/>
      <c r="U156" s="7" t="n"/>
      <c r="V156" s="7">
        <f>IF($C156="","",U156*AA156/100)</f>
        <v/>
      </c>
      <c r="W156" s="7">
        <f>IF($C156="","",U156-V156)</f>
        <v/>
      </c>
      <c r="X156" s="7">
        <f>IF($C156="","",W156-N156)</f>
        <v/>
      </c>
      <c r="AA156">
        <f>IF($C156="","",IF($AN156=1,0,IF($AM156=1,Settings!$C$6,Settings!$C$7))*100)</f>
        <v/>
      </c>
      <c r="AE156" s="7" t="n"/>
      <c r="AH156" s="11" t="n"/>
      <c r="AJ156">
        <f>IF($C156="","",$C156&amp;"|"&amp;$D156&amp;"")</f>
        <v/>
      </c>
      <c r="AK156">
        <f>IF($C156="","",IF(COUNTIF($AJ$2:$AJ156,$AJ156)=1,1,0))</f>
        <v/>
      </c>
      <c r="AL156">
        <f>IF($AK156=1,SUMPRODUCT(--($AO$2:$AO$1501&lt;$AO156))+1,"")</f>
        <v/>
      </c>
      <c r="AM156">
        <f>IF($C156="","",IF(OR($Q156=TRUE(),$Q156="TRUE"),1,0))</f>
        <v/>
      </c>
      <c r="AN156">
        <f>IF($C156="","",IF($Z156="Yes",1,0))</f>
        <v/>
      </c>
      <c r="AO156">
        <f>IF($AK156=1,IFERROR(IF(VALUE($C156)&lt;100000000,VALUE($C156),1000000000),IFERROR(IF(VALUE(MID($C156,2,20))&lt;100000000,VALUE(MID($C156,2,20)),1000000000),1000000000))+ROW()/100000,"")</f>
        <v/>
      </c>
    </row>
    <row r="157">
      <c r="F157" s="11" t="n"/>
      <c r="N157" s="7">
        <f>IF($C157="","",M157*U157/100)</f>
        <v/>
      </c>
      <c r="T157" s="7" t="n"/>
      <c r="U157" s="7" t="n"/>
      <c r="V157" s="7">
        <f>IF($C157="","",U157*AA157/100)</f>
        <v/>
      </c>
      <c r="W157" s="7">
        <f>IF($C157="","",U157-V157)</f>
        <v/>
      </c>
      <c r="X157" s="7">
        <f>IF($C157="","",W157-N157)</f>
        <v/>
      </c>
      <c r="AA157">
        <f>IF($C157="","",IF($AN157=1,0,IF($AM157=1,Settings!$C$6,Settings!$C$7))*100)</f>
        <v/>
      </c>
      <c r="AE157" s="7" t="n"/>
      <c r="AH157" s="11" t="n"/>
      <c r="AJ157">
        <f>IF($C157="","",$C157&amp;"|"&amp;$D157&amp;"")</f>
        <v/>
      </c>
      <c r="AK157">
        <f>IF($C157="","",IF(COUNTIF($AJ$2:$AJ157,$AJ157)=1,1,0))</f>
        <v/>
      </c>
      <c r="AL157">
        <f>IF($AK157=1,SUMPRODUCT(--($AO$2:$AO$1501&lt;$AO157))+1,"")</f>
        <v/>
      </c>
      <c r="AM157">
        <f>IF($C157="","",IF(OR($Q157=TRUE(),$Q157="TRUE"),1,0))</f>
        <v/>
      </c>
      <c r="AN157">
        <f>IF($C157="","",IF($Z157="Yes",1,0))</f>
        <v/>
      </c>
      <c r="AO157">
        <f>IF($AK157=1,IFERROR(IF(VALUE($C157)&lt;100000000,VALUE($C157),1000000000),IFERROR(IF(VALUE(MID($C157,2,20))&lt;100000000,VALUE(MID($C157,2,20)),1000000000),1000000000))+ROW()/100000,"")</f>
        <v/>
      </c>
    </row>
    <row r="158">
      <c r="F158" s="11" t="n"/>
      <c r="N158" s="7">
        <f>IF($C158="","",M158*U158/100)</f>
        <v/>
      </c>
      <c r="T158" s="7" t="n"/>
      <c r="U158" s="7" t="n"/>
      <c r="V158" s="7">
        <f>IF($C158="","",U158*AA158/100)</f>
        <v/>
      </c>
      <c r="W158" s="7">
        <f>IF($C158="","",U158-V158)</f>
        <v/>
      </c>
      <c r="X158" s="7">
        <f>IF($C158="","",W158-N158)</f>
        <v/>
      </c>
      <c r="AA158">
        <f>IF($C158="","",IF($AN158=1,0,IF($AM158=1,Settings!$C$6,Settings!$C$7))*100)</f>
        <v/>
      </c>
      <c r="AE158" s="7" t="n"/>
      <c r="AH158" s="11" t="n"/>
      <c r="AJ158">
        <f>IF($C158="","",$C158&amp;"|"&amp;$D158&amp;"")</f>
        <v/>
      </c>
      <c r="AK158">
        <f>IF($C158="","",IF(COUNTIF($AJ$2:$AJ158,$AJ158)=1,1,0))</f>
        <v/>
      </c>
      <c r="AL158">
        <f>IF($AK158=1,SUMPRODUCT(--($AO$2:$AO$1501&lt;$AO158))+1,"")</f>
        <v/>
      </c>
      <c r="AM158">
        <f>IF($C158="","",IF(OR($Q158=TRUE(),$Q158="TRUE"),1,0))</f>
        <v/>
      </c>
      <c r="AN158">
        <f>IF($C158="","",IF($Z158="Yes",1,0))</f>
        <v/>
      </c>
      <c r="AO158">
        <f>IF($AK158=1,IFERROR(IF(VALUE($C158)&lt;100000000,VALUE($C158),1000000000),IFERROR(IF(VALUE(MID($C158,2,20))&lt;100000000,VALUE(MID($C158,2,20)),1000000000),1000000000))+ROW()/100000,"")</f>
        <v/>
      </c>
    </row>
    <row r="159">
      <c r="F159" s="11" t="n"/>
      <c r="N159" s="7">
        <f>IF($C159="","",M159*U159/100)</f>
        <v/>
      </c>
      <c r="T159" s="7" t="n"/>
      <c r="U159" s="7" t="n"/>
      <c r="V159" s="7">
        <f>IF($C159="","",U159*AA159/100)</f>
        <v/>
      </c>
      <c r="W159" s="7">
        <f>IF($C159="","",U159-V159)</f>
        <v/>
      </c>
      <c r="X159" s="7">
        <f>IF($C159="","",W159-N159)</f>
        <v/>
      </c>
      <c r="AA159">
        <f>IF($C159="","",IF($AN159=1,0,IF($AM159=1,Settings!$C$6,Settings!$C$7))*100)</f>
        <v/>
      </c>
      <c r="AE159" s="7" t="n"/>
      <c r="AH159" s="11" t="n"/>
      <c r="AJ159">
        <f>IF($C159="","",$C159&amp;"|"&amp;$D159&amp;"")</f>
        <v/>
      </c>
      <c r="AK159">
        <f>IF($C159="","",IF(COUNTIF($AJ$2:$AJ159,$AJ159)=1,1,0))</f>
        <v/>
      </c>
      <c r="AL159">
        <f>IF($AK159=1,SUMPRODUCT(--($AO$2:$AO$1501&lt;$AO159))+1,"")</f>
        <v/>
      </c>
      <c r="AM159">
        <f>IF($C159="","",IF(OR($Q159=TRUE(),$Q159="TRUE"),1,0))</f>
        <v/>
      </c>
      <c r="AN159">
        <f>IF($C159="","",IF($Z159="Yes",1,0))</f>
        <v/>
      </c>
      <c r="AO159">
        <f>IF($AK159=1,IFERROR(IF(VALUE($C159)&lt;100000000,VALUE($C159),1000000000),IFERROR(IF(VALUE(MID($C159,2,20))&lt;100000000,VALUE(MID($C159,2,20)),1000000000),1000000000))+ROW()/100000,"")</f>
        <v/>
      </c>
    </row>
    <row r="160">
      <c r="F160" s="11" t="n"/>
      <c r="N160" s="7">
        <f>IF($C160="","",M160*U160/100)</f>
        <v/>
      </c>
      <c r="T160" s="7" t="n"/>
      <c r="U160" s="7" t="n"/>
      <c r="V160" s="7">
        <f>IF($C160="","",U160*AA160/100)</f>
        <v/>
      </c>
      <c r="W160" s="7">
        <f>IF($C160="","",U160-V160)</f>
        <v/>
      </c>
      <c r="X160" s="7">
        <f>IF($C160="","",W160-N160)</f>
        <v/>
      </c>
      <c r="AA160">
        <f>IF($C160="","",IF($AN160=1,0,IF($AM160=1,Settings!$C$6,Settings!$C$7))*100)</f>
        <v/>
      </c>
      <c r="AE160" s="7" t="n"/>
      <c r="AH160" s="11" t="n"/>
      <c r="AJ160">
        <f>IF($C160="","",$C160&amp;"|"&amp;$D160&amp;"")</f>
        <v/>
      </c>
      <c r="AK160">
        <f>IF($C160="","",IF(COUNTIF($AJ$2:$AJ160,$AJ160)=1,1,0))</f>
        <v/>
      </c>
      <c r="AL160">
        <f>IF($AK160=1,SUMPRODUCT(--($AO$2:$AO$1501&lt;$AO160))+1,"")</f>
        <v/>
      </c>
      <c r="AM160">
        <f>IF($C160="","",IF(OR($Q160=TRUE(),$Q160="TRUE"),1,0))</f>
        <v/>
      </c>
      <c r="AN160">
        <f>IF($C160="","",IF($Z160="Yes",1,0))</f>
        <v/>
      </c>
      <c r="AO160">
        <f>IF($AK160=1,IFERROR(IF(VALUE($C160)&lt;100000000,VALUE($C160),1000000000),IFERROR(IF(VALUE(MID($C160,2,20))&lt;100000000,VALUE(MID($C160,2,20)),1000000000),1000000000))+ROW()/100000,"")</f>
        <v/>
      </c>
    </row>
    <row r="161">
      <c r="F161" s="11" t="n"/>
      <c r="N161" s="7">
        <f>IF($C161="","",M161*U161/100)</f>
        <v/>
      </c>
      <c r="T161" s="7" t="n"/>
      <c r="U161" s="7" t="n"/>
      <c r="V161" s="7">
        <f>IF($C161="","",U161*AA161/100)</f>
        <v/>
      </c>
      <c r="W161" s="7">
        <f>IF($C161="","",U161-V161)</f>
        <v/>
      </c>
      <c r="X161" s="7">
        <f>IF($C161="","",W161-N161)</f>
        <v/>
      </c>
      <c r="AA161">
        <f>IF($C161="","",IF($AN161=1,0,IF($AM161=1,Settings!$C$6,Settings!$C$7))*100)</f>
        <v/>
      </c>
      <c r="AE161" s="7" t="n"/>
      <c r="AH161" s="11" t="n"/>
      <c r="AJ161">
        <f>IF($C161="","",$C161&amp;"|"&amp;$D161&amp;"")</f>
        <v/>
      </c>
      <c r="AK161">
        <f>IF($C161="","",IF(COUNTIF($AJ$2:$AJ161,$AJ161)=1,1,0))</f>
        <v/>
      </c>
      <c r="AL161">
        <f>IF($AK161=1,SUMPRODUCT(--($AO$2:$AO$1501&lt;$AO161))+1,"")</f>
        <v/>
      </c>
      <c r="AM161">
        <f>IF($C161="","",IF(OR($Q161=TRUE(),$Q161="TRUE"),1,0))</f>
        <v/>
      </c>
      <c r="AN161">
        <f>IF($C161="","",IF($Z161="Yes",1,0))</f>
        <v/>
      </c>
      <c r="AO161">
        <f>IF($AK161=1,IFERROR(IF(VALUE($C161)&lt;100000000,VALUE($C161),1000000000),IFERROR(IF(VALUE(MID($C161,2,20))&lt;100000000,VALUE(MID($C161,2,20)),1000000000),1000000000))+ROW()/100000,"")</f>
        <v/>
      </c>
    </row>
    <row r="162">
      <c r="F162" s="11" t="n"/>
      <c r="N162" s="7">
        <f>IF($C162="","",M162*U162/100)</f>
        <v/>
      </c>
      <c r="T162" s="7" t="n"/>
      <c r="U162" s="7" t="n"/>
      <c r="V162" s="7">
        <f>IF($C162="","",U162*AA162/100)</f>
        <v/>
      </c>
      <c r="W162" s="7">
        <f>IF($C162="","",U162-V162)</f>
        <v/>
      </c>
      <c r="X162" s="7">
        <f>IF($C162="","",W162-N162)</f>
        <v/>
      </c>
      <c r="AA162">
        <f>IF($C162="","",IF($AN162=1,0,IF($AM162=1,Settings!$C$6,Settings!$C$7))*100)</f>
        <v/>
      </c>
      <c r="AE162" s="7" t="n"/>
      <c r="AH162" s="11" t="n"/>
      <c r="AJ162">
        <f>IF($C162="","",$C162&amp;"|"&amp;$D162&amp;"")</f>
        <v/>
      </c>
      <c r="AK162">
        <f>IF($C162="","",IF(COUNTIF($AJ$2:$AJ162,$AJ162)=1,1,0))</f>
        <v/>
      </c>
      <c r="AL162">
        <f>IF($AK162=1,SUMPRODUCT(--($AO$2:$AO$1501&lt;$AO162))+1,"")</f>
        <v/>
      </c>
      <c r="AM162">
        <f>IF($C162="","",IF(OR($Q162=TRUE(),$Q162="TRUE"),1,0))</f>
        <v/>
      </c>
      <c r="AN162">
        <f>IF($C162="","",IF($Z162="Yes",1,0))</f>
        <v/>
      </c>
      <c r="AO162">
        <f>IF($AK162=1,IFERROR(IF(VALUE($C162)&lt;100000000,VALUE($C162),1000000000),IFERROR(IF(VALUE(MID($C162,2,20))&lt;100000000,VALUE(MID($C162,2,20)),1000000000),1000000000))+ROW()/100000,"")</f>
        <v/>
      </c>
    </row>
    <row r="163">
      <c r="F163" s="11" t="n"/>
      <c r="N163" s="7">
        <f>IF($C163="","",M163*U163/100)</f>
        <v/>
      </c>
      <c r="T163" s="7" t="n"/>
      <c r="U163" s="7" t="n"/>
      <c r="V163" s="7">
        <f>IF($C163="","",U163*AA163/100)</f>
        <v/>
      </c>
      <c r="W163" s="7">
        <f>IF($C163="","",U163-V163)</f>
        <v/>
      </c>
      <c r="X163" s="7">
        <f>IF($C163="","",W163-N163)</f>
        <v/>
      </c>
      <c r="AA163">
        <f>IF($C163="","",IF($AN163=1,0,IF($AM163=1,Settings!$C$6,Settings!$C$7))*100)</f>
        <v/>
      </c>
      <c r="AE163" s="7" t="n"/>
      <c r="AH163" s="11" t="n"/>
      <c r="AJ163">
        <f>IF($C163="","",$C163&amp;"|"&amp;$D163&amp;"")</f>
        <v/>
      </c>
      <c r="AK163">
        <f>IF($C163="","",IF(COUNTIF($AJ$2:$AJ163,$AJ163)=1,1,0))</f>
        <v/>
      </c>
      <c r="AL163">
        <f>IF($AK163=1,SUMPRODUCT(--($AO$2:$AO$1501&lt;$AO163))+1,"")</f>
        <v/>
      </c>
      <c r="AM163">
        <f>IF($C163="","",IF(OR($Q163=TRUE(),$Q163="TRUE"),1,0))</f>
        <v/>
      </c>
      <c r="AN163">
        <f>IF($C163="","",IF($Z163="Yes",1,0))</f>
        <v/>
      </c>
      <c r="AO163">
        <f>IF($AK163=1,IFERROR(IF(VALUE($C163)&lt;100000000,VALUE($C163),1000000000),IFERROR(IF(VALUE(MID($C163,2,20))&lt;100000000,VALUE(MID($C163,2,20)),1000000000),1000000000))+ROW()/100000,"")</f>
        <v/>
      </c>
    </row>
    <row r="164">
      <c r="F164" s="11" t="n"/>
      <c r="N164" s="7">
        <f>IF($C164="","",M164*U164/100)</f>
        <v/>
      </c>
      <c r="T164" s="7" t="n"/>
      <c r="U164" s="7" t="n"/>
      <c r="V164" s="7">
        <f>IF($C164="","",U164*AA164/100)</f>
        <v/>
      </c>
      <c r="W164" s="7">
        <f>IF($C164="","",U164-V164)</f>
        <v/>
      </c>
      <c r="X164" s="7">
        <f>IF($C164="","",W164-N164)</f>
        <v/>
      </c>
      <c r="AA164">
        <f>IF($C164="","",IF($AN164=1,0,IF($AM164=1,Settings!$C$6,Settings!$C$7))*100)</f>
        <v/>
      </c>
      <c r="AE164" s="7" t="n"/>
      <c r="AH164" s="11" t="n"/>
      <c r="AJ164">
        <f>IF($C164="","",$C164&amp;"|"&amp;$D164&amp;"")</f>
        <v/>
      </c>
      <c r="AK164">
        <f>IF($C164="","",IF(COUNTIF($AJ$2:$AJ164,$AJ164)=1,1,0))</f>
        <v/>
      </c>
      <c r="AL164">
        <f>IF($AK164=1,SUMPRODUCT(--($AO$2:$AO$1501&lt;$AO164))+1,"")</f>
        <v/>
      </c>
      <c r="AM164">
        <f>IF($C164="","",IF(OR($Q164=TRUE(),$Q164="TRUE"),1,0))</f>
        <v/>
      </c>
      <c r="AN164">
        <f>IF($C164="","",IF($Z164="Yes",1,0))</f>
        <v/>
      </c>
      <c r="AO164">
        <f>IF($AK164=1,IFERROR(IF(VALUE($C164)&lt;100000000,VALUE($C164),1000000000),IFERROR(IF(VALUE(MID($C164,2,20))&lt;100000000,VALUE(MID($C164,2,20)),1000000000),1000000000))+ROW()/100000,"")</f>
        <v/>
      </c>
    </row>
    <row r="165">
      <c r="F165" s="11" t="n"/>
      <c r="N165" s="7">
        <f>IF($C165="","",M165*U165/100)</f>
        <v/>
      </c>
      <c r="T165" s="7" t="n"/>
      <c r="U165" s="7" t="n"/>
      <c r="V165" s="7">
        <f>IF($C165="","",U165*AA165/100)</f>
        <v/>
      </c>
      <c r="W165" s="7">
        <f>IF($C165="","",U165-V165)</f>
        <v/>
      </c>
      <c r="X165" s="7">
        <f>IF($C165="","",W165-N165)</f>
        <v/>
      </c>
      <c r="AA165">
        <f>IF($C165="","",IF($AN165=1,0,IF($AM165=1,Settings!$C$6,Settings!$C$7))*100)</f>
        <v/>
      </c>
      <c r="AE165" s="7" t="n"/>
      <c r="AH165" s="11" t="n"/>
      <c r="AJ165">
        <f>IF($C165="","",$C165&amp;"|"&amp;$D165&amp;"")</f>
        <v/>
      </c>
      <c r="AK165">
        <f>IF($C165="","",IF(COUNTIF($AJ$2:$AJ165,$AJ165)=1,1,0))</f>
        <v/>
      </c>
      <c r="AL165">
        <f>IF($AK165=1,SUMPRODUCT(--($AO$2:$AO$1501&lt;$AO165))+1,"")</f>
        <v/>
      </c>
      <c r="AM165">
        <f>IF($C165="","",IF(OR($Q165=TRUE(),$Q165="TRUE"),1,0))</f>
        <v/>
      </c>
      <c r="AN165">
        <f>IF($C165="","",IF($Z165="Yes",1,0))</f>
        <v/>
      </c>
      <c r="AO165">
        <f>IF($AK165=1,IFERROR(IF(VALUE($C165)&lt;100000000,VALUE($C165),1000000000),IFERROR(IF(VALUE(MID($C165,2,20))&lt;100000000,VALUE(MID($C165,2,20)),1000000000),1000000000))+ROW()/100000,"")</f>
        <v/>
      </c>
    </row>
    <row r="166">
      <c r="F166" s="11" t="n"/>
      <c r="N166" s="7">
        <f>IF($C166="","",M166*U166/100)</f>
        <v/>
      </c>
      <c r="T166" s="7" t="n"/>
      <c r="U166" s="7" t="n"/>
      <c r="V166" s="7">
        <f>IF($C166="","",U166*AA166/100)</f>
        <v/>
      </c>
      <c r="W166" s="7">
        <f>IF($C166="","",U166-V166)</f>
        <v/>
      </c>
      <c r="X166" s="7">
        <f>IF($C166="","",W166-N166)</f>
        <v/>
      </c>
      <c r="AA166">
        <f>IF($C166="","",IF($AN166=1,0,IF($AM166=1,Settings!$C$6,Settings!$C$7))*100)</f>
        <v/>
      </c>
      <c r="AE166" s="7" t="n"/>
      <c r="AH166" s="11" t="n"/>
      <c r="AJ166">
        <f>IF($C166="","",$C166&amp;"|"&amp;$D166&amp;"")</f>
        <v/>
      </c>
      <c r="AK166">
        <f>IF($C166="","",IF(COUNTIF($AJ$2:$AJ166,$AJ166)=1,1,0))</f>
        <v/>
      </c>
      <c r="AL166">
        <f>IF($AK166=1,SUMPRODUCT(--($AO$2:$AO$1501&lt;$AO166))+1,"")</f>
        <v/>
      </c>
      <c r="AM166">
        <f>IF($C166="","",IF(OR($Q166=TRUE(),$Q166="TRUE"),1,0))</f>
        <v/>
      </c>
      <c r="AN166">
        <f>IF($C166="","",IF($Z166="Yes",1,0))</f>
        <v/>
      </c>
      <c r="AO166">
        <f>IF($AK166=1,IFERROR(IF(VALUE($C166)&lt;100000000,VALUE($C166),1000000000),IFERROR(IF(VALUE(MID($C166,2,20))&lt;100000000,VALUE(MID($C166,2,20)),1000000000),1000000000))+ROW()/100000,"")</f>
        <v/>
      </c>
    </row>
    <row r="167">
      <c r="F167" s="11" t="n"/>
      <c r="N167" s="7">
        <f>IF($C167="","",M167*U167/100)</f>
        <v/>
      </c>
      <c r="T167" s="7" t="n"/>
      <c r="U167" s="7" t="n"/>
      <c r="V167" s="7">
        <f>IF($C167="","",U167*AA167/100)</f>
        <v/>
      </c>
      <c r="W167" s="7">
        <f>IF($C167="","",U167-V167)</f>
        <v/>
      </c>
      <c r="X167" s="7">
        <f>IF($C167="","",W167-N167)</f>
        <v/>
      </c>
      <c r="AA167">
        <f>IF($C167="","",IF($AN167=1,0,IF($AM167=1,Settings!$C$6,Settings!$C$7))*100)</f>
        <v/>
      </c>
      <c r="AE167" s="7" t="n"/>
      <c r="AH167" s="11" t="n"/>
      <c r="AJ167">
        <f>IF($C167="","",$C167&amp;"|"&amp;$D167&amp;"")</f>
        <v/>
      </c>
      <c r="AK167">
        <f>IF($C167="","",IF(COUNTIF($AJ$2:$AJ167,$AJ167)=1,1,0))</f>
        <v/>
      </c>
      <c r="AL167">
        <f>IF($AK167=1,SUMPRODUCT(--($AO$2:$AO$1501&lt;$AO167))+1,"")</f>
        <v/>
      </c>
      <c r="AM167">
        <f>IF($C167="","",IF(OR($Q167=TRUE(),$Q167="TRUE"),1,0))</f>
        <v/>
      </c>
      <c r="AN167">
        <f>IF($C167="","",IF($Z167="Yes",1,0))</f>
        <v/>
      </c>
      <c r="AO167">
        <f>IF($AK167=1,IFERROR(IF(VALUE($C167)&lt;100000000,VALUE($C167),1000000000),IFERROR(IF(VALUE(MID($C167,2,20))&lt;100000000,VALUE(MID($C167,2,20)),1000000000),1000000000))+ROW()/100000,"")</f>
        <v/>
      </c>
    </row>
    <row r="168">
      <c r="F168" s="11" t="n"/>
      <c r="N168" s="7">
        <f>IF($C168="","",M168*U168/100)</f>
        <v/>
      </c>
      <c r="T168" s="7" t="n"/>
      <c r="U168" s="7" t="n"/>
      <c r="V168" s="7">
        <f>IF($C168="","",U168*AA168/100)</f>
        <v/>
      </c>
      <c r="W168" s="7">
        <f>IF($C168="","",U168-V168)</f>
        <v/>
      </c>
      <c r="X168" s="7">
        <f>IF($C168="","",W168-N168)</f>
        <v/>
      </c>
      <c r="AA168">
        <f>IF($C168="","",IF($AN168=1,0,IF($AM168=1,Settings!$C$6,Settings!$C$7))*100)</f>
        <v/>
      </c>
      <c r="AE168" s="7" t="n"/>
      <c r="AH168" s="11" t="n"/>
      <c r="AJ168">
        <f>IF($C168="","",$C168&amp;"|"&amp;$D168&amp;"")</f>
        <v/>
      </c>
      <c r="AK168">
        <f>IF($C168="","",IF(COUNTIF($AJ$2:$AJ168,$AJ168)=1,1,0))</f>
        <v/>
      </c>
      <c r="AL168">
        <f>IF($AK168=1,SUMPRODUCT(--($AO$2:$AO$1501&lt;$AO168))+1,"")</f>
        <v/>
      </c>
      <c r="AM168">
        <f>IF($C168="","",IF(OR($Q168=TRUE(),$Q168="TRUE"),1,0))</f>
        <v/>
      </c>
      <c r="AN168">
        <f>IF($C168="","",IF($Z168="Yes",1,0))</f>
        <v/>
      </c>
      <c r="AO168">
        <f>IF($AK168=1,IFERROR(IF(VALUE($C168)&lt;100000000,VALUE($C168),1000000000),IFERROR(IF(VALUE(MID($C168,2,20))&lt;100000000,VALUE(MID($C168,2,20)),1000000000),1000000000))+ROW()/100000,"")</f>
        <v/>
      </c>
    </row>
    <row r="169">
      <c r="F169" s="11" t="n"/>
      <c r="N169" s="7">
        <f>IF($C169="","",M169*U169/100)</f>
        <v/>
      </c>
      <c r="T169" s="7" t="n"/>
      <c r="U169" s="7" t="n"/>
      <c r="V169" s="7">
        <f>IF($C169="","",U169*AA169/100)</f>
        <v/>
      </c>
      <c r="W169" s="7">
        <f>IF($C169="","",U169-V169)</f>
        <v/>
      </c>
      <c r="X169" s="7">
        <f>IF($C169="","",W169-N169)</f>
        <v/>
      </c>
      <c r="AA169">
        <f>IF($C169="","",IF($AN169=1,0,IF($AM169=1,Settings!$C$6,Settings!$C$7))*100)</f>
        <v/>
      </c>
      <c r="AE169" s="7" t="n"/>
      <c r="AH169" s="11" t="n"/>
      <c r="AJ169">
        <f>IF($C169="","",$C169&amp;"|"&amp;$D169&amp;"")</f>
        <v/>
      </c>
      <c r="AK169">
        <f>IF($C169="","",IF(COUNTIF($AJ$2:$AJ169,$AJ169)=1,1,0))</f>
        <v/>
      </c>
      <c r="AL169">
        <f>IF($AK169=1,SUMPRODUCT(--($AO$2:$AO$1501&lt;$AO169))+1,"")</f>
        <v/>
      </c>
      <c r="AM169">
        <f>IF($C169="","",IF(OR($Q169=TRUE(),$Q169="TRUE"),1,0))</f>
        <v/>
      </c>
      <c r="AN169">
        <f>IF($C169="","",IF($Z169="Yes",1,0))</f>
        <v/>
      </c>
      <c r="AO169">
        <f>IF($AK169=1,IFERROR(IF(VALUE($C169)&lt;100000000,VALUE($C169),1000000000),IFERROR(IF(VALUE(MID($C169,2,20))&lt;100000000,VALUE(MID($C169,2,20)),1000000000),1000000000))+ROW()/100000,"")</f>
        <v/>
      </c>
    </row>
    <row r="170">
      <c r="F170" s="11" t="n"/>
      <c r="N170" s="7">
        <f>IF($C170="","",M170*U170/100)</f>
        <v/>
      </c>
      <c r="T170" s="7" t="n"/>
      <c r="U170" s="7" t="n"/>
      <c r="V170" s="7">
        <f>IF($C170="","",U170*AA170/100)</f>
        <v/>
      </c>
      <c r="W170" s="7">
        <f>IF($C170="","",U170-V170)</f>
        <v/>
      </c>
      <c r="X170" s="7">
        <f>IF($C170="","",W170-N170)</f>
        <v/>
      </c>
      <c r="AA170">
        <f>IF($C170="","",IF($AN170=1,0,IF($AM170=1,Settings!$C$6,Settings!$C$7))*100)</f>
        <v/>
      </c>
      <c r="AE170" s="7" t="n"/>
      <c r="AH170" s="11" t="n"/>
      <c r="AJ170">
        <f>IF($C170="","",$C170&amp;"|"&amp;$D170&amp;"")</f>
        <v/>
      </c>
      <c r="AK170">
        <f>IF($C170="","",IF(COUNTIF($AJ$2:$AJ170,$AJ170)=1,1,0))</f>
        <v/>
      </c>
      <c r="AL170">
        <f>IF($AK170=1,SUMPRODUCT(--($AO$2:$AO$1501&lt;$AO170))+1,"")</f>
        <v/>
      </c>
      <c r="AM170">
        <f>IF($C170="","",IF(OR($Q170=TRUE(),$Q170="TRUE"),1,0))</f>
        <v/>
      </c>
      <c r="AN170">
        <f>IF($C170="","",IF($Z170="Yes",1,0))</f>
        <v/>
      </c>
      <c r="AO170">
        <f>IF($AK170=1,IFERROR(IF(VALUE($C170)&lt;100000000,VALUE($C170),1000000000),IFERROR(IF(VALUE(MID($C170,2,20))&lt;100000000,VALUE(MID($C170,2,20)),1000000000),1000000000))+ROW()/100000,"")</f>
        <v/>
      </c>
    </row>
    <row r="171">
      <c r="F171" s="11" t="n"/>
      <c r="N171" s="7">
        <f>IF($C171="","",M171*U171/100)</f>
        <v/>
      </c>
      <c r="T171" s="7" t="n"/>
      <c r="U171" s="7" t="n"/>
      <c r="V171" s="7">
        <f>IF($C171="","",U171*AA171/100)</f>
        <v/>
      </c>
      <c r="W171" s="7">
        <f>IF($C171="","",U171-V171)</f>
        <v/>
      </c>
      <c r="X171" s="7">
        <f>IF($C171="","",W171-N171)</f>
        <v/>
      </c>
      <c r="AA171">
        <f>IF($C171="","",IF($AN171=1,0,IF($AM171=1,Settings!$C$6,Settings!$C$7))*100)</f>
        <v/>
      </c>
      <c r="AE171" s="7" t="n"/>
      <c r="AH171" s="11" t="n"/>
      <c r="AJ171">
        <f>IF($C171="","",$C171&amp;"|"&amp;$D171&amp;"")</f>
        <v/>
      </c>
      <c r="AK171">
        <f>IF($C171="","",IF(COUNTIF($AJ$2:$AJ171,$AJ171)=1,1,0))</f>
        <v/>
      </c>
      <c r="AL171">
        <f>IF($AK171=1,SUMPRODUCT(--($AO$2:$AO$1501&lt;$AO171))+1,"")</f>
        <v/>
      </c>
      <c r="AM171">
        <f>IF($C171="","",IF(OR($Q171=TRUE(),$Q171="TRUE"),1,0))</f>
        <v/>
      </c>
      <c r="AN171">
        <f>IF($C171="","",IF($Z171="Yes",1,0))</f>
        <v/>
      </c>
      <c r="AO171">
        <f>IF($AK171=1,IFERROR(IF(VALUE($C171)&lt;100000000,VALUE($C171),1000000000),IFERROR(IF(VALUE(MID($C171,2,20))&lt;100000000,VALUE(MID($C171,2,20)),1000000000),1000000000))+ROW()/100000,"")</f>
        <v/>
      </c>
    </row>
    <row r="172">
      <c r="F172" s="11" t="n"/>
      <c r="N172" s="7">
        <f>IF($C172="","",M172*U172/100)</f>
        <v/>
      </c>
      <c r="T172" s="7" t="n"/>
      <c r="U172" s="7" t="n"/>
      <c r="V172" s="7">
        <f>IF($C172="","",U172*AA172/100)</f>
        <v/>
      </c>
      <c r="W172" s="7">
        <f>IF($C172="","",U172-V172)</f>
        <v/>
      </c>
      <c r="X172" s="7">
        <f>IF($C172="","",W172-N172)</f>
        <v/>
      </c>
      <c r="AA172">
        <f>IF($C172="","",IF($AN172=1,0,IF($AM172=1,Settings!$C$6,Settings!$C$7))*100)</f>
        <v/>
      </c>
      <c r="AE172" s="7" t="n"/>
      <c r="AH172" s="11" t="n"/>
      <c r="AJ172">
        <f>IF($C172="","",$C172&amp;"|"&amp;$D172&amp;"")</f>
        <v/>
      </c>
      <c r="AK172">
        <f>IF($C172="","",IF(COUNTIF($AJ$2:$AJ172,$AJ172)=1,1,0))</f>
        <v/>
      </c>
      <c r="AL172">
        <f>IF($AK172=1,SUMPRODUCT(--($AO$2:$AO$1501&lt;$AO172))+1,"")</f>
        <v/>
      </c>
      <c r="AM172">
        <f>IF($C172="","",IF(OR($Q172=TRUE(),$Q172="TRUE"),1,0))</f>
        <v/>
      </c>
      <c r="AN172">
        <f>IF($C172="","",IF($Z172="Yes",1,0))</f>
        <v/>
      </c>
      <c r="AO172">
        <f>IF($AK172=1,IFERROR(IF(VALUE($C172)&lt;100000000,VALUE($C172),1000000000),IFERROR(IF(VALUE(MID($C172,2,20))&lt;100000000,VALUE(MID($C172,2,20)),1000000000),1000000000))+ROW()/100000,"")</f>
        <v/>
      </c>
    </row>
    <row r="173">
      <c r="F173" s="11" t="n"/>
      <c r="N173" s="7">
        <f>IF($C173="","",M173*U173/100)</f>
        <v/>
      </c>
      <c r="T173" s="7" t="n"/>
      <c r="U173" s="7" t="n"/>
      <c r="V173" s="7">
        <f>IF($C173="","",U173*AA173/100)</f>
        <v/>
      </c>
      <c r="W173" s="7">
        <f>IF($C173="","",U173-V173)</f>
        <v/>
      </c>
      <c r="X173" s="7">
        <f>IF($C173="","",W173-N173)</f>
        <v/>
      </c>
      <c r="AA173">
        <f>IF($C173="","",IF($AN173=1,0,IF($AM173=1,Settings!$C$6,Settings!$C$7))*100)</f>
        <v/>
      </c>
      <c r="AE173" s="7" t="n"/>
      <c r="AH173" s="11" t="n"/>
      <c r="AJ173">
        <f>IF($C173="","",$C173&amp;"|"&amp;$D173&amp;"")</f>
        <v/>
      </c>
      <c r="AK173">
        <f>IF($C173="","",IF(COUNTIF($AJ$2:$AJ173,$AJ173)=1,1,0))</f>
        <v/>
      </c>
      <c r="AL173">
        <f>IF($AK173=1,SUMPRODUCT(--($AO$2:$AO$1501&lt;$AO173))+1,"")</f>
        <v/>
      </c>
      <c r="AM173">
        <f>IF($C173="","",IF(OR($Q173=TRUE(),$Q173="TRUE"),1,0))</f>
        <v/>
      </c>
      <c r="AN173">
        <f>IF($C173="","",IF($Z173="Yes",1,0))</f>
        <v/>
      </c>
      <c r="AO173">
        <f>IF($AK173=1,IFERROR(IF(VALUE($C173)&lt;100000000,VALUE($C173),1000000000),IFERROR(IF(VALUE(MID($C173,2,20))&lt;100000000,VALUE(MID($C173,2,20)),1000000000),1000000000))+ROW()/100000,"")</f>
        <v/>
      </c>
    </row>
    <row r="174">
      <c r="F174" s="11" t="n"/>
      <c r="N174" s="7">
        <f>IF($C174="","",M174*U174/100)</f>
        <v/>
      </c>
      <c r="T174" s="7" t="n"/>
      <c r="U174" s="7" t="n"/>
      <c r="V174" s="7">
        <f>IF($C174="","",U174*AA174/100)</f>
        <v/>
      </c>
      <c r="W174" s="7">
        <f>IF($C174="","",U174-V174)</f>
        <v/>
      </c>
      <c r="X174" s="7">
        <f>IF($C174="","",W174-N174)</f>
        <v/>
      </c>
      <c r="AA174">
        <f>IF($C174="","",IF($AN174=1,0,IF($AM174=1,Settings!$C$6,Settings!$C$7))*100)</f>
        <v/>
      </c>
      <c r="AE174" s="7" t="n"/>
      <c r="AH174" s="11" t="n"/>
      <c r="AJ174">
        <f>IF($C174="","",$C174&amp;"|"&amp;$D174&amp;"")</f>
        <v/>
      </c>
      <c r="AK174">
        <f>IF($C174="","",IF(COUNTIF($AJ$2:$AJ174,$AJ174)=1,1,0))</f>
        <v/>
      </c>
      <c r="AL174">
        <f>IF($AK174=1,SUMPRODUCT(--($AO$2:$AO$1501&lt;$AO174))+1,"")</f>
        <v/>
      </c>
      <c r="AM174">
        <f>IF($C174="","",IF(OR($Q174=TRUE(),$Q174="TRUE"),1,0))</f>
        <v/>
      </c>
      <c r="AN174">
        <f>IF($C174="","",IF($Z174="Yes",1,0))</f>
        <v/>
      </c>
      <c r="AO174">
        <f>IF($AK174=1,IFERROR(IF(VALUE($C174)&lt;100000000,VALUE($C174),1000000000),IFERROR(IF(VALUE(MID($C174,2,20))&lt;100000000,VALUE(MID($C174,2,20)),1000000000),1000000000))+ROW()/100000,"")</f>
        <v/>
      </c>
    </row>
    <row r="175">
      <c r="F175" s="11" t="n"/>
      <c r="N175" s="7">
        <f>IF($C175="","",M175*U175/100)</f>
        <v/>
      </c>
      <c r="T175" s="7" t="n"/>
      <c r="U175" s="7" t="n"/>
      <c r="V175" s="7">
        <f>IF($C175="","",U175*AA175/100)</f>
        <v/>
      </c>
      <c r="W175" s="7">
        <f>IF($C175="","",U175-V175)</f>
        <v/>
      </c>
      <c r="X175" s="7">
        <f>IF($C175="","",W175-N175)</f>
        <v/>
      </c>
      <c r="AA175">
        <f>IF($C175="","",IF($AN175=1,0,IF($AM175=1,Settings!$C$6,Settings!$C$7))*100)</f>
        <v/>
      </c>
      <c r="AE175" s="7" t="n"/>
      <c r="AH175" s="11" t="n"/>
      <c r="AJ175">
        <f>IF($C175="","",$C175&amp;"|"&amp;$D175&amp;"")</f>
        <v/>
      </c>
      <c r="AK175">
        <f>IF($C175="","",IF(COUNTIF($AJ$2:$AJ175,$AJ175)=1,1,0))</f>
        <v/>
      </c>
      <c r="AL175">
        <f>IF($AK175=1,SUMPRODUCT(--($AO$2:$AO$1501&lt;$AO175))+1,"")</f>
        <v/>
      </c>
      <c r="AM175">
        <f>IF($C175="","",IF(OR($Q175=TRUE(),$Q175="TRUE"),1,0))</f>
        <v/>
      </c>
      <c r="AN175">
        <f>IF($C175="","",IF($Z175="Yes",1,0))</f>
        <v/>
      </c>
      <c r="AO175">
        <f>IF($AK175=1,IFERROR(IF(VALUE($C175)&lt;100000000,VALUE($C175),1000000000),IFERROR(IF(VALUE(MID($C175,2,20))&lt;100000000,VALUE(MID($C175,2,20)),1000000000),1000000000))+ROW()/100000,"")</f>
        <v/>
      </c>
    </row>
    <row r="176">
      <c r="F176" s="11" t="n"/>
      <c r="N176" s="7">
        <f>IF($C176="","",M176*U176/100)</f>
        <v/>
      </c>
      <c r="T176" s="7" t="n"/>
      <c r="U176" s="7" t="n"/>
      <c r="V176" s="7">
        <f>IF($C176="","",U176*AA176/100)</f>
        <v/>
      </c>
      <c r="W176" s="7">
        <f>IF($C176="","",U176-V176)</f>
        <v/>
      </c>
      <c r="X176" s="7">
        <f>IF($C176="","",W176-N176)</f>
        <v/>
      </c>
      <c r="AA176">
        <f>IF($C176="","",IF($AN176=1,0,IF($AM176=1,Settings!$C$6,Settings!$C$7))*100)</f>
        <v/>
      </c>
      <c r="AE176" s="7" t="n"/>
      <c r="AH176" s="11" t="n"/>
      <c r="AJ176">
        <f>IF($C176="","",$C176&amp;"|"&amp;$D176&amp;"")</f>
        <v/>
      </c>
      <c r="AK176">
        <f>IF($C176="","",IF(COUNTIF($AJ$2:$AJ176,$AJ176)=1,1,0))</f>
        <v/>
      </c>
      <c r="AL176">
        <f>IF($AK176=1,SUMPRODUCT(--($AO$2:$AO$1501&lt;$AO176))+1,"")</f>
        <v/>
      </c>
      <c r="AM176">
        <f>IF($C176="","",IF(OR($Q176=TRUE(),$Q176="TRUE"),1,0))</f>
        <v/>
      </c>
      <c r="AN176">
        <f>IF($C176="","",IF($Z176="Yes",1,0))</f>
        <v/>
      </c>
      <c r="AO176">
        <f>IF($AK176=1,IFERROR(IF(VALUE($C176)&lt;100000000,VALUE($C176),1000000000),IFERROR(IF(VALUE(MID($C176,2,20))&lt;100000000,VALUE(MID($C176,2,20)),1000000000),1000000000))+ROW()/100000,"")</f>
        <v/>
      </c>
    </row>
    <row r="177">
      <c r="F177" s="11" t="n"/>
      <c r="N177" s="7">
        <f>IF($C177="","",M177*U177/100)</f>
        <v/>
      </c>
      <c r="T177" s="7" t="n"/>
      <c r="U177" s="7" t="n"/>
      <c r="V177" s="7">
        <f>IF($C177="","",U177*AA177/100)</f>
        <v/>
      </c>
      <c r="W177" s="7">
        <f>IF($C177="","",U177-V177)</f>
        <v/>
      </c>
      <c r="X177" s="7">
        <f>IF($C177="","",W177-N177)</f>
        <v/>
      </c>
      <c r="AA177">
        <f>IF($C177="","",IF($AN177=1,0,IF($AM177=1,Settings!$C$6,Settings!$C$7))*100)</f>
        <v/>
      </c>
      <c r="AE177" s="7" t="n"/>
      <c r="AH177" s="11" t="n"/>
      <c r="AJ177">
        <f>IF($C177="","",$C177&amp;"|"&amp;$D177&amp;"")</f>
        <v/>
      </c>
      <c r="AK177">
        <f>IF($C177="","",IF(COUNTIF($AJ$2:$AJ177,$AJ177)=1,1,0))</f>
        <v/>
      </c>
      <c r="AL177">
        <f>IF($AK177=1,SUMPRODUCT(--($AO$2:$AO$1501&lt;$AO177))+1,"")</f>
        <v/>
      </c>
      <c r="AM177">
        <f>IF($C177="","",IF(OR($Q177=TRUE(),$Q177="TRUE"),1,0))</f>
        <v/>
      </c>
      <c r="AN177">
        <f>IF($C177="","",IF($Z177="Yes",1,0))</f>
        <v/>
      </c>
      <c r="AO177">
        <f>IF($AK177=1,IFERROR(IF(VALUE($C177)&lt;100000000,VALUE($C177),1000000000),IFERROR(IF(VALUE(MID($C177,2,20))&lt;100000000,VALUE(MID($C177,2,20)),1000000000),1000000000))+ROW()/100000,"")</f>
        <v/>
      </c>
    </row>
    <row r="178">
      <c r="F178" s="11" t="n"/>
      <c r="N178" s="7">
        <f>IF($C178="","",M178*U178/100)</f>
        <v/>
      </c>
      <c r="T178" s="7" t="n"/>
      <c r="U178" s="7" t="n"/>
      <c r="V178" s="7">
        <f>IF($C178="","",U178*AA178/100)</f>
        <v/>
      </c>
      <c r="W178" s="7">
        <f>IF($C178="","",U178-V178)</f>
        <v/>
      </c>
      <c r="X178" s="7">
        <f>IF($C178="","",W178-N178)</f>
        <v/>
      </c>
      <c r="AA178">
        <f>IF($C178="","",IF($AN178=1,0,IF($AM178=1,Settings!$C$6,Settings!$C$7))*100)</f>
        <v/>
      </c>
      <c r="AE178" s="7" t="n"/>
      <c r="AH178" s="11" t="n"/>
      <c r="AJ178">
        <f>IF($C178="","",$C178&amp;"|"&amp;$D178&amp;"")</f>
        <v/>
      </c>
      <c r="AK178">
        <f>IF($C178="","",IF(COUNTIF($AJ$2:$AJ178,$AJ178)=1,1,0))</f>
        <v/>
      </c>
      <c r="AL178">
        <f>IF($AK178=1,SUMPRODUCT(--($AO$2:$AO$1501&lt;$AO178))+1,"")</f>
        <v/>
      </c>
      <c r="AM178">
        <f>IF($C178="","",IF(OR($Q178=TRUE(),$Q178="TRUE"),1,0))</f>
        <v/>
      </c>
      <c r="AN178">
        <f>IF($C178="","",IF($Z178="Yes",1,0))</f>
        <v/>
      </c>
      <c r="AO178">
        <f>IF($AK178=1,IFERROR(IF(VALUE($C178)&lt;100000000,VALUE($C178),1000000000),IFERROR(IF(VALUE(MID($C178,2,20))&lt;100000000,VALUE(MID($C178,2,20)),1000000000),1000000000))+ROW()/100000,"")</f>
        <v/>
      </c>
    </row>
    <row r="179">
      <c r="F179" s="11" t="n"/>
      <c r="N179" s="7">
        <f>IF($C179="","",M179*U179/100)</f>
        <v/>
      </c>
      <c r="T179" s="7" t="n"/>
      <c r="U179" s="7" t="n"/>
      <c r="V179" s="7">
        <f>IF($C179="","",U179*AA179/100)</f>
        <v/>
      </c>
      <c r="W179" s="7">
        <f>IF($C179="","",U179-V179)</f>
        <v/>
      </c>
      <c r="X179" s="7">
        <f>IF($C179="","",W179-N179)</f>
        <v/>
      </c>
      <c r="AA179">
        <f>IF($C179="","",IF($AN179=1,0,IF($AM179=1,Settings!$C$6,Settings!$C$7))*100)</f>
        <v/>
      </c>
      <c r="AE179" s="7" t="n"/>
      <c r="AH179" s="11" t="n"/>
      <c r="AJ179">
        <f>IF($C179="","",$C179&amp;"|"&amp;$D179&amp;"")</f>
        <v/>
      </c>
      <c r="AK179">
        <f>IF($C179="","",IF(COUNTIF($AJ$2:$AJ179,$AJ179)=1,1,0))</f>
        <v/>
      </c>
      <c r="AL179">
        <f>IF($AK179=1,SUMPRODUCT(--($AO$2:$AO$1501&lt;$AO179))+1,"")</f>
        <v/>
      </c>
      <c r="AM179">
        <f>IF($C179="","",IF(OR($Q179=TRUE(),$Q179="TRUE"),1,0))</f>
        <v/>
      </c>
      <c r="AN179">
        <f>IF($C179="","",IF($Z179="Yes",1,0))</f>
        <v/>
      </c>
      <c r="AO179">
        <f>IF($AK179=1,IFERROR(IF(VALUE($C179)&lt;100000000,VALUE($C179),1000000000),IFERROR(IF(VALUE(MID($C179,2,20))&lt;100000000,VALUE(MID($C179,2,20)),1000000000),1000000000))+ROW()/100000,"")</f>
        <v/>
      </c>
    </row>
    <row r="180">
      <c r="F180" s="11" t="n"/>
      <c r="N180" s="7">
        <f>IF($C180="","",M180*U180/100)</f>
        <v/>
      </c>
      <c r="T180" s="7" t="n"/>
      <c r="U180" s="7" t="n"/>
      <c r="V180" s="7">
        <f>IF($C180="","",U180*AA180/100)</f>
        <v/>
      </c>
      <c r="W180" s="7">
        <f>IF($C180="","",U180-V180)</f>
        <v/>
      </c>
      <c r="X180" s="7">
        <f>IF($C180="","",W180-N180)</f>
        <v/>
      </c>
      <c r="AA180">
        <f>IF($C180="","",IF($AN180=1,0,IF($AM180=1,Settings!$C$6,Settings!$C$7))*100)</f>
        <v/>
      </c>
      <c r="AE180" s="7" t="n"/>
      <c r="AH180" s="11" t="n"/>
      <c r="AJ180">
        <f>IF($C180="","",$C180&amp;"|"&amp;$D180&amp;"")</f>
        <v/>
      </c>
      <c r="AK180">
        <f>IF($C180="","",IF(COUNTIF($AJ$2:$AJ180,$AJ180)=1,1,0))</f>
        <v/>
      </c>
      <c r="AL180">
        <f>IF($AK180=1,SUMPRODUCT(--($AO$2:$AO$1501&lt;$AO180))+1,"")</f>
        <v/>
      </c>
      <c r="AM180">
        <f>IF($C180="","",IF(OR($Q180=TRUE(),$Q180="TRUE"),1,0))</f>
        <v/>
      </c>
      <c r="AN180">
        <f>IF($C180="","",IF($Z180="Yes",1,0))</f>
        <v/>
      </c>
      <c r="AO180">
        <f>IF($AK180=1,IFERROR(IF(VALUE($C180)&lt;100000000,VALUE($C180),1000000000),IFERROR(IF(VALUE(MID($C180,2,20))&lt;100000000,VALUE(MID($C180,2,20)),1000000000),1000000000))+ROW()/100000,"")</f>
        <v/>
      </c>
    </row>
    <row r="181">
      <c r="F181" s="11" t="n"/>
      <c r="N181" s="7">
        <f>IF($C181="","",M181*U181/100)</f>
        <v/>
      </c>
      <c r="T181" s="7" t="n"/>
      <c r="U181" s="7" t="n"/>
      <c r="V181" s="7">
        <f>IF($C181="","",U181*AA181/100)</f>
        <v/>
      </c>
      <c r="W181" s="7">
        <f>IF($C181="","",U181-V181)</f>
        <v/>
      </c>
      <c r="X181" s="7">
        <f>IF($C181="","",W181-N181)</f>
        <v/>
      </c>
      <c r="AA181">
        <f>IF($C181="","",IF($AN181=1,0,IF($AM181=1,Settings!$C$6,Settings!$C$7))*100)</f>
        <v/>
      </c>
      <c r="AE181" s="7" t="n"/>
      <c r="AH181" s="11" t="n"/>
      <c r="AJ181">
        <f>IF($C181="","",$C181&amp;"|"&amp;$D181&amp;"")</f>
        <v/>
      </c>
      <c r="AK181">
        <f>IF($C181="","",IF(COUNTIF($AJ$2:$AJ181,$AJ181)=1,1,0))</f>
        <v/>
      </c>
      <c r="AL181">
        <f>IF($AK181=1,SUMPRODUCT(--($AO$2:$AO$1501&lt;$AO181))+1,"")</f>
        <v/>
      </c>
      <c r="AM181">
        <f>IF($C181="","",IF(OR($Q181=TRUE(),$Q181="TRUE"),1,0))</f>
        <v/>
      </c>
      <c r="AN181">
        <f>IF($C181="","",IF($Z181="Yes",1,0))</f>
        <v/>
      </c>
      <c r="AO181">
        <f>IF($AK181=1,IFERROR(IF(VALUE($C181)&lt;100000000,VALUE($C181),1000000000),IFERROR(IF(VALUE(MID($C181,2,20))&lt;100000000,VALUE(MID($C181,2,20)),1000000000),1000000000))+ROW()/100000,"")</f>
        <v/>
      </c>
    </row>
    <row r="182">
      <c r="F182" s="11" t="n"/>
      <c r="N182" s="7">
        <f>IF($C182="","",M182*U182/100)</f>
        <v/>
      </c>
      <c r="T182" s="7" t="n"/>
      <c r="U182" s="7" t="n"/>
      <c r="V182" s="7">
        <f>IF($C182="","",U182*AA182/100)</f>
        <v/>
      </c>
      <c r="W182" s="7">
        <f>IF($C182="","",U182-V182)</f>
        <v/>
      </c>
      <c r="X182" s="7">
        <f>IF($C182="","",W182-N182)</f>
        <v/>
      </c>
      <c r="AA182">
        <f>IF($C182="","",IF($AN182=1,0,IF($AM182=1,Settings!$C$6,Settings!$C$7))*100)</f>
        <v/>
      </c>
      <c r="AE182" s="7" t="n"/>
      <c r="AH182" s="11" t="n"/>
      <c r="AJ182">
        <f>IF($C182="","",$C182&amp;"|"&amp;$D182&amp;"")</f>
        <v/>
      </c>
      <c r="AK182">
        <f>IF($C182="","",IF(COUNTIF($AJ$2:$AJ182,$AJ182)=1,1,0))</f>
        <v/>
      </c>
      <c r="AL182">
        <f>IF($AK182=1,SUMPRODUCT(--($AO$2:$AO$1501&lt;$AO182))+1,"")</f>
        <v/>
      </c>
      <c r="AM182">
        <f>IF($C182="","",IF(OR($Q182=TRUE(),$Q182="TRUE"),1,0))</f>
        <v/>
      </c>
      <c r="AN182">
        <f>IF($C182="","",IF($Z182="Yes",1,0))</f>
        <v/>
      </c>
      <c r="AO182">
        <f>IF($AK182=1,IFERROR(IF(VALUE($C182)&lt;100000000,VALUE($C182),1000000000),IFERROR(IF(VALUE(MID($C182,2,20))&lt;100000000,VALUE(MID($C182,2,20)),1000000000),1000000000))+ROW()/100000,"")</f>
        <v/>
      </c>
    </row>
    <row r="183">
      <c r="F183" s="11" t="n"/>
      <c r="N183" s="7">
        <f>IF($C183="","",M183*U183/100)</f>
        <v/>
      </c>
      <c r="T183" s="7" t="n"/>
      <c r="U183" s="7" t="n"/>
      <c r="V183" s="7">
        <f>IF($C183="","",U183*AA183/100)</f>
        <v/>
      </c>
      <c r="W183" s="7">
        <f>IF($C183="","",U183-V183)</f>
        <v/>
      </c>
      <c r="X183" s="7">
        <f>IF($C183="","",W183-N183)</f>
        <v/>
      </c>
      <c r="AA183">
        <f>IF($C183="","",IF($AN183=1,0,IF($AM183=1,Settings!$C$6,Settings!$C$7))*100)</f>
        <v/>
      </c>
      <c r="AE183" s="7" t="n"/>
      <c r="AH183" s="11" t="n"/>
      <c r="AJ183">
        <f>IF($C183="","",$C183&amp;"|"&amp;$D183&amp;"")</f>
        <v/>
      </c>
      <c r="AK183">
        <f>IF($C183="","",IF(COUNTIF($AJ$2:$AJ183,$AJ183)=1,1,0))</f>
        <v/>
      </c>
      <c r="AL183">
        <f>IF($AK183=1,SUMPRODUCT(--($AO$2:$AO$1501&lt;$AO183))+1,"")</f>
        <v/>
      </c>
      <c r="AM183">
        <f>IF($C183="","",IF(OR($Q183=TRUE(),$Q183="TRUE"),1,0))</f>
        <v/>
      </c>
      <c r="AN183">
        <f>IF($C183="","",IF($Z183="Yes",1,0))</f>
        <v/>
      </c>
      <c r="AO183">
        <f>IF($AK183=1,IFERROR(IF(VALUE($C183)&lt;100000000,VALUE($C183),1000000000),IFERROR(IF(VALUE(MID($C183,2,20))&lt;100000000,VALUE(MID($C183,2,20)),1000000000),1000000000))+ROW()/100000,"")</f>
        <v/>
      </c>
    </row>
    <row r="184">
      <c r="F184" s="11" t="n"/>
      <c r="N184" s="7">
        <f>IF($C184="","",M184*U184/100)</f>
        <v/>
      </c>
      <c r="T184" s="7" t="n"/>
      <c r="U184" s="7" t="n"/>
      <c r="V184" s="7">
        <f>IF($C184="","",U184*AA184/100)</f>
        <v/>
      </c>
      <c r="W184" s="7">
        <f>IF($C184="","",U184-V184)</f>
        <v/>
      </c>
      <c r="X184" s="7">
        <f>IF($C184="","",W184-N184)</f>
        <v/>
      </c>
      <c r="AA184">
        <f>IF($C184="","",IF($AN184=1,0,IF($AM184=1,Settings!$C$6,Settings!$C$7))*100)</f>
        <v/>
      </c>
      <c r="AE184" s="7" t="n"/>
      <c r="AH184" s="11" t="n"/>
      <c r="AJ184">
        <f>IF($C184="","",$C184&amp;"|"&amp;$D184&amp;"")</f>
        <v/>
      </c>
      <c r="AK184">
        <f>IF($C184="","",IF(COUNTIF($AJ$2:$AJ184,$AJ184)=1,1,0))</f>
        <v/>
      </c>
      <c r="AL184">
        <f>IF($AK184=1,SUMPRODUCT(--($AO$2:$AO$1501&lt;$AO184))+1,"")</f>
        <v/>
      </c>
      <c r="AM184">
        <f>IF($C184="","",IF(OR($Q184=TRUE(),$Q184="TRUE"),1,0))</f>
        <v/>
      </c>
      <c r="AN184">
        <f>IF($C184="","",IF($Z184="Yes",1,0))</f>
        <v/>
      </c>
      <c r="AO184">
        <f>IF($AK184=1,IFERROR(IF(VALUE($C184)&lt;100000000,VALUE($C184),1000000000),IFERROR(IF(VALUE(MID($C184,2,20))&lt;100000000,VALUE(MID($C184,2,20)),1000000000),1000000000))+ROW()/100000,"")</f>
        <v/>
      </c>
    </row>
    <row r="185">
      <c r="F185" s="11" t="n"/>
      <c r="N185" s="7">
        <f>IF($C185="","",M185*U185/100)</f>
        <v/>
      </c>
      <c r="T185" s="7" t="n"/>
      <c r="U185" s="7" t="n"/>
      <c r="V185" s="7">
        <f>IF($C185="","",U185*AA185/100)</f>
        <v/>
      </c>
      <c r="W185" s="7">
        <f>IF($C185="","",U185-V185)</f>
        <v/>
      </c>
      <c r="X185" s="7">
        <f>IF($C185="","",W185-N185)</f>
        <v/>
      </c>
      <c r="AA185">
        <f>IF($C185="","",IF($AN185=1,0,IF($AM185=1,Settings!$C$6,Settings!$C$7))*100)</f>
        <v/>
      </c>
      <c r="AE185" s="7" t="n"/>
      <c r="AH185" s="11" t="n"/>
      <c r="AJ185">
        <f>IF($C185="","",$C185&amp;"|"&amp;$D185&amp;"")</f>
        <v/>
      </c>
      <c r="AK185">
        <f>IF($C185="","",IF(COUNTIF($AJ$2:$AJ185,$AJ185)=1,1,0))</f>
        <v/>
      </c>
      <c r="AL185">
        <f>IF($AK185=1,SUMPRODUCT(--($AO$2:$AO$1501&lt;$AO185))+1,"")</f>
        <v/>
      </c>
      <c r="AM185">
        <f>IF($C185="","",IF(OR($Q185=TRUE(),$Q185="TRUE"),1,0))</f>
        <v/>
      </c>
      <c r="AN185">
        <f>IF($C185="","",IF($Z185="Yes",1,0))</f>
        <v/>
      </c>
      <c r="AO185">
        <f>IF($AK185=1,IFERROR(IF(VALUE($C185)&lt;100000000,VALUE($C185),1000000000),IFERROR(IF(VALUE(MID($C185,2,20))&lt;100000000,VALUE(MID($C185,2,20)),1000000000),1000000000))+ROW()/100000,"")</f>
        <v/>
      </c>
    </row>
    <row r="186">
      <c r="F186" s="11" t="n"/>
      <c r="N186" s="7">
        <f>IF($C186="","",M186*U186/100)</f>
        <v/>
      </c>
      <c r="T186" s="7" t="n"/>
      <c r="U186" s="7" t="n"/>
      <c r="V186" s="7">
        <f>IF($C186="","",U186*AA186/100)</f>
        <v/>
      </c>
      <c r="W186" s="7">
        <f>IF($C186="","",U186-V186)</f>
        <v/>
      </c>
      <c r="X186" s="7">
        <f>IF($C186="","",W186-N186)</f>
        <v/>
      </c>
      <c r="AA186">
        <f>IF($C186="","",IF($AN186=1,0,IF($AM186=1,Settings!$C$6,Settings!$C$7))*100)</f>
        <v/>
      </c>
      <c r="AE186" s="7" t="n"/>
      <c r="AH186" s="11" t="n"/>
      <c r="AJ186">
        <f>IF($C186="","",$C186&amp;"|"&amp;$D186&amp;"")</f>
        <v/>
      </c>
      <c r="AK186">
        <f>IF($C186="","",IF(COUNTIF($AJ$2:$AJ186,$AJ186)=1,1,0))</f>
        <v/>
      </c>
      <c r="AL186">
        <f>IF($AK186=1,SUMPRODUCT(--($AO$2:$AO$1501&lt;$AO186))+1,"")</f>
        <v/>
      </c>
      <c r="AM186">
        <f>IF($C186="","",IF(OR($Q186=TRUE(),$Q186="TRUE"),1,0))</f>
        <v/>
      </c>
      <c r="AN186">
        <f>IF($C186="","",IF($Z186="Yes",1,0))</f>
        <v/>
      </c>
      <c r="AO186">
        <f>IF($AK186=1,IFERROR(IF(VALUE($C186)&lt;100000000,VALUE($C186),1000000000),IFERROR(IF(VALUE(MID($C186,2,20))&lt;100000000,VALUE(MID($C186,2,20)),1000000000),1000000000))+ROW()/100000,"")</f>
        <v/>
      </c>
    </row>
    <row r="187">
      <c r="F187" s="11" t="n"/>
      <c r="N187" s="7">
        <f>IF($C187="","",M187*U187/100)</f>
        <v/>
      </c>
      <c r="T187" s="7" t="n"/>
      <c r="U187" s="7" t="n"/>
      <c r="V187" s="7">
        <f>IF($C187="","",U187*AA187/100)</f>
        <v/>
      </c>
      <c r="W187" s="7">
        <f>IF($C187="","",U187-V187)</f>
        <v/>
      </c>
      <c r="X187" s="7">
        <f>IF($C187="","",W187-N187)</f>
        <v/>
      </c>
      <c r="AA187">
        <f>IF($C187="","",IF($AN187=1,0,IF($AM187=1,Settings!$C$6,Settings!$C$7))*100)</f>
        <v/>
      </c>
      <c r="AE187" s="7" t="n"/>
      <c r="AH187" s="11" t="n"/>
      <c r="AJ187">
        <f>IF($C187="","",$C187&amp;"|"&amp;$D187&amp;"")</f>
        <v/>
      </c>
      <c r="AK187">
        <f>IF($C187="","",IF(COUNTIF($AJ$2:$AJ187,$AJ187)=1,1,0))</f>
        <v/>
      </c>
      <c r="AL187">
        <f>IF($AK187=1,SUMPRODUCT(--($AO$2:$AO$1501&lt;$AO187))+1,"")</f>
        <v/>
      </c>
      <c r="AM187">
        <f>IF($C187="","",IF(OR($Q187=TRUE(),$Q187="TRUE"),1,0))</f>
        <v/>
      </c>
      <c r="AN187">
        <f>IF($C187="","",IF($Z187="Yes",1,0))</f>
        <v/>
      </c>
      <c r="AO187">
        <f>IF($AK187=1,IFERROR(IF(VALUE($C187)&lt;100000000,VALUE($C187),1000000000),IFERROR(IF(VALUE(MID($C187,2,20))&lt;100000000,VALUE(MID($C187,2,20)),1000000000),1000000000))+ROW()/100000,"")</f>
        <v/>
      </c>
    </row>
    <row r="188">
      <c r="F188" s="11" t="n"/>
      <c r="N188" s="7">
        <f>IF($C188="","",M188*U188/100)</f>
        <v/>
      </c>
      <c r="T188" s="7" t="n"/>
      <c r="U188" s="7" t="n"/>
      <c r="V188" s="7">
        <f>IF($C188="","",U188*AA188/100)</f>
        <v/>
      </c>
      <c r="W188" s="7">
        <f>IF($C188="","",U188-V188)</f>
        <v/>
      </c>
      <c r="X188" s="7">
        <f>IF($C188="","",W188-N188)</f>
        <v/>
      </c>
      <c r="AA188">
        <f>IF($C188="","",IF($AN188=1,0,IF($AM188=1,Settings!$C$6,Settings!$C$7))*100)</f>
        <v/>
      </c>
      <c r="AE188" s="7" t="n"/>
      <c r="AH188" s="11" t="n"/>
      <c r="AJ188">
        <f>IF($C188="","",$C188&amp;"|"&amp;$D188&amp;"")</f>
        <v/>
      </c>
      <c r="AK188">
        <f>IF($C188="","",IF(COUNTIF($AJ$2:$AJ188,$AJ188)=1,1,0))</f>
        <v/>
      </c>
      <c r="AL188">
        <f>IF($AK188=1,SUMPRODUCT(--($AO$2:$AO$1501&lt;$AO188))+1,"")</f>
        <v/>
      </c>
      <c r="AM188">
        <f>IF($C188="","",IF(OR($Q188=TRUE(),$Q188="TRUE"),1,0))</f>
        <v/>
      </c>
      <c r="AN188">
        <f>IF($C188="","",IF($Z188="Yes",1,0))</f>
        <v/>
      </c>
      <c r="AO188">
        <f>IF($AK188=1,IFERROR(IF(VALUE($C188)&lt;100000000,VALUE($C188),1000000000),IFERROR(IF(VALUE(MID($C188,2,20))&lt;100000000,VALUE(MID($C188,2,20)),1000000000),1000000000))+ROW()/100000,"")</f>
        <v/>
      </c>
    </row>
    <row r="189">
      <c r="F189" s="11" t="n"/>
      <c r="N189" s="7">
        <f>IF($C189="","",M189*U189/100)</f>
        <v/>
      </c>
      <c r="T189" s="7" t="n"/>
      <c r="U189" s="7" t="n"/>
      <c r="V189" s="7">
        <f>IF($C189="","",U189*AA189/100)</f>
        <v/>
      </c>
      <c r="W189" s="7">
        <f>IF($C189="","",U189-V189)</f>
        <v/>
      </c>
      <c r="X189" s="7">
        <f>IF($C189="","",W189-N189)</f>
        <v/>
      </c>
      <c r="AA189">
        <f>IF($C189="","",IF($AN189=1,0,IF($AM189=1,Settings!$C$6,Settings!$C$7))*100)</f>
        <v/>
      </c>
      <c r="AE189" s="7" t="n"/>
      <c r="AH189" s="11" t="n"/>
      <c r="AJ189">
        <f>IF($C189="","",$C189&amp;"|"&amp;$D189&amp;"")</f>
        <v/>
      </c>
      <c r="AK189">
        <f>IF($C189="","",IF(COUNTIF($AJ$2:$AJ189,$AJ189)=1,1,0))</f>
        <v/>
      </c>
      <c r="AL189">
        <f>IF($AK189=1,SUMPRODUCT(--($AO$2:$AO$1501&lt;$AO189))+1,"")</f>
        <v/>
      </c>
      <c r="AM189">
        <f>IF($C189="","",IF(OR($Q189=TRUE(),$Q189="TRUE"),1,0))</f>
        <v/>
      </c>
      <c r="AN189">
        <f>IF($C189="","",IF($Z189="Yes",1,0))</f>
        <v/>
      </c>
      <c r="AO189">
        <f>IF($AK189=1,IFERROR(IF(VALUE($C189)&lt;100000000,VALUE($C189),1000000000),IFERROR(IF(VALUE(MID($C189,2,20))&lt;100000000,VALUE(MID($C189,2,20)),1000000000),1000000000))+ROW()/100000,"")</f>
        <v/>
      </c>
    </row>
    <row r="190">
      <c r="F190" s="11" t="n"/>
      <c r="N190" s="7">
        <f>IF($C190="","",M190*U190/100)</f>
        <v/>
      </c>
      <c r="T190" s="7" t="n"/>
      <c r="U190" s="7" t="n"/>
      <c r="V190" s="7">
        <f>IF($C190="","",U190*AA190/100)</f>
        <v/>
      </c>
      <c r="W190" s="7">
        <f>IF($C190="","",U190-V190)</f>
        <v/>
      </c>
      <c r="X190" s="7">
        <f>IF($C190="","",W190-N190)</f>
        <v/>
      </c>
      <c r="AA190">
        <f>IF($C190="","",IF($AN190=1,0,IF($AM190=1,Settings!$C$6,Settings!$C$7))*100)</f>
        <v/>
      </c>
      <c r="AE190" s="7" t="n"/>
      <c r="AH190" s="11" t="n"/>
      <c r="AJ190">
        <f>IF($C190="","",$C190&amp;"|"&amp;$D190&amp;"")</f>
        <v/>
      </c>
      <c r="AK190">
        <f>IF($C190="","",IF(COUNTIF($AJ$2:$AJ190,$AJ190)=1,1,0))</f>
        <v/>
      </c>
      <c r="AL190">
        <f>IF($AK190=1,SUMPRODUCT(--($AO$2:$AO$1501&lt;$AO190))+1,"")</f>
        <v/>
      </c>
      <c r="AM190">
        <f>IF($C190="","",IF(OR($Q190=TRUE(),$Q190="TRUE"),1,0))</f>
        <v/>
      </c>
      <c r="AN190">
        <f>IF($C190="","",IF($Z190="Yes",1,0))</f>
        <v/>
      </c>
      <c r="AO190">
        <f>IF($AK190=1,IFERROR(IF(VALUE($C190)&lt;100000000,VALUE($C190),1000000000),IFERROR(IF(VALUE(MID($C190,2,20))&lt;100000000,VALUE(MID($C190,2,20)),1000000000),1000000000))+ROW()/100000,"")</f>
        <v/>
      </c>
    </row>
    <row r="191">
      <c r="F191" s="11" t="n"/>
      <c r="N191" s="7">
        <f>IF($C191="","",M191*U191/100)</f>
        <v/>
      </c>
      <c r="T191" s="7" t="n"/>
      <c r="U191" s="7" t="n"/>
      <c r="V191" s="7">
        <f>IF($C191="","",U191*AA191/100)</f>
        <v/>
      </c>
      <c r="W191" s="7">
        <f>IF($C191="","",U191-V191)</f>
        <v/>
      </c>
      <c r="X191" s="7">
        <f>IF($C191="","",W191-N191)</f>
        <v/>
      </c>
      <c r="AA191">
        <f>IF($C191="","",IF($AN191=1,0,IF($AM191=1,Settings!$C$6,Settings!$C$7))*100)</f>
        <v/>
      </c>
      <c r="AE191" s="7" t="n"/>
      <c r="AH191" s="11" t="n"/>
      <c r="AJ191">
        <f>IF($C191="","",$C191&amp;"|"&amp;$D191&amp;"")</f>
        <v/>
      </c>
      <c r="AK191">
        <f>IF($C191="","",IF(COUNTIF($AJ$2:$AJ191,$AJ191)=1,1,0))</f>
        <v/>
      </c>
      <c r="AL191">
        <f>IF($AK191=1,SUMPRODUCT(--($AO$2:$AO$1501&lt;$AO191))+1,"")</f>
        <v/>
      </c>
      <c r="AM191">
        <f>IF($C191="","",IF(OR($Q191=TRUE(),$Q191="TRUE"),1,0))</f>
        <v/>
      </c>
      <c r="AN191">
        <f>IF($C191="","",IF($Z191="Yes",1,0))</f>
        <v/>
      </c>
      <c r="AO191">
        <f>IF($AK191=1,IFERROR(IF(VALUE($C191)&lt;100000000,VALUE($C191),1000000000),IFERROR(IF(VALUE(MID($C191,2,20))&lt;100000000,VALUE(MID($C191,2,20)),1000000000),1000000000))+ROW()/100000,"")</f>
        <v/>
      </c>
    </row>
    <row r="192">
      <c r="F192" s="11" t="n"/>
      <c r="N192" s="7">
        <f>IF($C192="","",M192*U192/100)</f>
        <v/>
      </c>
      <c r="T192" s="7" t="n"/>
      <c r="U192" s="7" t="n"/>
      <c r="V192" s="7">
        <f>IF($C192="","",U192*AA192/100)</f>
        <v/>
      </c>
      <c r="W192" s="7">
        <f>IF($C192="","",U192-V192)</f>
        <v/>
      </c>
      <c r="X192" s="7">
        <f>IF($C192="","",W192-N192)</f>
        <v/>
      </c>
      <c r="AA192">
        <f>IF($C192="","",IF($AN192=1,0,IF($AM192=1,Settings!$C$6,Settings!$C$7))*100)</f>
        <v/>
      </c>
      <c r="AE192" s="7" t="n"/>
      <c r="AH192" s="11" t="n"/>
      <c r="AJ192">
        <f>IF($C192="","",$C192&amp;"|"&amp;$D192&amp;"")</f>
        <v/>
      </c>
      <c r="AK192">
        <f>IF($C192="","",IF(COUNTIF($AJ$2:$AJ192,$AJ192)=1,1,0))</f>
        <v/>
      </c>
      <c r="AL192">
        <f>IF($AK192=1,SUMPRODUCT(--($AO$2:$AO$1501&lt;$AO192))+1,"")</f>
        <v/>
      </c>
      <c r="AM192">
        <f>IF($C192="","",IF(OR($Q192=TRUE(),$Q192="TRUE"),1,0))</f>
        <v/>
      </c>
      <c r="AN192">
        <f>IF($C192="","",IF($Z192="Yes",1,0))</f>
        <v/>
      </c>
      <c r="AO192">
        <f>IF($AK192=1,IFERROR(IF(VALUE($C192)&lt;100000000,VALUE($C192),1000000000),IFERROR(IF(VALUE(MID($C192,2,20))&lt;100000000,VALUE(MID($C192,2,20)),1000000000),1000000000))+ROW()/100000,"")</f>
        <v/>
      </c>
    </row>
    <row r="193">
      <c r="F193" s="11" t="n"/>
      <c r="N193" s="7">
        <f>IF($C193="","",M193*U193/100)</f>
        <v/>
      </c>
      <c r="T193" s="7" t="n"/>
      <c r="U193" s="7" t="n"/>
      <c r="V193" s="7">
        <f>IF($C193="","",U193*AA193/100)</f>
        <v/>
      </c>
      <c r="W193" s="7">
        <f>IF($C193="","",U193-V193)</f>
        <v/>
      </c>
      <c r="X193" s="7">
        <f>IF($C193="","",W193-N193)</f>
        <v/>
      </c>
      <c r="AA193">
        <f>IF($C193="","",IF($AN193=1,0,IF($AM193=1,Settings!$C$6,Settings!$C$7))*100)</f>
        <v/>
      </c>
      <c r="AE193" s="7" t="n"/>
      <c r="AH193" s="11" t="n"/>
      <c r="AJ193">
        <f>IF($C193="","",$C193&amp;"|"&amp;$D193&amp;"")</f>
        <v/>
      </c>
      <c r="AK193">
        <f>IF($C193="","",IF(COUNTIF($AJ$2:$AJ193,$AJ193)=1,1,0))</f>
        <v/>
      </c>
      <c r="AL193">
        <f>IF($AK193=1,SUMPRODUCT(--($AO$2:$AO$1501&lt;$AO193))+1,"")</f>
        <v/>
      </c>
      <c r="AM193">
        <f>IF($C193="","",IF(OR($Q193=TRUE(),$Q193="TRUE"),1,0))</f>
        <v/>
      </c>
      <c r="AN193">
        <f>IF($C193="","",IF($Z193="Yes",1,0))</f>
        <v/>
      </c>
      <c r="AO193">
        <f>IF($AK193=1,IFERROR(IF(VALUE($C193)&lt;100000000,VALUE($C193),1000000000),IFERROR(IF(VALUE(MID($C193,2,20))&lt;100000000,VALUE(MID($C193,2,20)),1000000000),1000000000))+ROW()/100000,"")</f>
        <v/>
      </c>
    </row>
    <row r="194">
      <c r="F194" s="11" t="n"/>
      <c r="N194" s="7">
        <f>IF($C194="","",M194*U194/100)</f>
        <v/>
      </c>
      <c r="T194" s="7" t="n"/>
      <c r="U194" s="7" t="n"/>
      <c r="V194" s="7">
        <f>IF($C194="","",U194*AA194/100)</f>
        <v/>
      </c>
      <c r="W194" s="7">
        <f>IF($C194="","",U194-V194)</f>
        <v/>
      </c>
      <c r="X194" s="7">
        <f>IF($C194="","",W194-N194)</f>
        <v/>
      </c>
      <c r="AA194">
        <f>IF($C194="","",IF($AN194=1,0,IF($AM194=1,Settings!$C$6,Settings!$C$7))*100)</f>
        <v/>
      </c>
      <c r="AE194" s="7" t="n"/>
      <c r="AH194" s="11" t="n"/>
      <c r="AJ194">
        <f>IF($C194="","",$C194&amp;"|"&amp;$D194&amp;"")</f>
        <v/>
      </c>
      <c r="AK194">
        <f>IF($C194="","",IF(COUNTIF($AJ$2:$AJ194,$AJ194)=1,1,0))</f>
        <v/>
      </c>
      <c r="AL194">
        <f>IF($AK194=1,SUMPRODUCT(--($AO$2:$AO$1501&lt;$AO194))+1,"")</f>
        <v/>
      </c>
      <c r="AM194">
        <f>IF($C194="","",IF(OR($Q194=TRUE(),$Q194="TRUE"),1,0))</f>
        <v/>
      </c>
      <c r="AN194">
        <f>IF($C194="","",IF($Z194="Yes",1,0))</f>
        <v/>
      </c>
      <c r="AO194">
        <f>IF($AK194=1,IFERROR(IF(VALUE($C194)&lt;100000000,VALUE($C194),1000000000),IFERROR(IF(VALUE(MID($C194,2,20))&lt;100000000,VALUE(MID($C194,2,20)),1000000000),1000000000))+ROW()/100000,"")</f>
        <v/>
      </c>
    </row>
    <row r="195">
      <c r="F195" s="11" t="n"/>
      <c r="N195" s="7">
        <f>IF($C195="","",M195*U195/100)</f>
        <v/>
      </c>
      <c r="T195" s="7" t="n"/>
      <c r="U195" s="7" t="n"/>
      <c r="V195" s="7">
        <f>IF($C195="","",U195*AA195/100)</f>
        <v/>
      </c>
      <c r="W195" s="7">
        <f>IF($C195="","",U195-V195)</f>
        <v/>
      </c>
      <c r="X195" s="7">
        <f>IF($C195="","",W195-N195)</f>
        <v/>
      </c>
      <c r="AA195">
        <f>IF($C195="","",IF($AN195=1,0,IF($AM195=1,Settings!$C$6,Settings!$C$7))*100)</f>
        <v/>
      </c>
      <c r="AE195" s="7" t="n"/>
      <c r="AH195" s="11" t="n"/>
      <c r="AJ195">
        <f>IF($C195="","",$C195&amp;"|"&amp;$D195&amp;"")</f>
        <v/>
      </c>
      <c r="AK195">
        <f>IF($C195="","",IF(COUNTIF($AJ$2:$AJ195,$AJ195)=1,1,0))</f>
        <v/>
      </c>
      <c r="AL195">
        <f>IF($AK195=1,SUMPRODUCT(--($AO$2:$AO$1501&lt;$AO195))+1,"")</f>
        <v/>
      </c>
      <c r="AM195">
        <f>IF($C195="","",IF(OR($Q195=TRUE(),$Q195="TRUE"),1,0))</f>
        <v/>
      </c>
      <c r="AN195">
        <f>IF($C195="","",IF($Z195="Yes",1,0))</f>
        <v/>
      </c>
      <c r="AO195">
        <f>IF($AK195=1,IFERROR(IF(VALUE($C195)&lt;100000000,VALUE($C195),1000000000),IFERROR(IF(VALUE(MID($C195,2,20))&lt;100000000,VALUE(MID($C195,2,20)),1000000000),1000000000))+ROW()/100000,"")</f>
        <v/>
      </c>
    </row>
    <row r="196">
      <c r="F196" s="11" t="n"/>
      <c r="N196" s="7">
        <f>IF($C196="","",M196*U196/100)</f>
        <v/>
      </c>
      <c r="T196" s="7" t="n"/>
      <c r="U196" s="7" t="n"/>
      <c r="V196" s="7">
        <f>IF($C196="","",U196*AA196/100)</f>
        <v/>
      </c>
      <c r="W196" s="7">
        <f>IF($C196="","",U196-V196)</f>
        <v/>
      </c>
      <c r="X196" s="7">
        <f>IF($C196="","",W196-N196)</f>
        <v/>
      </c>
      <c r="AA196">
        <f>IF($C196="","",IF($AN196=1,0,IF($AM196=1,Settings!$C$6,Settings!$C$7))*100)</f>
        <v/>
      </c>
      <c r="AE196" s="7" t="n"/>
      <c r="AH196" s="11" t="n"/>
      <c r="AJ196">
        <f>IF($C196="","",$C196&amp;"|"&amp;$D196&amp;"")</f>
        <v/>
      </c>
      <c r="AK196">
        <f>IF($C196="","",IF(COUNTIF($AJ$2:$AJ196,$AJ196)=1,1,0))</f>
        <v/>
      </c>
      <c r="AL196">
        <f>IF($AK196=1,SUMPRODUCT(--($AO$2:$AO$1501&lt;$AO196))+1,"")</f>
        <v/>
      </c>
      <c r="AM196">
        <f>IF($C196="","",IF(OR($Q196=TRUE(),$Q196="TRUE"),1,0))</f>
        <v/>
      </c>
      <c r="AN196">
        <f>IF($C196="","",IF($Z196="Yes",1,0))</f>
        <v/>
      </c>
      <c r="AO196">
        <f>IF($AK196=1,IFERROR(IF(VALUE($C196)&lt;100000000,VALUE($C196),1000000000),IFERROR(IF(VALUE(MID($C196,2,20))&lt;100000000,VALUE(MID($C196,2,20)),1000000000),1000000000))+ROW()/100000,"")</f>
        <v/>
      </c>
    </row>
    <row r="197">
      <c r="F197" s="11" t="n"/>
      <c r="N197" s="7">
        <f>IF($C197="","",M197*U197/100)</f>
        <v/>
      </c>
      <c r="T197" s="7" t="n"/>
      <c r="U197" s="7" t="n"/>
      <c r="V197" s="7">
        <f>IF($C197="","",U197*AA197/100)</f>
        <v/>
      </c>
      <c r="W197" s="7">
        <f>IF($C197="","",U197-V197)</f>
        <v/>
      </c>
      <c r="X197" s="7">
        <f>IF($C197="","",W197-N197)</f>
        <v/>
      </c>
      <c r="AA197">
        <f>IF($C197="","",IF($AN197=1,0,IF($AM197=1,Settings!$C$6,Settings!$C$7))*100)</f>
        <v/>
      </c>
      <c r="AE197" s="7" t="n"/>
      <c r="AH197" s="11" t="n"/>
      <c r="AJ197">
        <f>IF($C197="","",$C197&amp;"|"&amp;$D197&amp;"")</f>
        <v/>
      </c>
      <c r="AK197">
        <f>IF($C197="","",IF(COUNTIF($AJ$2:$AJ197,$AJ197)=1,1,0))</f>
        <v/>
      </c>
      <c r="AL197">
        <f>IF($AK197=1,SUMPRODUCT(--($AO$2:$AO$1501&lt;$AO197))+1,"")</f>
        <v/>
      </c>
      <c r="AM197">
        <f>IF($C197="","",IF(OR($Q197=TRUE(),$Q197="TRUE"),1,0))</f>
        <v/>
      </c>
      <c r="AN197">
        <f>IF($C197="","",IF($Z197="Yes",1,0))</f>
        <v/>
      </c>
      <c r="AO197">
        <f>IF($AK197=1,IFERROR(IF(VALUE($C197)&lt;100000000,VALUE($C197),1000000000),IFERROR(IF(VALUE(MID($C197,2,20))&lt;100000000,VALUE(MID($C197,2,20)),1000000000),1000000000))+ROW()/100000,"")</f>
        <v/>
      </c>
    </row>
    <row r="198">
      <c r="F198" s="11" t="n"/>
      <c r="N198" s="7">
        <f>IF($C198="","",M198*U198/100)</f>
        <v/>
      </c>
      <c r="T198" s="7" t="n"/>
      <c r="U198" s="7" t="n"/>
      <c r="V198" s="7">
        <f>IF($C198="","",U198*AA198/100)</f>
        <v/>
      </c>
      <c r="W198" s="7">
        <f>IF($C198="","",U198-V198)</f>
        <v/>
      </c>
      <c r="X198" s="7">
        <f>IF($C198="","",W198-N198)</f>
        <v/>
      </c>
      <c r="AA198">
        <f>IF($C198="","",IF($AN198=1,0,IF($AM198=1,Settings!$C$6,Settings!$C$7))*100)</f>
        <v/>
      </c>
      <c r="AE198" s="7" t="n"/>
      <c r="AH198" s="11" t="n"/>
      <c r="AJ198">
        <f>IF($C198="","",$C198&amp;"|"&amp;$D198&amp;"")</f>
        <v/>
      </c>
      <c r="AK198">
        <f>IF($C198="","",IF(COUNTIF($AJ$2:$AJ198,$AJ198)=1,1,0))</f>
        <v/>
      </c>
      <c r="AL198">
        <f>IF($AK198=1,SUMPRODUCT(--($AO$2:$AO$1501&lt;$AO198))+1,"")</f>
        <v/>
      </c>
      <c r="AM198">
        <f>IF($C198="","",IF(OR($Q198=TRUE(),$Q198="TRUE"),1,0))</f>
        <v/>
      </c>
      <c r="AN198">
        <f>IF($C198="","",IF($Z198="Yes",1,0))</f>
        <v/>
      </c>
      <c r="AO198">
        <f>IF($AK198=1,IFERROR(IF(VALUE($C198)&lt;100000000,VALUE($C198),1000000000),IFERROR(IF(VALUE(MID($C198,2,20))&lt;100000000,VALUE(MID($C198,2,20)),1000000000),1000000000))+ROW()/100000,"")</f>
        <v/>
      </c>
    </row>
    <row r="199">
      <c r="F199" s="11" t="n"/>
      <c r="N199" s="7">
        <f>IF($C199="","",M199*U199/100)</f>
        <v/>
      </c>
      <c r="T199" s="7" t="n"/>
      <c r="U199" s="7" t="n"/>
      <c r="V199" s="7">
        <f>IF($C199="","",U199*AA199/100)</f>
        <v/>
      </c>
      <c r="W199" s="7">
        <f>IF($C199="","",U199-V199)</f>
        <v/>
      </c>
      <c r="X199" s="7">
        <f>IF($C199="","",W199-N199)</f>
        <v/>
      </c>
      <c r="AA199">
        <f>IF($C199="","",IF($AN199=1,0,IF($AM199=1,Settings!$C$6,Settings!$C$7))*100)</f>
        <v/>
      </c>
      <c r="AE199" s="7" t="n"/>
      <c r="AH199" s="11" t="n"/>
      <c r="AJ199">
        <f>IF($C199="","",$C199&amp;"|"&amp;$D199&amp;"")</f>
        <v/>
      </c>
      <c r="AK199">
        <f>IF($C199="","",IF(COUNTIF($AJ$2:$AJ199,$AJ199)=1,1,0))</f>
        <v/>
      </c>
      <c r="AL199">
        <f>IF($AK199=1,SUMPRODUCT(--($AO$2:$AO$1501&lt;$AO199))+1,"")</f>
        <v/>
      </c>
      <c r="AM199">
        <f>IF($C199="","",IF(OR($Q199=TRUE(),$Q199="TRUE"),1,0))</f>
        <v/>
      </c>
      <c r="AN199">
        <f>IF($C199="","",IF($Z199="Yes",1,0))</f>
        <v/>
      </c>
      <c r="AO199">
        <f>IF($AK199=1,IFERROR(IF(VALUE($C199)&lt;100000000,VALUE($C199),1000000000),IFERROR(IF(VALUE(MID($C199,2,20))&lt;100000000,VALUE(MID($C199,2,20)),1000000000),1000000000))+ROW()/100000,"")</f>
        <v/>
      </c>
    </row>
    <row r="200">
      <c r="F200" s="11" t="n"/>
      <c r="N200" s="7">
        <f>IF($C200="","",M200*U200/100)</f>
        <v/>
      </c>
      <c r="T200" s="7" t="n"/>
      <c r="U200" s="7" t="n"/>
      <c r="V200" s="7">
        <f>IF($C200="","",U200*AA200/100)</f>
        <v/>
      </c>
      <c r="W200" s="7">
        <f>IF($C200="","",U200-V200)</f>
        <v/>
      </c>
      <c r="X200" s="7">
        <f>IF($C200="","",W200-N200)</f>
        <v/>
      </c>
      <c r="AA200">
        <f>IF($C200="","",IF($AN200=1,0,IF($AM200=1,Settings!$C$6,Settings!$C$7))*100)</f>
        <v/>
      </c>
      <c r="AE200" s="7" t="n"/>
      <c r="AH200" s="11" t="n"/>
      <c r="AJ200">
        <f>IF($C200="","",$C200&amp;"|"&amp;$D200&amp;"")</f>
        <v/>
      </c>
      <c r="AK200">
        <f>IF($C200="","",IF(COUNTIF($AJ$2:$AJ200,$AJ200)=1,1,0))</f>
        <v/>
      </c>
      <c r="AL200">
        <f>IF($AK200=1,SUMPRODUCT(--($AO$2:$AO$1501&lt;$AO200))+1,"")</f>
        <v/>
      </c>
      <c r="AM200">
        <f>IF($C200="","",IF(OR($Q200=TRUE(),$Q200="TRUE"),1,0))</f>
        <v/>
      </c>
      <c r="AN200">
        <f>IF($C200="","",IF($Z200="Yes",1,0))</f>
        <v/>
      </c>
      <c r="AO200">
        <f>IF($AK200=1,IFERROR(IF(VALUE($C200)&lt;100000000,VALUE($C200),1000000000),IFERROR(IF(VALUE(MID($C200,2,20))&lt;100000000,VALUE(MID($C200,2,20)),1000000000),1000000000))+ROW()/100000,"")</f>
        <v/>
      </c>
    </row>
    <row r="201">
      <c r="F201" s="11" t="n"/>
      <c r="N201" s="7">
        <f>IF($C201="","",M201*U201/100)</f>
        <v/>
      </c>
      <c r="T201" s="7" t="n"/>
      <c r="U201" s="7" t="n"/>
      <c r="V201" s="7">
        <f>IF($C201="","",U201*AA201/100)</f>
        <v/>
      </c>
      <c r="W201" s="7">
        <f>IF($C201="","",U201-V201)</f>
        <v/>
      </c>
      <c r="X201" s="7">
        <f>IF($C201="","",W201-N201)</f>
        <v/>
      </c>
      <c r="AA201">
        <f>IF($C201="","",IF($AN201=1,0,IF($AM201=1,Settings!$C$6,Settings!$C$7))*100)</f>
        <v/>
      </c>
      <c r="AE201" s="7" t="n"/>
      <c r="AH201" s="11" t="n"/>
      <c r="AJ201">
        <f>IF($C201="","",$C201&amp;"|"&amp;$D201&amp;"")</f>
        <v/>
      </c>
      <c r="AK201">
        <f>IF($C201="","",IF(COUNTIF($AJ$2:$AJ201,$AJ201)=1,1,0))</f>
        <v/>
      </c>
      <c r="AL201">
        <f>IF($AK201=1,SUMPRODUCT(--($AO$2:$AO$1501&lt;$AO201))+1,"")</f>
        <v/>
      </c>
      <c r="AM201">
        <f>IF($C201="","",IF(OR($Q201=TRUE(),$Q201="TRUE"),1,0))</f>
        <v/>
      </c>
      <c r="AN201">
        <f>IF($C201="","",IF($Z201="Yes",1,0))</f>
        <v/>
      </c>
      <c r="AO201">
        <f>IF($AK201=1,IFERROR(IF(VALUE($C201)&lt;100000000,VALUE($C201),1000000000),IFERROR(IF(VALUE(MID($C201,2,20))&lt;100000000,VALUE(MID($C201,2,20)),1000000000),1000000000))+ROW()/100000,"")</f>
        <v/>
      </c>
    </row>
    <row r="202">
      <c r="F202" s="11" t="n"/>
      <c r="N202" s="7">
        <f>IF($C202="","",M202*U202/100)</f>
        <v/>
      </c>
      <c r="T202" s="7" t="n"/>
      <c r="U202" s="7" t="n"/>
      <c r="V202" s="7">
        <f>IF($C202="","",U202*AA202/100)</f>
        <v/>
      </c>
      <c r="W202" s="7">
        <f>IF($C202="","",U202-V202)</f>
        <v/>
      </c>
      <c r="X202" s="7">
        <f>IF($C202="","",W202-N202)</f>
        <v/>
      </c>
      <c r="AA202">
        <f>IF($C202="","",IF($AN202=1,0,IF($AM202=1,Settings!$C$6,Settings!$C$7))*100)</f>
        <v/>
      </c>
      <c r="AE202" s="7" t="n"/>
      <c r="AH202" s="11" t="n"/>
      <c r="AJ202">
        <f>IF($C202="","",$C202&amp;"|"&amp;$D202&amp;"")</f>
        <v/>
      </c>
      <c r="AK202">
        <f>IF($C202="","",IF(COUNTIF($AJ$2:$AJ202,$AJ202)=1,1,0))</f>
        <v/>
      </c>
      <c r="AL202">
        <f>IF($AK202=1,SUMPRODUCT(--($AO$2:$AO$1501&lt;$AO202))+1,"")</f>
        <v/>
      </c>
      <c r="AM202">
        <f>IF($C202="","",IF(OR($Q202=TRUE(),$Q202="TRUE"),1,0))</f>
        <v/>
      </c>
      <c r="AN202">
        <f>IF($C202="","",IF($Z202="Yes",1,0))</f>
        <v/>
      </c>
      <c r="AO202">
        <f>IF($AK202=1,IFERROR(IF(VALUE($C202)&lt;100000000,VALUE($C202),1000000000),IFERROR(IF(VALUE(MID($C202,2,20))&lt;100000000,VALUE(MID($C202,2,20)),1000000000),1000000000))+ROW()/100000,"")</f>
        <v/>
      </c>
    </row>
    <row r="203">
      <c r="F203" s="11" t="n"/>
      <c r="N203" s="7">
        <f>IF($C203="","",M203*U203/100)</f>
        <v/>
      </c>
      <c r="T203" s="7" t="n"/>
      <c r="U203" s="7" t="n"/>
      <c r="V203" s="7">
        <f>IF($C203="","",U203*AA203/100)</f>
        <v/>
      </c>
      <c r="W203" s="7">
        <f>IF($C203="","",U203-V203)</f>
        <v/>
      </c>
      <c r="X203" s="7">
        <f>IF($C203="","",W203-N203)</f>
        <v/>
      </c>
      <c r="AA203">
        <f>IF($C203="","",IF($AN203=1,0,IF($AM203=1,Settings!$C$6,Settings!$C$7))*100)</f>
        <v/>
      </c>
      <c r="AE203" s="7" t="n"/>
      <c r="AH203" s="11" t="n"/>
      <c r="AJ203">
        <f>IF($C203="","",$C203&amp;"|"&amp;$D203&amp;"")</f>
        <v/>
      </c>
      <c r="AK203">
        <f>IF($C203="","",IF(COUNTIF($AJ$2:$AJ203,$AJ203)=1,1,0))</f>
        <v/>
      </c>
      <c r="AL203">
        <f>IF($AK203=1,SUMPRODUCT(--($AO$2:$AO$1501&lt;$AO203))+1,"")</f>
        <v/>
      </c>
      <c r="AM203">
        <f>IF($C203="","",IF(OR($Q203=TRUE(),$Q203="TRUE"),1,0))</f>
        <v/>
      </c>
      <c r="AN203">
        <f>IF($C203="","",IF($Z203="Yes",1,0))</f>
        <v/>
      </c>
      <c r="AO203">
        <f>IF($AK203=1,IFERROR(IF(VALUE($C203)&lt;100000000,VALUE($C203),1000000000),IFERROR(IF(VALUE(MID($C203,2,20))&lt;100000000,VALUE(MID($C203,2,20)),1000000000),1000000000))+ROW()/100000,"")</f>
        <v/>
      </c>
    </row>
    <row r="204">
      <c r="F204" s="11" t="n"/>
      <c r="N204" s="7">
        <f>IF($C204="","",M204*U204/100)</f>
        <v/>
      </c>
      <c r="T204" s="7" t="n"/>
      <c r="U204" s="7" t="n"/>
      <c r="V204" s="7">
        <f>IF($C204="","",U204*AA204/100)</f>
        <v/>
      </c>
      <c r="W204" s="7">
        <f>IF($C204="","",U204-V204)</f>
        <v/>
      </c>
      <c r="X204" s="7">
        <f>IF($C204="","",W204-N204)</f>
        <v/>
      </c>
      <c r="AA204">
        <f>IF($C204="","",IF($AN204=1,0,IF($AM204=1,Settings!$C$6,Settings!$C$7))*100)</f>
        <v/>
      </c>
      <c r="AE204" s="7" t="n"/>
      <c r="AH204" s="11" t="n"/>
      <c r="AJ204">
        <f>IF($C204="","",$C204&amp;"|"&amp;$D204&amp;"")</f>
        <v/>
      </c>
      <c r="AK204">
        <f>IF($C204="","",IF(COUNTIF($AJ$2:$AJ204,$AJ204)=1,1,0))</f>
        <v/>
      </c>
      <c r="AL204">
        <f>IF($AK204=1,SUMPRODUCT(--($AO$2:$AO$1501&lt;$AO204))+1,"")</f>
        <v/>
      </c>
      <c r="AM204">
        <f>IF($C204="","",IF(OR($Q204=TRUE(),$Q204="TRUE"),1,0))</f>
        <v/>
      </c>
      <c r="AN204">
        <f>IF($C204="","",IF($Z204="Yes",1,0))</f>
        <v/>
      </c>
      <c r="AO204">
        <f>IF($AK204=1,IFERROR(IF(VALUE($C204)&lt;100000000,VALUE($C204),1000000000),IFERROR(IF(VALUE(MID($C204,2,20))&lt;100000000,VALUE(MID($C204,2,20)),1000000000),1000000000))+ROW()/100000,"")</f>
        <v/>
      </c>
    </row>
    <row r="205">
      <c r="F205" s="11" t="n"/>
      <c r="N205" s="7">
        <f>IF($C205="","",M205*U205/100)</f>
        <v/>
      </c>
      <c r="T205" s="7" t="n"/>
      <c r="U205" s="7" t="n"/>
      <c r="V205" s="7">
        <f>IF($C205="","",U205*AA205/100)</f>
        <v/>
      </c>
      <c r="W205" s="7">
        <f>IF($C205="","",U205-V205)</f>
        <v/>
      </c>
      <c r="X205" s="7">
        <f>IF($C205="","",W205-N205)</f>
        <v/>
      </c>
      <c r="AA205">
        <f>IF($C205="","",IF($AN205=1,0,IF($AM205=1,Settings!$C$6,Settings!$C$7))*100)</f>
        <v/>
      </c>
      <c r="AE205" s="7" t="n"/>
      <c r="AH205" s="11" t="n"/>
      <c r="AJ205">
        <f>IF($C205="","",$C205&amp;"|"&amp;$D205&amp;"")</f>
        <v/>
      </c>
      <c r="AK205">
        <f>IF($C205="","",IF(COUNTIF($AJ$2:$AJ205,$AJ205)=1,1,0))</f>
        <v/>
      </c>
      <c r="AL205">
        <f>IF($AK205=1,SUMPRODUCT(--($AO$2:$AO$1501&lt;$AO205))+1,"")</f>
        <v/>
      </c>
      <c r="AM205">
        <f>IF($C205="","",IF(OR($Q205=TRUE(),$Q205="TRUE"),1,0))</f>
        <v/>
      </c>
      <c r="AN205">
        <f>IF($C205="","",IF($Z205="Yes",1,0))</f>
        <v/>
      </c>
      <c r="AO205">
        <f>IF($AK205=1,IFERROR(IF(VALUE($C205)&lt;100000000,VALUE($C205),1000000000),IFERROR(IF(VALUE(MID($C205,2,20))&lt;100000000,VALUE(MID($C205,2,20)),1000000000),1000000000))+ROW()/100000,"")</f>
        <v/>
      </c>
    </row>
    <row r="206">
      <c r="F206" s="11" t="n"/>
      <c r="N206" s="7">
        <f>IF($C206="","",M206*U206/100)</f>
        <v/>
      </c>
      <c r="T206" s="7" t="n"/>
      <c r="U206" s="7" t="n"/>
      <c r="V206" s="7">
        <f>IF($C206="","",U206*AA206/100)</f>
        <v/>
      </c>
      <c r="W206" s="7">
        <f>IF($C206="","",U206-V206)</f>
        <v/>
      </c>
      <c r="X206" s="7">
        <f>IF($C206="","",W206-N206)</f>
        <v/>
      </c>
      <c r="AA206">
        <f>IF($C206="","",IF($AN206=1,0,IF($AM206=1,Settings!$C$6,Settings!$C$7))*100)</f>
        <v/>
      </c>
      <c r="AE206" s="7" t="n"/>
      <c r="AH206" s="11" t="n"/>
      <c r="AJ206">
        <f>IF($C206="","",$C206&amp;"|"&amp;$D206&amp;"")</f>
        <v/>
      </c>
      <c r="AK206">
        <f>IF($C206="","",IF(COUNTIF($AJ$2:$AJ206,$AJ206)=1,1,0))</f>
        <v/>
      </c>
      <c r="AL206">
        <f>IF($AK206=1,SUMPRODUCT(--($AO$2:$AO$1501&lt;$AO206))+1,"")</f>
        <v/>
      </c>
      <c r="AM206">
        <f>IF($C206="","",IF(OR($Q206=TRUE(),$Q206="TRUE"),1,0))</f>
        <v/>
      </c>
      <c r="AN206">
        <f>IF($C206="","",IF($Z206="Yes",1,0))</f>
        <v/>
      </c>
      <c r="AO206">
        <f>IF($AK206=1,IFERROR(IF(VALUE($C206)&lt;100000000,VALUE($C206),1000000000),IFERROR(IF(VALUE(MID($C206,2,20))&lt;100000000,VALUE(MID($C206,2,20)),1000000000),1000000000))+ROW()/100000,"")</f>
        <v/>
      </c>
    </row>
    <row r="207">
      <c r="F207" s="11" t="n"/>
      <c r="N207" s="7">
        <f>IF($C207="","",M207*U207/100)</f>
        <v/>
      </c>
      <c r="T207" s="7" t="n"/>
      <c r="U207" s="7" t="n"/>
      <c r="V207" s="7">
        <f>IF($C207="","",U207*AA207/100)</f>
        <v/>
      </c>
      <c r="W207" s="7">
        <f>IF($C207="","",U207-V207)</f>
        <v/>
      </c>
      <c r="X207" s="7">
        <f>IF($C207="","",W207-N207)</f>
        <v/>
      </c>
      <c r="AA207">
        <f>IF($C207="","",IF($AN207=1,0,IF($AM207=1,Settings!$C$6,Settings!$C$7))*100)</f>
        <v/>
      </c>
      <c r="AE207" s="7" t="n"/>
      <c r="AH207" s="11" t="n"/>
      <c r="AJ207">
        <f>IF($C207="","",$C207&amp;"|"&amp;$D207&amp;"")</f>
        <v/>
      </c>
      <c r="AK207">
        <f>IF($C207="","",IF(COUNTIF($AJ$2:$AJ207,$AJ207)=1,1,0))</f>
        <v/>
      </c>
      <c r="AL207">
        <f>IF($AK207=1,SUMPRODUCT(--($AO$2:$AO$1501&lt;$AO207))+1,"")</f>
        <v/>
      </c>
      <c r="AM207">
        <f>IF($C207="","",IF(OR($Q207=TRUE(),$Q207="TRUE"),1,0))</f>
        <v/>
      </c>
      <c r="AN207">
        <f>IF($C207="","",IF($Z207="Yes",1,0))</f>
        <v/>
      </c>
      <c r="AO207">
        <f>IF($AK207=1,IFERROR(IF(VALUE($C207)&lt;100000000,VALUE($C207),1000000000),IFERROR(IF(VALUE(MID($C207,2,20))&lt;100000000,VALUE(MID($C207,2,20)),1000000000),1000000000))+ROW()/100000,"")</f>
        <v/>
      </c>
    </row>
    <row r="208">
      <c r="F208" s="11" t="n"/>
      <c r="N208" s="7">
        <f>IF($C208="","",M208*U208/100)</f>
        <v/>
      </c>
      <c r="T208" s="7" t="n"/>
      <c r="U208" s="7" t="n"/>
      <c r="V208" s="7">
        <f>IF($C208="","",U208*AA208/100)</f>
        <v/>
      </c>
      <c r="W208" s="7">
        <f>IF($C208="","",U208-V208)</f>
        <v/>
      </c>
      <c r="X208" s="7">
        <f>IF($C208="","",W208-N208)</f>
        <v/>
      </c>
      <c r="AA208">
        <f>IF($C208="","",IF($AN208=1,0,IF($AM208=1,Settings!$C$6,Settings!$C$7))*100)</f>
        <v/>
      </c>
      <c r="AE208" s="7" t="n"/>
      <c r="AH208" s="11" t="n"/>
      <c r="AJ208">
        <f>IF($C208="","",$C208&amp;"|"&amp;$D208&amp;"")</f>
        <v/>
      </c>
      <c r="AK208">
        <f>IF($C208="","",IF(COUNTIF($AJ$2:$AJ208,$AJ208)=1,1,0))</f>
        <v/>
      </c>
      <c r="AL208">
        <f>IF($AK208=1,SUMPRODUCT(--($AO$2:$AO$1501&lt;$AO208))+1,"")</f>
        <v/>
      </c>
      <c r="AM208">
        <f>IF($C208="","",IF(OR($Q208=TRUE(),$Q208="TRUE"),1,0))</f>
        <v/>
      </c>
      <c r="AN208">
        <f>IF($C208="","",IF($Z208="Yes",1,0))</f>
        <v/>
      </c>
      <c r="AO208">
        <f>IF($AK208=1,IFERROR(IF(VALUE($C208)&lt;100000000,VALUE($C208),1000000000),IFERROR(IF(VALUE(MID($C208,2,20))&lt;100000000,VALUE(MID($C208,2,20)),1000000000),1000000000))+ROW()/100000,"")</f>
        <v/>
      </c>
    </row>
    <row r="209">
      <c r="F209" s="11" t="n"/>
      <c r="N209" s="7">
        <f>IF($C209="","",M209*U209/100)</f>
        <v/>
      </c>
      <c r="T209" s="7" t="n"/>
      <c r="U209" s="7" t="n"/>
      <c r="V209" s="7">
        <f>IF($C209="","",U209*AA209/100)</f>
        <v/>
      </c>
      <c r="W209" s="7">
        <f>IF($C209="","",U209-V209)</f>
        <v/>
      </c>
      <c r="X209" s="7">
        <f>IF($C209="","",W209-N209)</f>
        <v/>
      </c>
      <c r="AA209">
        <f>IF($C209="","",IF($AN209=1,0,IF($AM209=1,Settings!$C$6,Settings!$C$7))*100)</f>
        <v/>
      </c>
      <c r="AE209" s="7" t="n"/>
      <c r="AH209" s="11" t="n"/>
      <c r="AJ209">
        <f>IF($C209="","",$C209&amp;"|"&amp;$D209&amp;"")</f>
        <v/>
      </c>
      <c r="AK209">
        <f>IF($C209="","",IF(COUNTIF($AJ$2:$AJ209,$AJ209)=1,1,0))</f>
        <v/>
      </c>
      <c r="AL209">
        <f>IF($AK209=1,SUMPRODUCT(--($AO$2:$AO$1501&lt;$AO209))+1,"")</f>
        <v/>
      </c>
      <c r="AM209">
        <f>IF($C209="","",IF(OR($Q209=TRUE(),$Q209="TRUE"),1,0))</f>
        <v/>
      </c>
      <c r="AN209">
        <f>IF($C209="","",IF($Z209="Yes",1,0))</f>
        <v/>
      </c>
      <c r="AO209">
        <f>IF($AK209=1,IFERROR(IF(VALUE($C209)&lt;100000000,VALUE($C209),1000000000),IFERROR(IF(VALUE(MID($C209,2,20))&lt;100000000,VALUE(MID($C209,2,20)),1000000000),1000000000))+ROW()/100000,"")</f>
        <v/>
      </c>
    </row>
    <row r="210">
      <c r="F210" s="11" t="n"/>
      <c r="N210" s="7">
        <f>IF($C210="","",M210*U210/100)</f>
        <v/>
      </c>
      <c r="T210" s="7" t="n"/>
      <c r="U210" s="7" t="n"/>
      <c r="V210" s="7">
        <f>IF($C210="","",U210*AA210/100)</f>
        <v/>
      </c>
      <c r="W210" s="7">
        <f>IF($C210="","",U210-V210)</f>
        <v/>
      </c>
      <c r="X210" s="7">
        <f>IF($C210="","",W210-N210)</f>
        <v/>
      </c>
      <c r="AA210">
        <f>IF($C210="","",IF($AN210=1,0,IF($AM210=1,Settings!$C$6,Settings!$C$7))*100)</f>
        <v/>
      </c>
      <c r="AE210" s="7" t="n"/>
      <c r="AH210" s="11" t="n"/>
      <c r="AJ210">
        <f>IF($C210="","",$C210&amp;"|"&amp;$D210&amp;"")</f>
        <v/>
      </c>
      <c r="AK210">
        <f>IF($C210="","",IF(COUNTIF($AJ$2:$AJ210,$AJ210)=1,1,0))</f>
        <v/>
      </c>
      <c r="AL210">
        <f>IF($AK210=1,SUMPRODUCT(--($AO$2:$AO$1501&lt;$AO210))+1,"")</f>
        <v/>
      </c>
      <c r="AM210">
        <f>IF($C210="","",IF(OR($Q210=TRUE(),$Q210="TRUE"),1,0))</f>
        <v/>
      </c>
      <c r="AN210">
        <f>IF($C210="","",IF($Z210="Yes",1,0))</f>
        <v/>
      </c>
      <c r="AO210">
        <f>IF($AK210=1,IFERROR(IF(VALUE($C210)&lt;100000000,VALUE($C210),1000000000),IFERROR(IF(VALUE(MID($C210,2,20))&lt;100000000,VALUE(MID($C210,2,20)),1000000000),1000000000))+ROW()/100000,"")</f>
        <v/>
      </c>
    </row>
    <row r="211">
      <c r="F211" s="11" t="n"/>
      <c r="N211" s="7">
        <f>IF($C211="","",M211*U211/100)</f>
        <v/>
      </c>
      <c r="T211" s="7" t="n"/>
      <c r="U211" s="7" t="n"/>
      <c r="V211" s="7">
        <f>IF($C211="","",U211*AA211/100)</f>
        <v/>
      </c>
      <c r="W211" s="7">
        <f>IF($C211="","",U211-V211)</f>
        <v/>
      </c>
      <c r="X211" s="7">
        <f>IF($C211="","",W211-N211)</f>
        <v/>
      </c>
      <c r="AA211">
        <f>IF($C211="","",IF($AN211=1,0,IF($AM211=1,Settings!$C$6,Settings!$C$7))*100)</f>
        <v/>
      </c>
      <c r="AE211" s="7" t="n"/>
      <c r="AH211" s="11" t="n"/>
      <c r="AJ211">
        <f>IF($C211="","",$C211&amp;"|"&amp;$D211&amp;"")</f>
        <v/>
      </c>
      <c r="AK211">
        <f>IF($C211="","",IF(COUNTIF($AJ$2:$AJ211,$AJ211)=1,1,0))</f>
        <v/>
      </c>
      <c r="AL211">
        <f>IF($AK211=1,SUMPRODUCT(--($AO$2:$AO$1501&lt;$AO211))+1,"")</f>
        <v/>
      </c>
      <c r="AM211">
        <f>IF($C211="","",IF(OR($Q211=TRUE(),$Q211="TRUE"),1,0))</f>
        <v/>
      </c>
      <c r="AN211">
        <f>IF($C211="","",IF($Z211="Yes",1,0))</f>
        <v/>
      </c>
      <c r="AO211">
        <f>IF($AK211=1,IFERROR(IF(VALUE($C211)&lt;100000000,VALUE($C211),1000000000),IFERROR(IF(VALUE(MID($C211,2,20))&lt;100000000,VALUE(MID($C211,2,20)),1000000000),1000000000))+ROW()/100000,"")</f>
        <v/>
      </c>
    </row>
    <row r="212">
      <c r="F212" s="11" t="n"/>
      <c r="N212" s="7">
        <f>IF($C212="","",M212*U212/100)</f>
        <v/>
      </c>
      <c r="T212" s="7" t="n"/>
      <c r="U212" s="7" t="n"/>
      <c r="V212" s="7">
        <f>IF($C212="","",U212*AA212/100)</f>
        <v/>
      </c>
      <c r="W212" s="7">
        <f>IF($C212="","",U212-V212)</f>
        <v/>
      </c>
      <c r="X212" s="7">
        <f>IF($C212="","",W212-N212)</f>
        <v/>
      </c>
      <c r="AA212">
        <f>IF($C212="","",IF($AN212=1,0,IF($AM212=1,Settings!$C$6,Settings!$C$7))*100)</f>
        <v/>
      </c>
      <c r="AE212" s="7" t="n"/>
      <c r="AH212" s="11" t="n"/>
      <c r="AJ212">
        <f>IF($C212="","",$C212&amp;"|"&amp;$D212&amp;"")</f>
        <v/>
      </c>
      <c r="AK212">
        <f>IF($C212="","",IF(COUNTIF($AJ$2:$AJ212,$AJ212)=1,1,0))</f>
        <v/>
      </c>
      <c r="AL212">
        <f>IF($AK212=1,SUMPRODUCT(--($AO$2:$AO$1501&lt;$AO212))+1,"")</f>
        <v/>
      </c>
      <c r="AM212">
        <f>IF($C212="","",IF(OR($Q212=TRUE(),$Q212="TRUE"),1,0))</f>
        <v/>
      </c>
      <c r="AN212">
        <f>IF($C212="","",IF($Z212="Yes",1,0))</f>
        <v/>
      </c>
      <c r="AO212">
        <f>IF($AK212=1,IFERROR(IF(VALUE($C212)&lt;100000000,VALUE($C212),1000000000),IFERROR(IF(VALUE(MID($C212,2,20))&lt;100000000,VALUE(MID($C212,2,20)),1000000000),1000000000))+ROW()/100000,"")</f>
        <v/>
      </c>
    </row>
    <row r="213">
      <c r="F213" s="11" t="n"/>
      <c r="N213" s="7">
        <f>IF($C213="","",M213*U213/100)</f>
        <v/>
      </c>
      <c r="T213" s="7" t="n"/>
      <c r="U213" s="7" t="n"/>
      <c r="V213" s="7">
        <f>IF($C213="","",U213*AA213/100)</f>
        <v/>
      </c>
      <c r="W213" s="7">
        <f>IF($C213="","",U213-V213)</f>
        <v/>
      </c>
      <c r="X213" s="7">
        <f>IF($C213="","",W213-N213)</f>
        <v/>
      </c>
      <c r="AA213">
        <f>IF($C213="","",IF($AN213=1,0,IF($AM213=1,Settings!$C$6,Settings!$C$7))*100)</f>
        <v/>
      </c>
      <c r="AE213" s="7" t="n"/>
      <c r="AH213" s="11" t="n"/>
      <c r="AJ213">
        <f>IF($C213="","",$C213&amp;"|"&amp;$D213&amp;"")</f>
        <v/>
      </c>
      <c r="AK213">
        <f>IF($C213="","",IF(COUNTIF($AJ$2:$AJ213,$AJ213)=1,1,0))</f>
        <v/>
      </c>
      <c r="AL213">
        <f>IF($AK213=1,SUMPRODUCT(--($AO$2:$AO$1501&lt;$AO213))+1,"")</f>
        <v/>
      </c>
      <c r="AM213">
        <f>IF($C213="","",IF(OR($Q213=TRUE(),$Q213="TRUE"),1,0))</f>
        <v/>
      </c>
      <c r="AN213">
        <f>IF($C213="","",IF($Z213="Yes",1,0))</f>
        <v/>
      </c>
      <c r="AO213">
        <f>IF($AK213=1,IFERROR(IF(VALUE($C213)&lt;100000000,VALUE($C213),1000000000),IFERROR(IF(VALUE(MID($C213,2,20))&lt;100000000,VALUE(MID($C213,2,20)),1000000000),1000000000))+ROW()/100000,"")</f>
        <v/>
      </c>
    </row>
    <row r="214">
      <c r="F214" s="11" t="n"/>
      <c r="N214" s="7">
        <f>IF($C214="","",M214*U214/100)</f>
        <v/>
      </c>
      <c r="T214" s="7" t="n"/>
      <c r="U214" s="7" t="n"/>
      <c r="V214" s="7">
        <f>IF($C214="","",U214*AA214/100)</f>
        <v/>
      </c>
      <c r="W214" s="7">
        <f>IF($C214="","",U214-V214)</f>
        <v/>
      </c>
      <c r="X214" s="7">
        <f>IF($C214="","",W214-N214)</f>
        <v/>
      </c>
      <c r="AA214">
        <f>IF($C214="","",IF($AN214=1,0,IF($AM214=1,Settings!$C$6,Settings!$C$7))*100)</f>
        <v/>
      </c>
      <c r="AE214" s="7" t="n"/>
      <c r="AH214" s="11" t="n"/>
      <c r="AJ214">
        <f>IF($C214="","",$C214&amp;"|"&amp;$D214&amp;"")</f>
        <v/>
      </c>
      <c r="AK214">
        <f>IF($C214="","",IF(COUNTIF($AJ$2:$AJ214,$AJ214)=1,1,0))</f>
        <v/>
      </c>
      <c r="AL214">
        <f>IF($AK214=1,SUMPRODUCT(--($AO$2:$AO$1501&lt;$AO214))+1,"")</f>
        <v/>
      </c>
      <c r="AM214">
        <f>IF($C214="","",IF(OR($Q214=TRUE(),$Q214="TRUE"),1,0))</f>
        <v/>
      </c>
      <c r="AN214">
        <f>IF($C214="","",IF($Z214="Yes",1,0))</f>
        <v/>
      </c>
      <c r="AO214">
        <f>IF($AK214=1,IFERROR(IF(VALUE($C214)&lt;100000000,VALUE($C214),1000000000),IFERROR(IF(VALUE(MID($C214,2,20))&lt;100000000,VALUE(MID($C214,2,20)),1000000000),1000000000))+ROW()/100000,"")</f>
        <v/>
      </c>
    </row>
    <row r="215">
      <c r="F215" s="11" t="n"/>
      <c r="N215" s="7">
        <f>IF($C215="","",M215*U215/100)</f>
        <v/>
      </c>
      <c r="T215" s="7" t="n"/>
      <c r="U215" s="7" t="n"/>
      <c r="V215" s="7">
        <f>IF($C215="","",U215*AA215/100)</f>
        <v/>
      </c>
      <c r="W215" s="7">
        <f>IF($C215="","",U215-V215)</f>
        <v/>
      </c>
      <c r="X215" s="7">
        <f>IF($C215="","",W215-N215)</f>
        <v/>
      </c>
      <c r="AA215">
        <f>IF($C215="","",IF($AN215=1,0,IF($AM215=1,Settings!$C$6,Settings!$C$7))*100)</f>
        <v/>
      </c>
      <c r="AE215" s="7" t="n"/>
      <c r="AH215" s="11" t="n"/>
      <c r="AJ215">
        <f>IF($C215="","",$C215&amp;"|"&amp;$D215&amp;"")</f>
        <v/>
      </c>
      <c r="AK215">
        <f>IF($C215="","",IF(COUNTIF($AJ$2:$AJ215,$AJ215)=1,1,0))</f>
        <v/>
      </c>
      <c r="AL215">
        <f>IF($AK215=1,SUMPRODUCT(--($AO$2:$AO$1501&lt;$AO215))+1,"")</f>
        <v/>
      </c>
      <c r="AM215">
        <f>IF($C215="","",IF(OR($Q215=TRUE(),$Q215="TRUE"),1,0))</f>
        <v/>
      </c>
      <c r="AN215">
        <f>IF($C215="","",IF($Z215="Yes",1,0))</f>
        <v/>
      </c>
      <c r="AO215">
        <f>IF($AK215=1,IFERROR(IF(VALUE($C215)&lt;100000000,VALUE($C215),1000000000),IFERROR(IF(VALUE(MID($C215,2,20))&lt;100000000,VALUE(MID($C215,2,20)),1000000000),1000000000))+ROW()/100000,"")</f>
        <v/>
      </c>
    </row>
    <row r="216">
      <c r="F216" s="11" t="n"/>
      <c r="N216" s="7">
        <f>IF($C216="","",M216*U216/100)</f>
        <v/>
      </c>
      <c r="T216" s="7" t="n"/>
      <c r="U216" s="7" t="n"/>
      <c r="V216" s="7">
        <f>IF($C216="","",U216*AA216/100)</f>
        <v/>
      </c>
      <c r="W216" s="7">
        <f>IF($C216="","",U216-V216)</f>
        <v/>
      </c>
      <c r="X216" s="7">
        <f>IF($C216="","",W216-N216)</f>
        <v/>
      </c>
      <c r="AA216">
        <f>IF($C216="","",IF($AN216=1,0,IF($AM216=1,Settings!$C$6,Settings!$C$7))*100)</f>
        <v/>
      </c>
      <c r="AE216" s="7" t="n"/>
      <c r="AH216" s="11" t="n"/>
      <c r="AJ216">
        <f>IF($C216="","",$C216&amp;"|"&amp;$D216&amp;"")</f>
        <v/>
      </c>
      <c r="AK216">
        <f>IF($C216="","",IF(COUNTIF($AJ$2:$AJ216,$AJ216)=1,1,0))</f>
        <v/>
      </c>
      <c r="AL216">
        <f>IF($AK216=1,SUMPRODUCT(--($AO$2:$AO$1501&lt;$AO216))+1,"")</f>
        <v/>
      </c>
      <c r="AM216">
        <f>IF($C216="","",IF(OR($Q216=TRUE(),$Q216="TRUE"),1,0))</f>
        <v/>
      </c>
      <c r="AN216">
        <f>IF($C216="","",IF($Z216="Yes",1,0))</f>
        <v/>
      </c>
      <c r="AO216">
        <f>IF($AK216=1,IFERROR(IF(VALUE($C216)&lt;100000000,VALUE($C216),1000000000),IFERROR(IF(VALUE(MID($C216,2,20))&lt;100000000,VALUE(MID($C216,2,20)),1000000000),1000000000))+ROW()/100000,"")</f>
        <v/>
      </c>
    </row>
    <row r="217">
      <c r="F217" s="11" t="n"/>
      <c r="N217" s="7">
        <f>IF($C217="","",M217*U217/100)</f>
        <v/>
      </c>
      <c r="T217" s="7" t="n"/>
      <c r="U217" s="7" t="n"/>
      <c r="V217" s="7">
        <f>IF($C217="","",U217*AA217/100)</f>
        <v/>
      </c>
      <c r="W217" s="7">
        <f>IF($C217="","",U217-V217)</f>
        <v/>
      </c>
      <c r="X217" s="7">
        <f>IF($C217="","",W217-N217)</f>
        <v/>
      </c>
      <c r="AA217">
        <f>IF($C217="","",IF($AN217=1,0,IF($AM217=1,Settings!$C$6,Settings!$C$7))*100)</f>
        <v/>
      </c>
      <c r="AE217" s="7" t="n"/>
      <c r="AH217" s="11" t="n"/>
      <c r="AJ217">
        <f>IF($C217="","",$C217&amp;"|"&amp;$D217&amp;"")</f>
        <v/>
      </c>
      <c r="AK217">
        <f>IF($C217="","",IF(COUNTIF($AJ$2:$AJ217,$AJ217)=1,1,0))</f>
        <v/>
      </c>
      <c r="AL217">
        <f>IF($AK217=1,SUMPRODUCT(--($AO$2:$AO$1501&lt;$AO217))+1,"")</f>
        <v/>
      </c>
      <c r="AM217">
        <f>IF($C217="","",IF(OR($Q217=TRUE(),$Q217="TRUE"),1,0))</f>
        <v/>
      </c>
      <c r="AN217">
        <f>IF($C217="","",IF($Z217="Yes",1,0))</f>
        <v/>
      </c>
      <c r="AO217">
        <f>IF($AK217=1,IFERROR(IF(VALUE($C217)&lt;100000000,VALUE($C217),1000000000),IFERROR(IF(VALUE(MID($C217,2,20))&lt;100000000,VALUE(MID($C217,2,20)),1000000000),1000000000))+ROW()/100000,"")</f>
        <v/>
      </c>
    </row>
    <row r="218">
      <c r="F218" s="11" t="n"/>
      <c r="N218" s="7">
        <f>IF($C218="","",M218*U218/100)</f>
        <v/>
      </c>
      <c r="T218" s="7" t="n"/>
      <c r="U218" s="7" t="n"/>
      <c r="V218" s="7">
        <f>IF($C218="","",U218*AA218/100)</f>
        <v/>
      </c>
      <c r="W218" s="7">
        <f>IF($C218="","",U218-V218)</f>
        <v/>
      </c>
      <c r="X218" s="7">
        <f>IF($C218="","",W218-N218)</f>
        <v/>
      </c>
      <c r="AA218">
        <f>IF($C218="","",IF($AN218=1,0,IF($AM218=1,Settings!$C$6,Settings!$C$7))*100)</f>
        <v/>
      </c>
      <c r="AE218" s="7" t="n"/>
      <c r="AH218" s="11" t="n"/>
      <c r="AJ218">
        <f>IF($C218="","",$C218&amp;"|"&amp;$D218&amp;"")</f>
        <v/>
      </c>
      <c r="AK218">
        <f>IF($C218="","",IF(COUNTIF($AJ$2:$AJ218,$AJ218)=1,1,0))</f>
        <v/>
      </c>
      <c r="AL218">
        <f>IF($AK218=1,SUMPRODUCT(--($AO$2:$AO$1501&lt;$AO218))+1,"")</f>
        <v/>
      </c>
      <c r="AM218">
        <f>IF($C218="","",IF(OR($Q218=TRUE(),$Q218="TRUE"),1,0))</f>
        <v/>
      </c>
      <c r="AN218">
        <f>IF($C218="","",IF($Z218="Yes",1,0))</f>
        <v/>
      </c>
      <c r="AO218">
        <f>IF($AK218=1,IFERROR(IF(VALUE($C218)&lt;100000000,VALUE($C218),1000000000),IFERROR(IF(VALUE(MID($C218,2,20))&lt;100000000,VALUE(MID($C218,2,20)),1000000000),1000000000))+ROW()/100000,"")</f>
        <v/>
      </c>
    </row>
    <row r="219">
      <c r="F219" s="11" t="n"/>
      <c r="N219" s="7">
        <f>IF($C219="","",M219*U219/100)</f>
        <v/>
      </c>
      <c r="T219" s="7" t="n"/>
      <c r="U219" s="7" t="n"/>
      <c r="V219" s="7">
        <f>IF($C219="","",U219*AA219/100)</f>
        <v/>
      </c>
      <c r="W219" s="7">
        <f>IF($C219="","",U219-V219)</f>
        <v/>
      </c>
      <c r="X219" s="7">
        <f>IF($C219="","",W219-N219)</f>
        <v/>
      </c>
      <c r="AA219">
        <f>IF($C219="","",IF($AN219=1,0,IF($AM219=1,Settings!$C$6,Settings!$C$7))*100)</f>
        <v/>
      </c>
      <c r="AE219" s="7" t="n"/>
      <c r="AH219" s="11" t="n"/>
      <c r="AJ219">
        <f>IF($C219="","",$C219&amp;"|"&amp;$D219&amp;"")</f>
        <v/>
      </c>
      <c r="AK219">
        <f>IF($C219="","",IF(COUNTIF($AJ$2:$AJ219,$AJ219)=1,1,0))</f>
        <v/>
      </c>
      <c r="AL219">
        <f>IF($AK219=1,SUMPRODUCT(--($AO$2:$AO$1501&lt;$AO219))+1,"")</f>
        <v/>
      </c>
      <c r="AM219">
        <f>IF($C219="","",IF(OR($Q219=TRUE(),$Q219="TRUE"),1,0))</f>
        <v/>
      </c>
      <c r="AN219">
        <f>IF($C219="","",IF($Z219="Yes",1,0))</f>
        <v/>
      </c>
      <c r="AO219">
        <f>IF($AK219=1,IFERROR(IF(VALUE($C219)&lt;100000000,VALUE($C219),1000000000),IFERROR(IF(VALUE(MID($C219,2,20))&lt;100000000,VALUE(MID($C219,2,20)),1000000000),1000000000))+ROW()/100000,"")</f>
        <v/>
      </c>
    </row>
    <row r="220">
      <c r="F220" s="11" t="n"/>
      <c r="N220" s="7">
        <f>IF($C220="","",M220*U220/100)</f>
        <v/>
      </c>
      <c r="T220" s="7" t="n"/>
      <c r="U220" s="7" t="n"/>
      <c r="V220" s="7">
        <f>IF($C220="","",U220*AA220/100)</f>
        <v/>
      </c>
      <c r="W220" s="7">
        <f>IF($C220="","",U220-V220)</f>
        <v/>
      </c>
      <c r="X220" s="7">
        <f>IF($C220="","",W220-N220)</f>
        <v/>
      </c>
      <c r="AA220">
        <f>IF($C220="","",IF($AN220=1,0,IF($AM220=1,Settings!$C$6,Settings!$C$7))*100)</f>
        <v/>
      </c>
      <c r="AE220" s="7" t="n"/>
      <c r="AH220" s="11" t="n"/>
      <c r="AJ220">
        <f>IF($C220="","",$C220&amp;"|"&amp;$D220&amp;"")</f>
        <v/>
      </c>
      <c r="AK220">
        <f>IF($C220="","",IF(COUNTIF($AJ$2:$AJ220,$AJ220)=1,1,0))</f>
        <v/>
      </c>
      <c r="AL220">
        <f>IF($AK220=1,SUMPRODUCT(--($AO$2:$AO$1501&lt;$AO220))+1,"")</f>
        <v/>
      </c>
      <c r="AM220">
        <f>IF($C220="","",IF(OR($Q220=TRUE(),$Q220="TRUE"),1,0))</f>
        <v/>
      </c>
      <c r="AN220">
        <f>IF($C220="","",IF($Z220="Yes",1,0))</f>
        <v/>
      </c>
      <c r="AO220">
        <f>IF($AK220=1,IFERROR(IF(VALUE($C220)&lt;100000000,VALUE($C220),1000000000),IFERROR(IF(VALUE(MID($C220,2,20))&lt;100000000,VALUE(MID($C220,2,20)),1000000000),1000000000))+ROW()/100000,"")</f>
        <v/>
      </c>
    </row>
    <row r="221">
      <c r="F221" s="11" t="n"/>
      <c r="N221" s="7">
        <f>IF($C221="","",M221*U221/100)</f>
        <v/>
      </c>
      <c r="T221" s="7" t="n"/>
      <c r="U221" s="7" t="n"/>
      <c r="V221" s="7">
        <f>IF($C221="","",U221*AA221/100)</f>
        <v/>
      </c>
      <c r="W221" s="7">
        <f>IF($C221="","",U221-V221)</f>
        <v/>
      </c>
      <c r="X221" s="7">
        <f>IF($C221="","",W221-N221)</f>
        <v/>
      </c>
      <c r="AA221">
        <f>IF($C221="","",IF($AN221=1,0,IF($AM221=1,Settings!$C$6,Settings!$C$7))*100)</f>
        <v/>
      </c>
      <c r="AE221" s="7" t="n"/>
      <c r="AH221" s="11" t="n"/>
      <c r="AJ221">
        <f>IF($C221="","",$C221&amp;"|"&amp;$D221&amp;"")</f>
        <v/>
      </c>
      <c r="AK221">
        <f>IF($C221="","",IF(COUNTIF($AJ$2:$AJ221,$AJ221)=1,1,0))</f>
        <v/>
      </c>
      <c r="AL221">
        <f>IF($AK221=1,SUMPRODUCT(--($AO$2:$AO$1501&lt;$AO221))+1,"")</f>
        <v/>
      </c>
      <c r="AM221">
        <f>IF($C221="","",IF(OR($Q221=TRUE(),$Q221="TRUE"),1,0))</f>
        <v/>
      </c>
      <c r="AN221">
        <f>IF($C221="","",IF($Z221="Yes",1,0))</f>
        <v/>
      </c>
      <c r="AO221">
        <f>IF($AK221=1,IFERROR(IF(VALUE($C221)&lt;100000000,VALUE($C221),1000000000),IFERROR(IF(VALUE(MID($C221,2,20))&lt;100000000,VALUE(MID($C221,2,20)),1000000000),1000000000))+ROW()/100000,"")</f>
        <v/>
      </c>
    </row>
    <row r="222">
      <c r="F222" s="11" t="n"/>
      <c r="N222" s="7">
        <f>IF($C222="","",M222*U222/100)</f>
        <v/>
      </c>
      <c r="T222" s="7" t="n"/>
      <c r="U222" s="7" t="n"/>
      <c r="V222" s="7">
        <f>IF($C222="","",U222*AA222/100)</f>
        <v/>
      </c>
      <c r="W222" s="7">
        <f>IF($C222="","",U222-V222)</f>
        <v/>
      </c>
      <c r="X222" s="7">
        <f>IF($C222="","",W222-N222)</f>
        <v/>
      </c>
      <c r="AA222">
        <f>IF($C222="","",IF($AN222=1,0,IF($AM222=1,Settings!$C$6,Settings!$C$7))*100)</f>
        <v/>
      </c>
      <c r="AE222" s="7" t="n"/>
      <c r="AH222" s="11" t="n"/>
      <c r="AJ222">
        <f>IF($C222="","",$C222&amp;"|"&amp;$D222&amp;"")</f>
        <v/>
      </c>
      <c r="AK222">
        <f>IF($C222="","",IF(COUNTIF($AJ$2:$AJ222,$AJ222)=1,1,0))</f>
        <v/>
      </c>
      <c r="AL222">
        <f>IF($AK222=1,SUMPRODUCT(--($AO$2:$AO$1501&lt;$AO222))+1,"")</f>
        <v/>
      </c>
      <c r="AM222">
        <f>IF($C222="","",IF(OR($Q222=TRUE(),$Q222="TRUE"),1,0))</f>
        <v/>
      </c>
      <c r="AN222">
        <f>IF($C222="","",IF($Z222="Yes",1,0))</f>
        <v/>
      </c>
      <c r="AO222">
        <f>IF($AK222=1,IFERROR(IF(VALUE($C222)&lt;100000000,VALUE($C222),1000000000),IFERROR(IF(VALUE(MID($C222,2,20))&lt;100000000,VALUE(MID($C222,2,20)),1000000000),1000000000))+ROW()/100000,"")</f>
        <v/>
      </c>
    </row>
    <row r="223">
      <c r="F223" s="11" t="n"/>
      <c r="N223" s="7">
        <f>IF($C223="","",M223*U223/100)</f>
        <v/>
      </c>
      <c r="T223" s="7" t="n"/>
      <c r="U223" s="7" t="n"/>
      <c r="V223" s="7">
        <f>IF($C223="","",U223*AA223/100)</f>
        <v/>
      </c>
      <c r="W223" s="7">
        <f>IF($C223="","",U223-V223)</f>
        <v/>
      </c>
      <c r="X223" s="7">
        <f>IF($C223="","",W223-N223)</f>
        <v/>
      </c>
      <c r="AA223">
        <f>IF($C223="","",IF($AN223=1,0,IF($AM223=1,Settings!$C$6,Settings!$C$7))*100)</f>
        <v/>
      </c>
      <c r="AE223" s="7" t="n"/>
      <c r="AH223" s="11" t="n"/>
      <c r="AJ223">
        <f>IF($C223="","",$C223&amp;"|"&amp;$D223&amp;"")</f>
        <v/>
      </c>
      <c r="AK223">
        <f>IF($C223="","",IF(COUNTIF($AJ$2:$AJ223,$AJ223)=1,1,0))</f>
        <v/>
      </c>
      <c r="AL223">
        <f>IF($AK223=1,SUMPRODUCT(--($AO$2:$AO$1501&lt;$AO223))+1,"")</f>
        <v/>
      </c>
      <c r="AM223">
        <f>IF($C223="","",IF(OR($Q223=TRUE(),$Q223="TRUE"),1,0))</f>
        <v/>
      </c>
      <c r="AN223">
        <f>IF($C223="","",IF($Z223="Yes",1,0))</f>
        <v/>
      </c>
      <c r="AO223">
        <f>IF($AK223=1,IFERROR(IF(VALUE($C223)&lt;100000000,VALUE($C223),1000000000),IFERROR(IF(VALUE(MID($C223,2,20))&lt;100000000,VALUE(MID($C223,2,20)),1000000000),1000000000))+ROW()/100000,"")</f>
        <v/>
      </c>
    </row>
    <row r="224">
      <c r="F224" s="11" t="n"/>
      <c r="N224" s="7">
        <f>IF($C224="","",M224*U224/100)</f>
        <v/>
      </c>
      <c r="T224" s="7" t="n"/>
      <c r="U224" s="7" t="n"/>
      <c r="V224" s="7">
        <f>IF($C224="","",U224*AA224/100)</f>
        <v/>
      </c>
      <c r="W224" s="7">
        <f>IF($C224="","",U224-V224)</f>
        <v/>
      </c>
      <c r="X224" s="7">
        <f>IF($C224="","",W224-N224)</f>
        <v/>
      </c>
      <c r="AA224">
        <f>IF($C224="","",IF($AN224=1,0,IF($AM224=1,Settings!$C$6,Settings!$C$7))*100)</f>
        <v/>
      </c>
      <c r="AE224" s="7" t="n"/>
      <c r="AH224" s="11" t="n"/>
      <c r="AJ224">
        <f>IF($C224="","",$C224&amp;"|"&amp;$D224&amp;"")</f>
        <v/>
      </c>
      <c r="AK224">
        <f>IF($C224="","",IF(COUNTIF($AJ$2:$AJ224,$AJ224)=1,1,0))</f>
        <v/>
      </c>
      <c r="AL224">
        <f>IF($AK224=1,SUMPRODUCT(--($AO$2:$AO$1501&lt;$AO224))+1,"")</f>
        <v/>
      </c>
      <c r="AM224">
        <f>IF($C224="","",IF(OR($Q224=TRUE(),$Q224="TRUE"),1,0))</f>
        <v/>
      </c>
      <c r="AN224">
        <f>IF($C224="","",IF($Z224="Yes",1,0))</f>
        <v/>
      </c>
      <c r="AO224">
        <f>IF($AK224=1,IFERROR(IF(VALUE($C224)&lt;100000000,VALUE($C224),1000000000),IFERROR(IF(VALUE(MID($C224,2,20))&lt;100000000,VALUE(MID($C224,2,20)),1000000000),1000000000))+ROW()/100000,"")</f>
        <v/>
      </c>
    </row>
    <row r="225">
      <c r="F225" s="11" t="n"/>
      <c r="N225" s="7">
        <f>IF($C225="","",M225*U225/100)</f>
        <v/>
      </c>
      <c r="T225" s="7" t="n"/>
      <c r="U225" s="7" t="n"/>
      <c r="V225" s="7">
        <f>IF($C225="","",U225*AA225/100)</f>
        <v/>
      </c>
      <c r="W225" s="7">
        <f>IF($C225="","",U225-V225)</f>
        <v/>
      </c>
      <c r="X225" s="7">
        <f>IF($C225="","",W225-N225)</f>
        <v/>
      </c>
      <c r="AA225">
        <f>IF($C225="","",IF($AN225=1,0,IF($AM225=1,Settings!$C$6,Settings!$C$7))*100)</f>
        <v/>
      </c>
      <c r="AE225" s="7" t="n"/>
      <c r="AH225" s="11" t="n"/>
      <c r="AJ225">
        <f>IF($C225="","",$C225&amp;"|"&amp;$D225&amp;"")</f>
        <v/>
      </c>
      <c r="AK225">
        <f>IF($C225="","",IF(COUNTIF($AJ$2:$AJ225,$AJ225)=1,1,0))</f>
        <v/>
      </c>
      <c r="AL225">
        <f>IF($AK225=1,SUMPRODUCT(--($AO$2:$AO$1501&lt;$AO225))+1,"")</f>
        <v/>
      </c>
      <c r="AM225">
        <f>IF($C225="","",IF(OR($Q225=TRUE(),$Q225="TRUE"),1,0))</f>
        <v/>
      </c>
      <c r="AN225">
        <f>IF($C225="","",IF($Z225="Yes",1,0))</f>
        <v/>
      </c>
      <c r="AO225">
        <f>IF($AK225=1,IFERROR(IF(VALUE($C225)&lt;100000000,VALUE($C225),1000000000),IFERROR(IF(VALUE(MID($C225,2,20))&lt;100000000,VALUE(MID($C225,2,20)),1000000000),1000000000))+ROW()/100000,"")</f>
        <v/>
      </c>
    </row>
    <row r="226">
      <c r="F226" s="11" t="n"/>
      <c r="N226" s="7">
        <f>IF($C226="","",M226*U226/100)</f>
        <v/>
      </c>
      <c r="T226" s="7" t="n"/>
      <c r="U226" s="7" t="n"/>
      <c r="V226" s="7">
        <f>IF($C226="","",U226*AA226/100)</f>
        <v/>
      </c>
      <c r="W226" s="7">
        <f>IF($C226="","",U226-V226)</f>
        <v/>
      </c>
      <c r="X226" s="7">
        <f>IF($C226="","",W226-N226)</f>
        <v/>
      </c>
      <c r="AA226">
        <f>IF($C226="","",IF($AN226=1,0,IF($AM226=1,Settings!$C$6,Settings!$C$7))*100)</f>
        <v/>
      </c>
      <c r="AE226" s="7" t="n"/>
      <c r="AH226" s="11" t="n"/>
      <c r="AJ226">
        <f>IF($C226="","",$C226&amp;"|"&amp;$D226&amp;"")</f>
        <v/>
      </c>
      <c r="AK226">
        <f>IF($C226="","",IF(COUNTIF($AJ$2:$AJ226,$AJ226)=1,1,0))</f>
        <v/>
      </c>
      <c r="AL226">
        <f>IF($AK226=1,SUMPRODUCT(--($AO$2:$AO$1501&lt;$AO226))+1,"")</f>
        <v/>
      </c>
      <c r="AM226">
        <f>IF($C226="","",IF(OR($Q226=TRUE(),$Q226="TRUE"),1,0))</f>
        <v/>
      </c>
      <c r="AN226">
        <f>IF($C226="","",IF($Z226="Yes",1,0))</f>
        <v/>
      </c>
      <c r="AO226">
        <f>IF($AK226=1,IFERROR(IF(VALUE($C226)&lt;100000000,VALUE($C226),1000000000),IFERROR(IF(VALUE(MID($C226,2,20))&lt;100000000,VALUE(MID($C226,2,20)),1000000000),1000000000))+ROW()/100000,"")</f>
        <v/>
      </c>
    </row>
    <row r="227">
      <c r="F227" s="11" t="n"/>
      <c r="N227" s="7">
        <f>IF($C227="","",M227*U227/100)</f>
        <v/>
      </c>
      <c r="T227" s="7" t="n"/>
      <c r="U227" s="7" t="n"/>
      <c r="V227" s="7">
        <f>IF($C227="","",U227*AA227/100)</f>
        <v/>
      </c>
      <c r="W227" s="7">
        <f>IF($C227="","",U227-V227)</f>
        <v/>
      </c>
      <c r="X227" s="7">
        <f>IF($C227="","",W227-N227)</f>
        <v/>
      </c>
      <c r="AA227">
        <f>IF($C227="","",IF($AN227=1,0,IF($AM227=1,Settings!$C$6,Settings!$C$7))*100)</f>
        <v/>
      </c>
      <c r="AE227" s="7" t="n"/>
      <c r="AH227" s="11" t="n"/>
      <c r="AJ227">
        <f>IF($C227="","",$C227&amp;"|"&amp;$D227&amp;"")</f>
        <v/>
      </c>
      <c r="AK227">
        <f>IF($C227="","",IF(COUNTIF($AJ$2:$AJ227,$AJ227)=1,1,0))</f>
        <v/>
      </c>
      <c r="AL227">
        <f>IF($AK227=1,SUMPRODUCT(--($AO$2:$AO$1501&lt;$AO227))+1,"")</f>
        <v/>
      </c>
      <c r="AM227">
        <f>IF($C227="","",IF(OR($Q227=TRUE(),$Q227="TRUE"),1,0))</f>
        <v/>
      </c>
      <c r="AN227">
        <f>IF($C227="","",IF($Z227="Yes",1,0))</f>
        <v/>
      </c>
      <c r="AO227">
        <f>IF($AK227=1,IFERROR(IF(VALUE($C227)&lt;100000000,VALUE($C227),1000000000),IFERROR(IF(VALUE(MID($C227,2,20))&lt;100000000,VALUE(MID($C227,2,20)),1000000000),1000000000))+ROW()/100000,"")</f>
        <v/>
      </c>
    </row>
    <row r="228">
      <c r="F228" s="11" t="n"/>
      <c r="N228" s="7">
        <f>IF($C228="","",M228*U228/100)</f>
        <v/>
      </c>
      <c r="T228" s="7" t="n"/>
      <c r="U228" s="7" t="n"/>
      <c r="V228" s="7">
        <f>IF($C228="","",U228*AA228/100)</f>
        <v/>
      </c>
      <c r="W228" s="7">
        <f>IF($C228="","",U228-V228)</f>
        <v/>
      </c>
      <c r="X228" s="7">
        <f>IF($C228="","",W228-N228)</f>
        <v/>
      </c>
      <c r="AA228">
        <f>IF($C228="","",IF($AN228=1,0,IF($AM228=1,Settings!$C$6,Settings!$C$7))*100)</f>
        <v/>
      </c>
      <c r="AE228" s="7" t="n"/>
      <c r="AH228" s="11" t="n"/>
      <c r="AJ228">
        <f>IF($C228="","",$C228&amp;"|"&amp;$D228&amp;"")</f>
        <v/>
      </c>
      <c r="AK228">
        <f>IF($C228="","",IF(COUNTIF($AJ$2:$AJ228,$AJ228)=1,1,0))</f>
        <v/>
      </c>
      <c r="AL228">
        <f>IF($AK228=1,SUMPRODUCT(--($AO$2:$AO$1501&lt;$AO228))+1,"")</f>
        <v/>
      </c>
      <c r="AM228">
        <f>IF($C228="","",IF(OR($Q228=TRUE(),$Q228="TRUE"),1,0))</f>
        <v/>
      </c>
      <c r="AN228">
        <f>IF($C228="","",IF($Z228="Yes",1,0))</f>
        <v/>
      </c>
      <c r="AO228">
        <f>IF($AK228=1,IFERROR(IF(VALUE($C228)&lt;100000000,VALUE($C228),1000000000),IFERROR(IF(VALUE(MID($C228,2,20))&lt;100000000,VALUE(MID($C228,2,20)),1000000000),1000000000))+ROW()/100000,"")</f>
        <v/>
      </c>
    </row>
    <row r="229">
      <c r="F229" s="11" t="n"/>
      <c r="N229" s="7">
        <f>IF($C229="","",M229*U229/100)</f>
        <v/>
      </c>
      <c r="T229" s="7" t="n"/>
      <c r="U229" s="7" t="n"/>
      <c r="V229" s="7">
        <f>IF($C229="","",U229*AA229/100)</f>
        <v/>
      </c>
      <c r="W229" s="7">
        <f>IF($C229="","",U229-V229)</f>
        <v/>
      </c>
      <c r="X229" s="7">
        <f>IF($C229="","",W229-N229)</f>
        <v/>
      </c>
      <c r="AA229">
        <f>IF($C229="","",IF($AN229=1,0,IF($AM229=1,Settings!$C$6,Settings!$C$7))*100)</f>
        <v/>
      </c>
      <c r="AE229" s="7" t="n"/>
      <c r="AH229" s="11" t="n"/>
      <c r="AJ229">
        <f>IF($C229="","",$C229&amp;"|"&amp;$D229&amp;"")</f>
        <v/>
      </c>
      <c r="AK229">
        <f>IF($C229="","",IF(COUNTIF($AJ$2:$AJ229,$AJ229)=1,1,0))</f>
        <v/>
      </c>
      <c r="AL229">
        <f>IF($AK229=1,SUMPRODUCT(--($AO$2:$AO$1501&lt;$AO229))+1,"")</f>
        <v/>
      </c>
      <c r="AM229">
        <f>IF($C229="","",IF(OR($Q229=TRUE(),$Q229="TRUE"),1,0))</f>
        <v/>
      </c>
      <c r="AN229">
        <f>IF($C229="","",IF($Z229="Yes",1,0))</f>
        <v/>
      </c>
      <c r="AO229">
        <f>IF($AK229=1,IFERROR(IF(VALUE($C229)&lt;100000000,VALUE($C229),1000000000),IFERROR(IF(VALUE(MID($C229,2,20))&lt;100000000,VALUE(MID($C229,2,20)),1000000000),1000000000))+ROW()/100000,"")</f>
        <v/>
      </c>
    </row>
    <row r="230">
      <c r="F230" s="11" t="n"/>
      <c r="N230" s="7">
        <f>IF($C230="","",M230*U230/100)</f>
        <v/>
      </c>
      <c r="T230" s="7" t="n"/>
      <c r="U230" s="7" t="n"/>
      <c r="V230" s="7">
        <f>IF($C230="","",U230*AA230/100)</f>
        <v/>
      </c>
      <c r="W230" s="7">
        <f>IF($C230="","",U230-V230)</f>
        <v/>
      </c>
      <c r="X230" s="7">
        <f>IF($C230="","",W230-N230)</f>
        <v/>
      </c>
      <c r="AA230">
        <f>IF($C230="","",IF($AN230=1,0,IF($AM230=1,Settings!$C$6,Settings!$C$7))*100)</f>
        <v/>
      </c>
      <c r="AE230" s="7" t="n"/>
      <c r="AH230" s="11" t="n"/>
      <c r="AJ230">
        <f>IF($C230="","",$C230&amp;"|"&amp;$D230&amp;"")</f>
        <v/>
      </c>
      <c r="AK230">
        <f>IF($C230="","",IF(COUNTIF($AJ$2:$AJ230,$AJ230)=1,1,0))</f>
        <v/>
      </c>
      <c r="AL230">
        <f>IF($AK230=1,SUMPRODUCT(--($AO$2:$AO$1501&lt;$AO230))+1,"")</f>
        <v/>
      </c>
      <c r="AM230">
        <f>IF($C230="","",IF(OR($Q230=TRUE(),$Q230="TRUE"),1,0))</f>
        <v/>
      </c>
      <c r="AN230">
        <f>IF($C230="","",IF($Z230="Yes",1,0))</f>
        <v/>
      </c>
      <c r="AO230">
        <f>IF($AK230=1,IFERROR(IF(VALUE($C230)&lt;100000000,VALUE($C230),1000000000),IFERROR(IF(VALUE(MID($C230,2,20))&lt;100000000,VALUE(MID($C230,2,20)),1000000000),1000000000))+ROW()/100000,"")</f>
        <v/>
      </c>
    </row>
    <row r="231">
      <c r="F231" s="11" t="n"/>
      <c r="N231" s="7">
        <f>IF($C231="","",M231*U231/100)</f>
        <v/>
      </c>
      <c r="T231" s="7" t="n"/>
      <c r="U231" s="7" t="n"/>
      <c r="V231" s="7">
        <f>IF($C231="","",U231*AA231/100)</f>
        <v/>
      </c>
      <c r="W231" s="7">
        <f>IF($C231="","",U231-V231)</f>
        <v/>
      </c>
      <c r="X231" s="7">
        <f>IF($C231="","",W231-N231)</f>
        <v/>
      </c>
      <c r="AA231">
        <f>IF($C231="","",IF($AN231=1,0,IF($AM231=1,Settings!$C$6,Settings!$C$7))*100)</f>
        <v/>
      </c>
      <c r="AE231" s="7" t="n"/>
      <c r="AH231" s="11" t="n"/>
      <c r="AJ231">
        <f>IF($C231="","",$C231&amp;"|"&amp;$D231&amp;"")</f>
        <v/>
      </c>
      <c r="AK231">
        <f>IF($C231="","",IF(COUNTIF($AJ$2:$AJ231,$AJ231)=1,1,0))</f>
        <v/>
      </c>
      <c r="AL231">
        <f>IF($AK231=1,SUMPRODUCT(--($AO$2:$AO$1501&lt;$AO231))+1,"")</f>
        <v/>
      </c>
      <c r="AM231">
        <f>IF($C231="","",IF(OR($Q231=TRUE(),$Q231="TRUE"),1,0))</f>
        <v/>
      </c>
      <c r="AN231">
        <f>IF($C231="","",IF($Z231="Yes",1,0))</f>
        <v/>
      </c>
      <c r="AO231">
        <f>IF($AK231=1,IFERROR(IF(VALUE($C231)&lt;100000000,VALUE($C231),1000000000),IFERROR(IF(VALUE(MID($C231,2,20))&lt;100000000,VALUE(MID($C231,2,20)),1000000000),1000000000))+ROW()/100000,"")</f>
        <v/>
      </c>
    </row>
    <row r="232">
      <c r="F232" s="11" t="n"/>
      <c r="N232" s="7">
        <f>IF($C232="","",M232*U232/100)</f>
        <v/>
      </c>
      <c r="T232" s="7" t="n"/>
      <c r="U232" s="7" t="n"/>
      <c r="V232" s="7">
        <f>IF($C232="","",U232*AA232/100)</f>
        <v/>
      </c>
      <c r="W232" s="7">
        <f>IF($C232="","",U232-V232)</f>
        <v/>
      </c>
      <c r="X232" s="7">
        <f>IF($C232="","",W232-N232)</f>
        <v/>
      </c>
      <c r="AA232">
        <f>IF($C232="","",IF($AN232=1,0,IF($AM232=1,Settings!$C$6,Settings!$C$7))*100)</f>
        <v/>
      </c>
      <c r="AE232" s="7" t="n"/>
      <c r="AH232" s="11" t="n"/>
      <c r="AJ232">
        <f>IF($C232="","",$C232&amp;"|"&amp;$D232&amp;"")</f>
        <v/>
      </c>
      <c r="AK232">
        <f>IF($C232="","",IF(COUNTIF($AJ$2:$AJ232,$AJ232)=1,1,0))</f>
        <v/>
      </c>
      <c r="AL232">
        <f>IF($AK232=1,SUMPRODUCT(--($AO$2:$AO$1501&lt;$AO232))+1,"")</f>
        <v/>
      </c>
      <c r="AM232">
        <f>IF($C232="","",IF(OR($Q232=TRUE(),$Q232="TRUE"),1,0))</f>
        <v/>
      </c>
      <c r="AN232">
        <f>IF($C232="","",IF($Z232="Yes",1,0))</f>
        <v/>
      </c>
      <c r="AO232">
        <f>IF($AK232=1,IFERROR(IF(VALUE($C232)&lt;100000000,VALUE($C232),1000000000),IFERROR(IF(VALUE(MID($C232,2,20))&lt;100000000,VALUE(MID($C232,2,20)),1000000000),1000000000))+ROW()/100000,"")</f>
        <v/>
      </c>
    </row>
    <row r="233">
      <c r="F233" s="11" t="n"/>
      <c r="N233" s="7">
        <f>IF($C233="","",M233*U233/100)</f>
        <v/>
      </c>
      <c r="T233" s="7" t="n"/>
      <c r="U233" s="7" t="n"/>
      <c r="V233" s="7">
        <f>IF($C233="","",U233*AA233/100)</f>
        <v/>
      </c>
      <c r="W233" s="7">
        <f>IF($C233="","",U233-V233)</f>
        <v/>
      </c>
      <c r="X233" s="7">
        <f>IF($C233="","",W233-N233)</f>
        <v/>
      </c>
      <c r="AA233">
        <f>IF($C233="","",IF($AN233=1,0,IF($AM233=1,Settings!$C$6,Settings!$C$7))*100)</f>
        <v/>
      </c>
      <c r="AE233" s="7" t="n"/>
      <c r="AH233" s="11" t="n"/>
      <c r="AJ233">
        <f>IF($C233="","",$C233&amp;"|"&amp;$D233&amp;"")</f>
        <v/>
      </c>
      <c r="AK233">
        <f>IF($C233="","",IF(COUNTIF($AJ$2:$AJ233,$AJ233)=1,1,0))</f>
        <v/>
      </c>
      <c r="AL233">
        <f>IF($AK233=1,SUMPRODUCT(--($AO$2:$AO$1501&lt;$AO233))+1,"")</f>
        <v/>
      </c>
      <c r="AM233">
        <f>IF($C233="","",IF(OR($Q233=TRUE(),$Q233="TRUE"),1,0))</f>
        <v/>
      </c>
      <c r="AN233">
        <f>IF($C233="","",IF($Z233="Yes",1,0))</f>
        <v/>
      </c>
      <c r="AO233">
        <f>IF($AK233=1,IFERROR(IF(VALUE($C233)&lt;100000000,VALUE($C233),1000000000),IFERROR(IF(VALUE(MID($C233,2,20))&lt;100000000,VALUE(MID($C233,2,20)),1000000000),1000000000))+ROW()/100000,"")</f>
        <v/>
      </c>
    </row>
    <row r="234">
      <c r="F234" s="11" t="n"/>
      <c r="N234" s="7">
        <f>IF($C234="","",M234*U234/100)</f>
        <v/>
      </c>
      <c r="T234" s="7" t="n"/>
      <c r="U234" s="7" t="n"/>
      <c r="V234" s="7">
        <f>IF($C234="","",U234*AA234/100)</f>
        <v/>
      </c>
      <c r="W234" s="7">
        <f>IF($C234="","",U234-V234)</f>
        <v/>
      </c>
      <c r="X234" s="7">
        <f>IF($C234="","",W234-N234)</f>
        <v/>
      </c>
      <c r="AA234">
        <f>IF($C234="","",IF($AN234=1,0,IF($AM234=1,Settings!$C$6,Settings!$C$7))*100)</f>
        <v/>
      </c>
      <c r="AE234" s="7" t="n"/>
      <c r="AH234" s="11" t="n"/>
      <c r="AJ234">
        <f>IF($C234="","",$C234&amp;"|"&amp;$D234&amp;"")</f>
        <v/>
      </c>
      <c r="AK234">
        <f>IF($C234="","",IF(COUNTIF($AJ$2:$AJ234,$AJ234)=1,1,0))</f>
        <v/>
      </c>
      <c r="AL234">
        <f>IF($AK234=1,SUMPRODUCT(--($AO$2:$AO$1501&lt;$AO234))+1,"")</f>
        <v/>
      </c>
      <c r="AM234">
        <f>IF($C234="","",IF(OR($Q234=TRUE(),$Q234="TRUE"),1,0))</f>
        <v/>
      </c>
      <c r="AN234">
        <f>IF($C234="","",IF($Z234="Yes",1,0))</f>
        <v/>
      </c>
      <c r="AO234">
        <f>IF($AK234=1,IFERROR(IF(VALUE($C234)&lt;100000000,VALUE($C234),1000000000),IFERROR(IF(VALUE(MID($C234,2,20))&lt;100000000,VALUE(MID($C234,2,20)),1000000000),1000000000))+ROW()/100000,"")</f>
        <v/>
      </c>
    </row>
    <row r="235">
      <c r="F235" s="11" t="n"/>
      <c r="N235" s="7">
        <f>IF($C235="","",M235*U235/100)</f>
        <v/>
      </c>
      <c r="T235" s="7" t="n"/>
      <c r="U235" s="7" t="n"/>
      <c r="V235" s="7">
        <f>IF($C235="","",U235*AA235/100)</f>
        <v/>
      </c>
      <c r="W235" s="7">
        <f>IF($C235="","",U235-V235)</f>
        <v/>
      </c>
      <c r="X235" s="7">
        <f>IF($C235="","",W235-N235)</f>
        <v/>
      </c>
      <c r="AA235">
        <f>IF($C235="","",IF($AN235=1,0,IF($AM235=1,Settings!$C$6,Settings!$C$7))*100)</f>
        <v/>
      </c>
      <c r="AE235" s="7" t="n"/>
      <c r="AH235" s="11" t="n"/>
      <c r="AJ235">
        <f>IF($C235="","",$C235&amp;"|"&amp;$D235&amp;"")</f>
        <v/>
      </c>
      <c r="AK235">
        <f>IF($C235="","",IF(COUNTIF($AJ$2:$AJ235,$AJ235)=1,1,0))</f>
        <v/>
      </c>
      <c r="AL235">
        <f>IF($AK235=1,SUMPRODUCT(--($AO$2:$AO$1501&lt;$AO235))+1,"")</f>
        <v/>
      </c>
      <c r="AM235">
        <f>IF($C235="","",IF(OR($Q235=TRUE(),$Q235="TRUE"),1,0))</f>
        <v/>
      </c>
      <c r="AN235">
        <f>IF($C235="","",IF($Z235="Yes",1,0))</f>
        <v/>
      </c>
      <c r="AO235">
        <f>IF($AK235=1,IFERROR(IF(VALUE($C235)&lt;100000000,VALUE($C235),1000000000),IFERROR(IF(VALUE(MID($C235,2,20))&lt;100000000,VALUE(MID($C235,2,20)),1000000000),1000000000))+ROW()/100000,"")</f>
        <v/>
      </c>
    </row>
    <row r="236">
      <c r="F236" s="11" t="n"/>
      <c r="N236" s="7">
        <f>IF($C236="","",M236*U236/100)</f>
        <v/>
      </c>
      <c r="T236" s="7" t="n"/>
      <c r="U236" s="7" t="n"/>
      <c r="V236" s="7">
        <f>IF($C236="","",U236*AA236/100)</f>
        <v/>
      </c>
      <c r="W236" s="7">
        <f>IF($C236="","",U236-V236)</f>
        <v/>
      </c>
      <c r="X236" s="7">
        <f>IF($C236="","",W236-N236)</f>
        <v/>
      </c>
      <c r="AA236">
        <f>IF($C236="","",IF($AN236=1,0,IF($AM236=1,Settings!$C$6,Settings!$C$7))*100)</f>
        <v/>
      </c>
      <c r="AE236" s="7" t="n"/>
      <c r="AH236" s="11" t="n"/>
      <c r="AJ236">
        <f>IF($C236="","",$C236&amp;"|"&amp;$D236&amp;"")</f>
        <v/>
      </c>
      <c r="AK236">
        <f>IF($C236="","",IF(COUNTIF($AJ$2:$AJ236,$AJ236)=1,1,0))</f>
        <v/>
      </c>
      <c r="AL236">
        <f>IF($AK236=1,SUMPRODUCT(--($AO$2:$AO$1501&lt;$AO236))+1,"")</f>
        <v/>
      </c>
      <c r="AM236">
        <f>IF($C236="","",IF(OR($Q236=TRUE(),$Q236="TRUE"),1,0))</f>
        <v/>
      </c>
      <c r="AN236">
        <f>IF($C236="","",IF($Z236="Yes",1,0))</f>
        <v/>
      </c>
      <c r="AO236">
        <f>IF($AK236=1,IFERROR(IF(VALUE($C236)&lt;100000000,VALUE($C236),1000000000),IFERROR(IF(VALUE(MID($C236,2,20))&lt;100000000,VALUE(MID($C236,2,20)),1000000000),1000000000))+ROW()/100000,"")</f>
        <v/>
      </c>
    </row>
    <row r="237">
      <c r="F237" s="11" t="n"/>
      <c r="N237" s="7">
        <f>IF($C237="","",M237*U237/100)</f>
        <v/>
      </c>
      <c r="T237" s="7" t="n"/>
      <c r="U237" s="7" t="n"/>
      <c r="V237" s="7">
        <f>IF($C237="","",U237*AA237/100)</f>
        <v/>
      </c>
      <c r="W237" s="7">
        <f>IF($C237="","",U237-V237)</f>
        <v/>
      </c>
      <c r="X237" s="7">
        <f>IF($C237="","",W237-N237)</f>
        <v/>
      </c>
      <c r="AA237">
        <f>IF($C237="","",IF($AN237=1,0,IF($AM237=1,Settings!$C$6,Settings!$C$7))*100)</f>
        <v/>
      </c>
      <c r="AE237" s="7" t="n"/>
      <c r="AH237" s="11" t="n"/>
      <c r="AJ237">
        <f>IF($C237="","",$C237&amp;"|"&amp;$D237&amp;"")</f>
        <v/>
      </c>
      <c r="AK237">
        <f>IF($C237="","",IF(COUNTIF($AJ$2:$AJ237,$AJ237)=1,1,0))</f>
        <v/>
      </c>
      <c r="AL237">
        <f>IF($AK237=1,SUMPRODUCT(--($AO$2:$AO$1501&lt;$AO237))+1,"")</f>
        <v/>
      </c>
      <c r="AM237">
        <f>IF($C237="","",IF(OR($Q237=TRUE(),$Q237="TRUE"),1,0))</f>
        <v/>
      </c>
      <c r="AN237">
        <f>IF($C237="","",IF($Z237="Yes",1,0))</f>
        <v/>
      </c>
      <c r="AO237">
        <f>IF($AK237=1,IFERROR(IF(VALUE($C237)&lt;100000000,VALUE($C237),1000000000),IFERROR(IF(VALUE(MID($C237,2,20))&lt;100000000,VALUE(MID($C237,2,20)),1000000000),1000000000))+ROW()/100000,"")</f>
        <v/>
      </c>
    </row>
    <row r="238">
      <c r="F238" s="11" t="n"/>
      <c r="N238" s="7">
        <f>IF($C238="","",M238*U238/100)</f>
        <v/>
      </c>
      <c r="T238" s="7" t="n"/>
      <c r="U238" s="7" t="n"/>
      <c r="V238" s="7">
        <f>IF($C238="","",U238*AA238/100)</f>
        <v/>
      </c>
      <c r="W238" s="7">
        <f>IF($C238="","",U238-V238)</f>
        <v/>
      </c>
      <c r="X238" s="7">
        <f>IF($C238="","",W238-N238)</f>
        <v/>
      </c>
      <c r="AA238">
        <f>IF($C238="","",IF($AN238=1,0,IF($AM238=1,Settings!$C$6,Settings!$C$7))*100)</f>
        <v/>
      </c>
      <c r="AE238" s="7" t="n"/>
      <c r="AH238" s="11" t="n"/>
      <c r="AJ238">
        <f>IF($C238="","",$C238&amp;"|"&amp;$D238&amp;"")</f>
        <v/>
      </c>
      <c r="AK238">
        <f>IF($C238="","",IF(COUNTIF($AJ$2:$AJ238,$AJ238)=1,1,0))</f>
        <v/>
      </c>
      <c r="AL238">
        <f>IF($AK238=1,SUMPRODUCT(--($AO$2:$AO$1501&lt;$AO238))+1,"")</f>
        <v/>
      </c>
      <c r="AM238">
        <f>IF($C238="","",IF(OR($Q238=TRUE(),$Q238="TRUE"),1,0))</f>
        <v/>
      </c>
      <c r="AN238">
        <f>IF($C238="","",IF($Z238="Yes",1,0))</f>
        <v/>
      </c>
      <c r="AO238">
        <f>IF($AK238=1,IFERROR(IF(VALUE($C238)&lt;100000000,VALUE($C238),1000000000),IFERROR(IF(VALUE(MID($C238,2,20))&lt;100000000,VALUE(MID($C238,2,20)),1000000000),1000000000))+ROW()/100000,"")</f>
        <v/>
      </c>
    </row>
    <row r="239">
      <c r="F239" s="11" t="n"/>
      <c r="N239" s="7">
        <f>IF($C239="","",M239*U239/100)</f>
        <v/>
      </c>
      <c r="T239" s="7" t="n"/>
      <c r="U239" s="7" t="n"/>
      <c r="V239" s="7">
        <f>IF($C239="","",U239*AA239/100)</f>
        <v/>
      </c>
      <c r="W239" s="7">
        <f>IF($C239="","",U239-V239)</f>
        <v/>
      </c>
      <c r="X239" s="7">
        <f>IF($C239="","",W239-N239)</f>
        <v/>
      </c>
      <c r="AA239">
        <f>IF($C239="","",IF($AN239=1,0,IF($AM239=1,Settings!$C$6,Settings!$C$7))*100)</f>
        <v/>
      </c>
      <c r="AE239" s="7" t="n"/>
      <c r="AH239" s="11" t="n"/>
      <c r="AJ239">
        <f>IF($C239="","",$C239&amp;"|"&amp;$D239&amp;"")</f>
        <v/>
      </c>
      <c r="AK239">
        <f>IF($C239="","",IF(COUNTIF($AJ$2:$AJ239,$AJ239)=1,1,0))</f>
        <v/>
      </c>
      <c r="AL239">
        <f>IF($AK239=1,SUMPRODUCT(--($AO$2:$AO$1501&lt;$AO239))+1,"")</f>
        <v/>
      </c>
      <c r="AM239">
        <f>IF($C239="","",IF(OR($Q239=TRUE(),$Q239="TRUE"),1,0))</f>
        <v/>
      </c>
      <c r="AN239">
        <f>IF($C239="","",IF($Z239="Yes",1,0))</f>
        <v/>
      </c>
      <c r="AO239">
        <f>IF($AK239=1,IFERROR(IF(VALUE($C239)&lt;100000000,VALUE($C239),1000000000),IFERROR(IF(VALUE(MID($C239,2,20))&lt;100000000,VALUE(MID($C239,2,20)),1000000000),1000000000))+ROW()/100000,"")</f>
        <v/>
      </c>
    </row>
    <row r="240">
      <c r="F240" s="11" t="n"/>
      <c r="N240" s="7">
        <f>IF($C240="","",M240*U240/100)</f>
        <v/>
      </c>
      <c r="T240" s="7" t="n"/>
      <c r="U240" s="7" t="n"/>
      <c r="V240" s="7">
        <f>IF($C240="","",U240*AA240/100)</f>
        <v/>
      </c>
      <c r="W240" s="7">
        <f>IF($C240="","",U240-V240)</f>
        <v/>
      </c>
      <c r="X240" s="7">
        <f>IF($C240="","",W240-N240)</f>
        <v/>
      </c>
      <c r="AA240">
        <f>IF($C240="","",IF($AN240=1,0,IF($AM240=1,Settings!$C$6,Settings!$C$7))*100)</f>
        <v/>
      </c>
      <c r="AE240" s="7" t="n"/>
      <c r="AH240" s="11" t="n"/>
      <c r="AJ240">
        <f>IF($C240="","",$C240&amp;"|"&amp;$D240&amp;"")</f>
        <v/>
      </c>
      <c r="AK240">
        <f>IF($C240="","",IF(COUNTIF($AJ$2:$AJ240,$AJ240)=1,1,0))</f>
        <v/>
      </c>
      <c r="AL240">
        <f>IF($AK240=1,SUMPRODUCT(--($AO$2:$AO$1501&lt;$AO240))+1,"")</f>
        <v/>
      </c>
      <c r="AM240">
        <f>IF($C240="","",IF(OR($Q240=TRUE(),$Q240="TRUE"),1,0))</f>
        <v/>
      </c>
      <c r="AN240">
        <f>IF($C240="","",IF($Z240="Yes",1,0))</f>
        <v/>
      </c>
      <c r="AO240">
        <f>IF($AK240=1,IFERROR(IF(VALUE($C240)&lt;100000000,VALUE($C240),1000000000),IFERROR(IF(VALUE(MID($C240,2,20))&lt;100000000,VALUE(MID($C240,2,20)),1000000000),1000000000))+ROW()/100000,"")</f>
        <v/>
      </c>
    </row>
    <row r="241">
      <c r="F241" s="11" t="n"/>
      <c r="N241" s="7">
        <f>IF($C241="","",M241*U241/100)</f>
        <v/>
      </c>
      <c r="T241" s="7" t="n"/>
      <c r="U241" s="7" t="n"/>
      <c r="V241" s="7">
        <f>IF($C241="","",U241*AA241/100)</f>
        <v/>
      </c>
      <c r="W241" s="7">
        <f>IF($C241="","",U241-V241)</f>
        <v/>
      </c>
      <c r="X241" s="7">
        <f>IF($C241="","",W241-N241)</f>
        <v/>
      </c>
      <c r="AA241">
        <f>IF($C241="","",IF($AN241=1,0,IF($AM241=1,Settings!$C$6,Settings!$C$7))*100)</f>
        <v/>
      </c>
      <c r="AE241" s="7" t="n"/>
      <c r="AH241" s="11" t="n"/>
      <c r="AJ241">
        <f>IF($C241="","",$C241&amp;"|"&amp;$D241&amp;"")</f>
        <v/>
      </c>
      <c r="AK241">
        <f>IF($C241="","",IF(COUNTIF($AJ$2:$AJ241,$AJ241)=1,1,0))</f>
        <v/>
      </c>
      <c r="AL241">
        <f>IF($AK241=1,SUMPRODUCT(--($AO$2:$AO$1501&lt;$AO241))+1,"")</f>
        <v/>
      </c>
      <c r="AM241">
        <f>IF($C241="","",IF(OR($Q241=TRUE(),$Q241="TRUE"),1,0))</f>
        <v/>
      </c>
      <c r="AN241">
        <f>IF($C241="","",IF($Z241="Yes",1,0))</f>
        <v/>
      </c>
      <c r="AO241">
        <f>IF($AK241=1,IFERROR(IF(VALUE($C241)&lt;100000000,VALUE($C241),1000000000),IFERROR(IF(VALUE(MID($C241,2,20))&lt;100000000,VALUE(MID($C241,2,20)),1000000000),1000000000))+ROW()/100000,"")</f>
        <v/>
      </c>
    </row>
    <row r="242">
      <c r="F242" s="11" t="n"/>
      <c r="N242" s="7">
        <f>IF($C242="","",M242*U242/100)</f>
        <v/>
      </c>
      <c r="T242" s="7" t="n"/>
      <c r="U242" s="7" t="n"/>
      <c r="V242" s="7">
        <f>IF($C242="","",U242*AA242/100)</f>
        <v/>
      </c>
      <c r="W242" s="7">
        <f>IF($C242="","",U242-V242)</f>
        <v/>
      </c>
      <c r="X242" s="7">
        <f>IF($C242="","",W242-N242)</f>
        <v/>
      </c>
      <c r="AA242">
        <f>IF($C242="","",IF($AN242=1,0,IF($AM242=1,Settings!$C$6,Settings!$C$7))*100)</f>
        <v/>
      </c>
      <c r="AE242" s="7" t="n"/>
      <c r="AH242" s="11" t="n"/>
      <c r="AJ242">
        <f>IF($C242="","",$C242&amp;"|"&amp;$D242&amp;"")</f>
        <v/>
      </c>
      <c r="AK242">
        <f>IF($C242="","",IF(COUNTIF($AJ$2:$AJ242,$AJ242)=1,1,0))</f>
        <v/>
      </c>
      <c r="AL242">
        <f>IF($AK242=1,SUMPRODUCT(--($AO$2:$AO$1501&lt;$AO242))+1,"")</f>
        <v/>
      </c>
      <c r="AM242">
        <f>IF($C242="","",IF(OR($Q242=TRUE(),$Q242="TRUE"),1,0))</f>
        <v/>
      </c>
      <c r="AN242">
        <f>IF($C242="","",IF($Z242="Yes",1,0))</f>
        <v/>
      </c>
      <c r="AO242">
        <f>IF($AK242=1,IFERROR(IF(VALUE($C242)&lt;100000000,VALUE($C242),1000000000),IFERROR(IF(VALUE(MID($C242,2,20))&lt;100000000,VALUE(MID($C242,2,20)),1000000000),1000000000))+ROW()/100000,"")</f>
        <v/>
      </c>
    </row>
    <row r="243">
      <c r="F243" s="11" t="n"/>
      <c r="N243" s="7">
        <f>IF($C243="","",M243*U243/100)</f>
        <v/>
      </c>
      <c r="T243" s="7" t="n"/>
      <c r="U243" s="7" t="n"/>
      <c r="V243" s="7">
        <f>IF($C243="","",U243*AA243/100)</f>
        <v/>
      </c>
      <c r="W243" s="7">
        <f>IF($C243="","",U243-V243)</f>
        <v/>
      </c>
      <c r="X243" s="7">
        <f>IF($C243="","",W243-N243)</f>
        <v/>
      </c>
      <c r="AA243">
        <f>IF($C243="","",IF($AN243=1,0,IF($AM243=1,Settings!$C$6,Settings!$C$7))*100)</f>
        <v/>
      </c>
      <c r="AE243" s="7" t="n"/>
      <c r="AH243" s="11" t="n"/>
      <c r="AJ243">
        <f>IF($C243="","",$C243&amp;"|"&amp;$D243&amp;"")</f>
        <v/>
      </c>
      <c r="AK243">
        <f>IF($C243="","",IF(COUNTIF($AJ$2:$AJ243,$AJ243)=1,1,0))</f>
        <v/>
      </c>
      <c r="AL243">
        <f>IF($AK243=1,SUMPRODUCT(--($AO$2:$AO$1501&lt;$AO243))+1,"")</f>
        <v/>
      </c>
      <c r="AM243">
        <f>IF($C243="","",IF(OR($Q243=TRUE(),$Q243="TRUE"),1,0))</f>
        <v/>
      </c>
      <c r="AN243">
        <f>IF($C243="","",IF($Z243="Yes",1,0))</f>
        <v/>
      </c>
      <c r="AO243">
        <f>IF($AK243=1,IFERROR(IF(VALUE($C243)&lt;100000000,VALUE($C243),1000000000),IFERROR(IF(VALUE(MID($C243,2,20))&lt;100000000,VALUE(MID($C243,2,20)),1000000000),1000000000))+ROW()/100000,"")</f>
        <v/>
      </c>
    </row>
    <row r="244">
      <c r="F244" s="11" t="n"/>
      <c r="N244" s="7">
        <f>IF($C244="","",M244*U244/100)</f>
        <v/>
      </c>
      <c r="T244" s="7" t="n"/>
      <c r="U244" s="7" t="n"/>
      <c r="V244" s="7">
        <f>IF($C244="","",U244*AA244/100)</f>
        <v/>
      </c>
      <c r="W244" s="7">
        <f>IF($C244="","",U244-V244)</f>
        <v/>
      </c>
      <c r="X244" s="7">
        <f>IF($C244="","",W244-N244)</f>
        <v/>
      </c>
      <c r="AA244">
        <f>IF($C244="","",IF($AN244=1,0,IF($AM244=1,Settings!$C$6,Settings!$C$7))*100)</f>
        <v/>
      </c>
      <c r="AE244" s="7" t="n"/>
      <c r="AH244" s="11" t="n"/>
      <c r="AJ244">
        <f>IF($C244="","",$C244&amp;"|"&amp;$D244&amp;"")</f>
        <v/>
      </c>
      <c r="AK244">
        <f>IF($C244="","",IF(COUNTIF($AJ$2:$AJ244,$AJ244)=1,1,0))</f>
        <v/>
      </c>
      <c r="AL244">
        <f>IF($AK244=1,SUMPRODUCT(--($AO$2:$AO$1501&lt;$AO244))+1,"")</f>
        <v/>
      </c>
      <c r="AM244">
        <f>IF($C244="","",IF(OR($Q244=TRUE(),$Q244="TRUE"),1,0))</f>
        <v/>
      </c>
      <c r="AN244">
        <f>IF($C244="","",IF($Z244="Yes",1,0))</f>
        <v/>
      </c>
      <c r="AO244">
        <f>IF($AK244=1,IFERROR(IF(VALUE($C244)&lt;100000000,VALUE($C244),1000000000),IFERROR(IF(VALUE(MID($C244,2,20))&lt;100000000,VALUE(MID($C244,2,20)),1000000000),1000000000))+ROW()/100000,"")</f>
        <v/>
      </c>
    </row>
    <row r="245">
      <c r="F245" s="11" t="n"/>
      <c r="N245" s="7">
        <f>IF($C245="","",M245*U245/100)</f>
        <v/>
      </c>
      <c r="T245" s="7" t="n"/>
      <c r="U245" s="7" t="n"/>
      <c r="V245" s="7">
        <f>IF($C245="","",U245*AA245/100)</f>
        <v/>
      </c>
      <c r="W245" s="7">
        <f>IF($C245="","",U245-V245)</f>
        <v/>
      </c>
      <c r="X245" s="7">
        <f>IF($C245="","",W245-N245)</f>
        <v/>
      </c>
      <c r="AA245">
        <f>IF($C245="","",IF($AN245=1,0,IF($AM245=1,Settings!$C$6,Settings!$C$7))*100)</f>
        <v/>
      </c>
      <c r="AE245" s="7" t="n"/>
      <c r="AH245" s="11" t="n"/>
      <c r="AJ245">
        <f>IF($C245="","",$C245&amp;"|"&amp;$D245&amp;"")</f>
        <v/>
      </c>
      <c r="AK245">
        <f>IF($C245="","",IF(COUNTIF($AJ$2:$AJ245,$AJ245)=1,1,0))</f>
        <v/>
      </c>
      <c r="AL245">
        <f>IF($AK245=1,SUMPRODUCT(--($AO$2:$AO$1501&lt;$AO245))+1,"")</f>
        <v/>
      </c>
      <c r="AM245">
        <f>IF($C245="","",IF(OR($Q245=TRUE(),$Q245="TRUE"),1,0))</f>
        <v/>
      </c>
      <c r="AN245">
        <f>IF($C245="","",IF($Z245="Yes",1,0))</f>
        <v/>
      </c>
      <c r="AO245">
        <f>IF($AK245=1,IFERROR(IF(VALUE($C245)&lt;100000000,VALUE($C245),1000000000),IFERROR(IF(VALUE(MID($C245,2,20))&lt;100000000,VALUE(MID($C245,2,20)),1000000000),1000000000))+ROW()/100000,"")</f>
        <v/>
      </c>
    </row>
    <row r="246">
      <c r="F246" s="11" t="n"/>
      <c r="N246" s="7">
        <f>IF($C246="","",M246*U246/100)</f>
        <v/>
      </c>
      <c r="T246" s="7" t="n"/>
      <c r="U246" s="7" t="n"/>
      <c r="V246" s="7">
        <f>IF($C246="","",U246*AA246/100)</f>
        <v/>
      </c>
      <c r="W246" s="7">
        <f>IF($C246="","",U246-V246)</f>
        <v/>
      </c>
      <c r="X246" s="7">
        <f>IF($C246="","",W246-N246)</f>
        <v/>
      </c>
      <c r="AA246">
        <f>IF($C246="","",IF($AN246=1,0,IF($AM246=1,Settings!$C$6,Settings!$C$7))*100)</f>
        <v/>
      </c>
      <c r="AE246" s="7" t="n"/>
      <c r="AH246" s="11" t="n"/>
      <c r="AJ246">
        <f>IF($C246="","",$C246&amp;"|"&amp;$D246&amp;"")</f>
        <v/>
      </c>
      <c r="AK246">
        <f>IF($C246="","",IF(COUNTIF($AJ$2:$AJ246,$AJ246)=1,1,0))</f>
        <v/>
      </c>
      <c r="AL246">
        <f>IF($AK246=1,SUMPRODUCT(--($AO$2:$AO$1501&lt;$AO246))+1,"")</f>
        <v/>
      </c>
      <c r="AM246">
        <f>IF($C246="","",IF(OR($Q246=TRUE(),$Q246="TRUE"),1,0))</f>
        <v/>
      </c>
      <c r="AN246">
        <f>IF($C246="","",IF($Z246="Yes",1,0))</f>
        <v/>
      </c>
      <c r="AO246">
        <f>IF($AK246=1,IFERROR(IF(VALUE($C246)&lt;100000000,VALUE($C246),1000000000),IFERROR(IF(VALUE(MID($C246,2,20))&lt;100000000,VALUE(MID($C246,2,20)),1000000000),1000000000))+ROW()/100000,"")</f>
        <v/>
      </c>
    </row>
    <row r="247">
      <c r="F247" s="11" t="n"/>
      <c r="N247" s="7">
        <f>IF($C247="","",M247*U247/100)</f>
        <v/>
      </c>
      <c r="T247" s="7" t="n"/>
      <c r="U247" s="7" t="n"/>
      <c r="V247" s="7">
        <f>IF($C247="","",U247*AA247/100)</f>
        <v/>
      </c>
      <c r="W247" s="7">
        <f>IF($C247="","",U247-V247)</f>
        <v/>
      </c>
      <c r="X247" s="7">
        <f>IF($C247="","",W247-N247)</f>
        <v/>
      </c>
      <c r="AA247">
        <f>IF($C247="","",IF($AN247=1,0,IF($AM247=1,Settings!$C$6,Settings!$C$7))*100)</f>
        <v/>
      </c>
      <c r="AE247" s="7" t="n"/>
      <c r="AH247" s="11" t="n"/>
      <c r="AJ247">
        <f>IF($C247="","",$C247&amp;"|"&amp;$D247&amp;"")</f>
        <v/>
      </c>
      <c r="AK247">
        <f>IF($C247="","",IF(COUNTIF($AJ$2:$AJ247,$AJ247)=1,1,0))</f>
        <v/>
      </c>
      <c r="AL247">
        <f>IF($AK247=1,SUMPRODUCT(--($AO$2:$AO$1501&lt;$AO247))+1,"")</f>
        <v/>
      </c>
      <c r="AM247">
        <f>IF($C247="","",IF(OR($Q247=TRUE(),$Q247="TRUE"),1,0))</f>
        <v/>
      </c>
      <c r="AN247">
        <f>IF($C247="","",IF($Z247="Yes",1,0))</f>
        <v/>
      </c>
      <c r="AO247">
        <f>IF($AK247=1,IFERROR(IF(VALUE($C247)&lt;100000000,VALUE($C247),1000000000),IFERROR(IF(VALUE(MID($C247,2,20))&lt;100000000,VALUE(MID($C247,2,20)),1000000000),1000000000))+ROW()/100000,"")</f>
        <v/>
      </c>
    </row>
    <row r="248">
      <c r="F248" s="11" t="n"/>
      <c r="N248" s="7">
        <f>IF($C248="","",M248*U248/100)</f>
        <v/>
      </c>
      <c r="T248" s="7" t="n"/>
      <c r="U248" s="7" t="n"/>
      <c r="V248" s="7">
        <f>IF($C248="","",U248*AA248/100)</f>
        <v/>
      </c>
      <c r="W248" s="7">
        <f>IF($C248="","",U248-V248)</f>
        <v/>
      </c>
      <c r="X248" s="7">
        <f>IF($C248="","",W248-N248)</f>
        <v/>
      </c>
      <c r="AA248">
        <f>IF($C248="","",IF($AN248=1,0,IF($AM248=1,Settings!$C$6,Settings!$C$7))*100)</f>
        <v/>
      </c>
      <c r="AE248" s="7" t="n"/>
      <c r="AH248" s="11" t="n"/>
      <c r="AJ248">
        <f>IF($C248="","",$C248&amp;"|"&amp;$D248&amp;"")</f>
        <v/>
      </c>
      <c r="AK248">
        <f>IF($C248="","",IF(COUNTIF($AJ$2:$AJ248,$AJ248)=1,1,0))</f>
        <v/>
      </c>
      <c r="AL248">
        <f>IF($AK248=1,SUMPRODUCT(--($AO$2:$AO$1501&lt;$AO248))+1,"")</f>
        <v/>
      </c>
      <c r="AM248">
        <f>IF($C248="","",IF(OR($Q248=TRUE(),$Q248="TRUE"),1,0))</f>
        <v/>
      </c>
      <c r="AN248">
        <f>IF($C248="","",IF($Z248="Yes",1,0))</f>
        <v/>
      </c>
      <c r="AO248">
        <f>IF($AK248=1,IFERROR(IF(VALUE($C248)&lt;100000000,VALUE($C248),1000000000),IFERROR(IF(VALUE(MID($C248,2,20))&lt;100000000,VALUE(MID($C248,2,20)),1000000000),1000000000))+ROW()/100000,"")</f>
        <v/>
      </c>
    </row>
    <row r="249">
      <c r="F249" s="11" t="n"/>
      <c r="N249" s="7">
        <f>IF($C249="","",M249*U249/100)</f>
        <v/>
      </c>
      <c r="T249" s="7" t="n"/>
      <c r="U249" s="7" t="n"/>
      <c r="V249" s="7">
        <f>IF($C249="","",U249*AA249/100)</f>
        <v/>
      </c>
      <c r="W249" s="7">
        <f>IF($C249="","",U249-V249)</f>
        <v/>
      </c>
      <c r="X249" s="7">
        <f>IF($C249="","",W249-N249)</f>
        <v/>
      </c>
      <c r="AA249">
        <f>IF($C249="","",IF($AN249=1,0,IF($AM249=1,Settings!$C$6,Settings!$C$7))*100)</f>
        <v/>
      </c>
      <c r="AE249" s="7" t="n"/>
      <c r="AH249" s="11" t="n"/>
      <c r="AJ249">
        <f>IF($C249="","",$C249&amp;"|"&amp;$D249&amp;"")</f>
        <v/>
      </c>
      <c r="AK249">
        <f>IF($C249="","",IF(COUNTIF($AJ$2:$AJ249,$AJ249)=1,1,0))</f>
        <v/>
      </c>
      <c r="AL249">
        <f>IF($AK249=1,SUMPRODUCT(--($AO$2:$AO$1501&lt;$AO249))+1,"")</f>
        <v/>
      </c>
      <c r="AM249">
        <f>IF($C249="","",IF(OR($Q249=TRUE(),$Q249="TRUE"),1,0))</f>
        <v/>
      </c>
      <c r="AN249">
        <f>IF($C249="","",IF($Z249="Yes",1,0))</f>
        <v/>
      </c>
      <c r="AO249">
        <f>IF($AK249=1,IFERROR(IF(VALUE($C249)&lt;100000000,VALUE($C249),1000000000),IFERROR(IF(VALUE(MID($C249,2,20))&lt;100000000,VALUE(MID($C249,2,20)),1000000000),1000000000))+ROW()/100000,"")</f>
        <v/>
      </c>
    </row>
    <row r="250">
      <c r="F250" s="11" t="n"/>
      <c r="N250" s="7">
        <f>IF($C250="","",M250*U250/100)</f>
        <v/>
      </c>
      <c r="T250" s="7" t="n"/>
      <c r="U250" s="7" t="n"/>
      <c r="V250" s="7">
        <f>IF($C250="","",U250*AA250/100)</f>
        <v/>
      </c>
      <c r="W250" s="7">
        <f>IF($C250="","",U250-V250)</f>
        <v/>
      </c>
      <c r="X250" s="7">
        <f>IF($C250="","",W250-N250)</f>
        <v/>
      </c>
      <c r="AA250">
        <f>IF($C250="","",IF($AN250=1,0,IF($AM250=1,Settings!$C$6,Settings!$C$7))*100)</f>
        <v/>
      </c>
      <c r="AE250" s="7" t="n"/>
      <c r="AH250" s="11" t="n"/>
      <c r="AJ250">
        <f>IF($C250="","",$C250&amp;"|"&amp;$D250&amp;"")</f>
        <v/>
      </c>
      <c r="AK250">
        <f>IF($C250="","",IF(COUNTIF($AJ$2:$AJ250,$AJ250)=1,1,0))</f>
        <v/>
      </c>
      <c r="AL250">
        <f>IF($AK250=1,SUMPRODUCT(--($AO$2:$AO$1501&lt;$AO250))+1,"")</f>
        <v/>
      </c>
      <c r="AM250">
        <f>IF($C250="","",IF(OR($Q250=TRUE(),$Q250="TRUE"),1,0))</f>
        <v/>
      </c>
      <c r="AN250">
        <f>IF($C250="","",IF($Z250="Yes",1,0))</f>
        <v/>
      </c>
      <c r="AO250">
        <f>IF($AK250=1,IFERROR(IF(VALUE($C250)&lt;100000000,VALUE($C250),1000000000),IFERROR(IF(VALUE(MID($C250,2,20))&lt;100000000,VALUE(MID($C250,2,20)),1000000000),1000000000))+ROW()/100000,"")</f>
        <v/>
      </c>
    </row>
    <row r="251">
      <c r="F251" s="11" t="n"/>
      <c r="N251" s="7">
        <f>IF($C251="","",M251*U251/100)</f>
        <v/>
      </c>
      <c r="T251" s="7" t="n"/>
      <c r="U251" s="7" t="n"/>
      <c r="V251" s="7">
        <f>IF($C251="","",U251*AA251/100)</f>
        <v/>
      </c>
      <c r="W251" s="7">
        <f>IF($C251="","",U251-V251)</f>
        <v/>
      </c>
      <c r="X251" s="7">
        <f>IF($C251="","",W251-N251)</f>
        <v/>
      </c>
      <c r="AA251">
        <f>IF($C251="","",IF($AN251=1,0,IF($AM251=1,Settings!$C$6,Settings!$C$7))*100)</f>
        <v/>
      </c>
      <c r="AE251" s="7" t="n"/>
      <c r="AH251" s="11" t="n"/>
      <c r="AJ251">
        <f>IF($C251="","",$C251&amp;"|"&amp;$D251&amp;"")</f>
        <v/>
      </c>
      <c r="AK251">
        <f>IF($C251="","",IF(COUNTIF($AJ$2:$AJ251,$AJ251)=1,1,0))</f>
        <v/>
      </c>
      <c r="AL251">
        <f>IF($AK251=1,SUMPRODUCT(--($AO$2:$AO$1501&lt;$AO251))+1,"")</f>
        <v/>
      </c>
      <c r="AM251">
        <f>IF($C251="","",IF(OR($Q251=TRUE(),$Q251="TRUE"),1,0))</f>
        <v/>
      </c>
      <c r="AN251">
        <f>IF($C251="","",IF($Z251="Yes",1,0))</f>
        <v/>
      </c>
      <c r="AO251">
        <f>IF($AK251=1,IFERROR(IF(VALUE($C251)&lt;100000000,VALUE($C251),1000000000),IFERROR(IF(VALUE(MID($C251,2,20))&lt;100000000,VALUE(MID($C251,2,20)),1000000000),1000000000))+ROW()/100000,"")</f>
        <v/>
      </c>
    </row>
    <row r="252">
      <c r="F252" s="11" t="n"/>
      <c r="N252" s="7">
        <f>IF($C252="","",M252*U252/100)</f>
        <v/>
      </c>
      <c r="T252" s="7" t="n"/>
      <c r="U252" s="7" t="n"/>
      <c r="V252" s="7">
        <f>IF($C252="","",U252*AA252/100)</f>
        <v/>
      </c>
      <c r="W252" s="7">
        <f>IF($C252="","",U252-V252)</f>
        <v/>
      </c>
      <c r="X252" s="7">
        <f>IF($C252="","",W252-N252)</f>
        <v/>
      </c>
      <c r="AA252">
        <f>IF($C252="","",IF($AN252=1,0,IF($AM252=1,Settings!$C$6,Settings!$C$7))*100)</f>
        <v/>
      </c>
      <c r="AE252" s="7" t="n"/>
      <c r="AH252" s="11" t="n"/>
      <c r="AJ252">
        <f>IF($C252="","",$C252&amp;"|"&amp;$D252&amp;"")</f>
        <v/>
      </c>
      <c r="AK252">
        <f>IF($C252="","",IF(COUNTIF($AJ$2:$AJ252,$AJ252)=1,1,0))</f>
        <v/>
      </c>
      <c r="AL252">
        <f>IF($AK252=1,SUMPRODUCT(--($AO$2:$AO$1501&lt;$AO252))+1,"")</f>
        <v/>
      </c>
      <c r="AM252">
        <f>IF($C252="","",IF(OR($Q252=TRUE(),$Q252="TRUE"),1,0))</f>
        <v/>
      </c>
      <c r="AN252">
        <f>IF($C252="","",IF($Z252="Yes",1,0))</f>
        <v/>
      </c>
      <c r="AO252">
        <f>IF($AK252=1,IFERROR(IF(VALUE($C252)&lt;100000000,VALUE($C252),1000000000),IFERROR(IF(VALUE(MID($C252,2,20))&lt;100000000,VALUE(MID($C252,2,20)),1000000000),1000000000))+ROW()/100000,"")</f>
        <v/>
      </c>
    </row>
    <row r="253">
      <c r="F253" s="11" t="n"/>
      <c r="N253" s="7">
        <f>IF($C253="","",M253*U253/100)</f>
        <v/>
      </c>
      <c r="T253" s="7" t="n"/>
      <c r="U253" s="7" t="n"/>
      <c r="V253" s="7">
        <f>IF($C253="","",U253*AA253/100)</f>
        <v/>
      </c>
      <c r="W253" s="7">
        <f>IF($C253="","",U253-V253)</f>
        <v/>
      </c>
      <c r="X253" s="7">
        <f>IF($C253="","",W253-N253)</f>
        <v/>
      </c>
      <c r="AA253">
        <f>IF($C253="","",IF($AN253=1,0,IF($AM253=1,Settings!$C$6,Settings!$C$7))*100)</f>
        <v/>
      </c>
      <c r="AE253" s="7" t="n"/>
      <c r="AH253" s="11" t="n"/>
      <c r="AJ253">
        <f>IF($C253="","",$C253&amp;"|"&amp;$D253&amp;"")</f>
        <v/>
      </c>
      <c r="AK253">
        <f>IF($C253="","",IF(COUNTIF($AJ$2:$AJ253,$AJ253)=1,1,0))</f>
        <v/>
      </c>
      <c r="AL253">
        <f>IF($AK253=1,SUMPRODUCT(--($AO$2:$AO$1501&lt;$AO253))+1,"")</f>
        <v/>
      </c>
      <c r="AM253">
        <f>IF($C253="","",IF(OR($Q253=TRUE(),$Q253="TRUE"),1,0))</f>
        <v/>
      </c>
      <c r="AN253">
        <f>IF($C253="","",IF($Z253="Yes",1,0))</f>
        <v/>
      </c>
      <c r="AO253">
        <f>IF($AK253=1,IFERROR(IF(VALUE($C253)&lt;100000000,VALUE($C253),1000000000),IFERROR(IF(VALUE(MID($C253,2,20))&lt;100000000,VALUE(MID($C253,2,20)),1000000000),1000000000))+ROW()/100000,"")</f>
        <v/>
      </c>
    </row>
    <row r="254">
      <c r="F254" s="11" t="n"/>
      <c r="N254" s="7">
        <f>IF($C254="","",M254*U254/100)</f>
        <v/>
      </c>
      <c r="T254" s="7" t="n"/>
      <c r="U254" s="7" t="n"/>
      <c r="V254" s="7">
        <f>IF($C254="","",U254*AA254/100)</f>
        <v/>
      </c>
      <c r="W254" s="7">
        <f>IF($C254="","",U254-V254)</f>
        <v/>
      </c>
      <c r="X254" s="7">
        <f>IF($C254="","",W254-N254)</f>
        <v/>
      </c>
      <c r="AA254">
        <f>IF($C254="","",IF($AN254=1,0,IF($AM254=1,Settings!$C$6,Settings!$C$7))*100)</f>
        <v/>
      </c>
      <c r="AE254" s="7" t="n"/>
      <c r="AH254" s="11" t="n"/>
      <c r="AJ254">
        <f>IF($C254="","",$C254&amp;"|"&amp;$D254&amp;"")</f>
        <v/>
      </c>
      <c r="AK254">
        <f>IF($C254="","",IF(COUNTIF($AJ$2:$AJ254,$AJ254)=1,1,0))</f>
        <v/>
      </c>
      <c r="AL254">
        <f>IF($AK254=1,SUMPRODUCT(--($AO$2:$AO$1501&lt;$AO254))+1,"")</f>
        <v/>
      </c>
      <c r="AM254">
        <f>IF($C254="","",IF(OR($Q254=TRUE(),$Q254="TRUE"),1,0))</f>
        <v/>
      </c>
      <c r="AN254">
        <f>IF($C254="","",IF($Z254="Yes",1,0))</f>
        <v/>
      </c>
      <c r="AO254">
        <f>IF($AK254=1,IFERROR(IF(VALUE($C254)&lt;100000000,VALUE($C254),1000000000),IFERROR(IF(VALUE(MID($C254,2,20))&lt;100000000,VALUE(MID($C254,2,20)),1000000000),1000000000))+ROW()/100000,"")</f>
        <v/>
      </c>
    </row>
    <row r="255">
      <c r="F255" s="11" t="n"/>
      <c r="N255" s="7">
        <f>IF($C255="","",M255*U255/100)</f>
        <v/>
      </c>
      <c r="T255" s="7" t="n"/>
      <c r="U255" s="7" t="n"/>
      <c r="V255" s="7">
        <f>IF($C255="","",U255*AA255/100)</f>
        <v/>
      </c>
      <c r="W255" s="7">
        <f>IF($C255="","",U255-V255)</f>
        <v/>
      </c>
      <c r="X255" s="7">
        <f>IF($C255="","",W255-N255)</f>
        <v/>
      </c>
      <c r="AA255">
        <f>IF($C255="","",IF($AN255=1,0,IF($AM255=1,Settings!$C$6,Settings!$C$7))*100)</f>
        <v/>
      </c>
      <c r="AE255" s="7" t="n"/>
      <c r="AH255" s="11" t="n"/>
      <c r="AJ255">
        <f>IF($C255="","",$C255&amp;"|"&amp;$D255&amp;"")</f>
        <v/>
      </c>
      <c r="AK255">
        <f>IF($C255="","",IF(COUNTIF($AJ$2:$AJ255,$AJ255)=1,1,0))</f>
        <v/>
      </c>
      <c r="AL255">
        <f>IF($AK255=1,SUMPRODUCT(--($AO$2:$AO$1501&lt;$AO255))+1,"")</f>
        <v/>
      </c>
      <c r="AM255">
        <f>IF($C255="","",IF(OR($Q255=TRUE(),$Q255="TRUE"),1,0))</f>
        <v/>
      </c>
      <c r="AN255">
        <f>IF($C255="","",IF($Z255="Yes",1,0))</f>
        <v/>
      </c>
      <c r="AO255">
        <f>IF($AK255=1,IFERROR(IF(VALUE($C255)&lt;100000000,VALUE($C255),1000000000),IFERROR(IF(VALUE(MID($C255,2,20))&lt;100000000,VALUE(MID($C255,2,20)),1000000000),1000000000))+ROW()/100000,"")</f>
        <v/>
      </c>
    </row>
    <row r="256">
      <c r="F256" s="11" t="n"/>
      <c r="N256" s="7">
        <f>IF($C256="","",M256*U256/100)</f>
        <v/>
      </c>
      <c r="T256" s="7" t="n"/>
      <c r="U256" s="7" t="n"/>
      <c r="V256" s="7">
        <f>IF($C256="","",U256*AA256/100)</f>
        <v/>
      </c>
      <c r="W256" s="7">
        <f>IF($C256="","",U256-V256)</f>
        <v/>
      </c>
      <c r="X256" s="7">
        <f>IF($C256="","",W256-N256)</f>
        <v/>
      </c>
      <c r="AA256">
        <f>IF($C256="","",IF($AN256=1,0,IF($AM256=1,Settings!$C$6,Settings!$C$7))*100)</f>
        <v/>
      </c>
      <c r="AE256" s="7" t="n"/>
      <c r="AH256" s="11" t="n"/>
      <c r="AJ256">
        <f>IF($C256="","",$C256&amp;"|"&amp;$D256&amp;"")</f>
        <v/>
      </c>
      <c r="AK256">
        <f>IF($C256="","",IF(COUNTIF($AJ$2:$AJ256,$AJ256)=1,1,0))</f>
        <v/>
      </c>
      <c r="AL256">
        <f>IF($AK256=1,SUMPRODUCT(--($AO$2:$AO$1501&lt;$AO256))+1,"")</f>
        <v/>
      </c>
      <c r="AM256">
        <f>IF($C256="","",IF(OR($Q256=TRUE(),$Q256="TRUE"),1,0))</f>
        <v/>
      </c>
      <c r="AN256">
        <f>IF($C256="","",IF($Z256="Yes",1,0))</f>
        <v/>
      </c>
      <c r="AO256">
        <f>IF($AK256=1,IFERROR(IF(VALUE($C256)&lt;100000000,VALUE($C256),1000000000),IFERROR(IF(VALUE(MID($C256,2,20))&lt;100000000,VALUE(MID($C256,2,20)),1000000000),1000000000))+ROW()/100000,"")</f>
        <v/>
      </c>
    </row>
    <row r="257">
      <c r="F257" s="11" t="n"/>
      <c r="N257" s="7">
        <f>IF($C257="","",M257*U257/100)</f>
        <v/>
      </c>
      <c r="T257" s="7" t="n"/>
      <c r="U257" s="7" t="n"/>
      <c r="V257" s="7">
        <f>IF($C257="","",U257*AA257/100)</f>
        <v/>
      </c>
      <c r="W257" s="7">
        <f>IF($C257="","",U257-V257)</f>
        <v/>
      </c>
      <c r="X257" s="7">
        <f>IF($C257="","",W257-N257)</f>
        <v/>
      </c>
      <c r="AA257">
        <f>IF($C257="","",IF($AN257=1,0,IF($AM257=1,Settings!$C$6,Settings!$C$7))*100)</f>
        <v/>
      </c>
      <c r="AE257" s="7" t="n"/>
      <c r="AH257" s="11" t="n"/>
      <c r="AJ257">
        <f>IF($C257="","",$C257&amp;"|"&amp;$D257&amp;"")</f>
        <v/>
      </c>
      <c r="AK257">
        <f>IF($C257="","",IF(COUNTIF($AJ$2:$AJ257,$AJ257)=1,1,0))</f>
        <v/>
      </c>
      <c r="AL257">
        <f>IF($AK257=1,SUMPRODUCT(--($AO$2:$AO$1501&lt;$AO257))+1,"")</f>
        <v/>
      </c>
      <c r="AM257">
        <f>IF($C257="","",IF(OR($Q257=TRUE(),$Q257="TRUE"),1,0))</f>
        <v/>
      </c>
      <c r="AN257">
        <f>IF($C257="","",IF($Z257="Yes",1,0))</f>
        <v/>
      </c>
      <c r="AO257">
        <f>IF($AK257=1,IFERROR(IF(VALUE($C257)&lt;100000000,VALUE($C257),1000000000),IFERROR(IF(VALUE(MID($C257,2,20))&lt;100000000,VALUE(MID($C257,2,20)),1000000000),1000000000))+ROW()/100000,"")</f>
        <v/>
      </c>
    </row>
    <row r="258">
      <c r="F258" s="11" t="n"/>
      <c r="N258" s="7">
        <f>IF($C258="","",M258*U258/100)</f>
        <v/>
      </c>
      <c r="T258" s="7" t="n"/>
      <c r="U258" s="7" t="n"/>
      <c r="V258" s="7">
        <f>IF($C258="","",U258*AA258/100)</f>
        <v/>
      </c>
      <c r="W258" s="7">
        <f>IF($C258="","",U258-V258)</f>
        <v/>
      </c>
      <c r="X258" s="7">
        <f>IF($C258="","",W258-N258)</f>
        <v/>
      </c>
      <c r="AA258">
        <f>IF($C258="","",IF($AN258=1,0,IF($AM258=1,Settings!$C$6,Settings!$C$7))*100)</f>
        <v/>
      </c>
      <c r="AE258" s="7" t="n"/>
      <c r="AH258" s="11" t="n"/>
      <c r="AJ258">
        <f>IF($C258="","",$C258&amp;"|"&amp;$D258&amp;"")</f>
        <v/>
      </c>
      <c r="AK258">
        <f>IF($C258="","",IF(COUNTIF($AJ$2:$AJ258,$AJ258)=1,1,0))</f>
        <v/>
      </c>
      <c r="AL258">
        <f>IF($AK258=1,SUMPRODUCT(--($AO$2:$AO$1501&lt;$AO258))+1,"")</f>
        <v/>
      </c>
      <c r="AM258">
        <f>IF($C258="","",IF(OR($Q258=TRUE(),$Q258="TRUE"),1,0))</f>
        <v/>
      </c>
      <c r="AN258">
        <f>IF($C258="","",IF($Z258="Yes",1,0))</f>
        <v/>
      </c>
      <c r="AO258">
        <f>IF($AK258=1,IFERROR(IF(VALUE($C258)&lt;100000000,VALUE($C258),1000000000),IFERROR(IF(VALUE(MID($C258,2,20))&lt;100000000,VALUE(MID($C258,2,20)),1000000000),1000000000))+ROW()/100000,"")</f>
        <v/>
      </c>
    </row>
    <row r="259">
      <c r="F259" s="11" t="n"/>
      <c r="N259" s="7">
        <f>IF($C259="","",M259*U259/100)</f>
        <v/>
      </c>
      <c r="T259" s="7" t="n"/>
      <c r="U259" s="7" t="n"/>
      <c r="V259" s="7">
        <f>IF($C259="","",U259*AA259/100)</f>
        <v/>
      </c>
      <c r="W259" s="7">
        <f>IF($C259="","",U259-V259)</f>
        <v/>
      </c>
      <c r="X259" s="7">
        <f>IF($C259="","",W259-N259)</f>
        <v/>
      </c>
      <c r="AA259">
        <f>IF($C259="","",IF($AN259=1,0,IF($AM259=1,Settings!$C$6,Settings!$C$7))*100)</f>
        <v/>
      </c>
      <c r="AE259" s="7" t="n"/>
      <c r="AH259" s="11" t="n"/>
      <c r="AJ259">
        <f>IF($C259="","",$C259&amp;"|"&amp;$D259&amp;"")</f>
        <v/>
      </c>
      <c r="AK259">
        <f>IF($C259="","",IF(COUNTIF($AJ$2:$AJ259,$AJ259)=1,1,0))</f>
        <v/>
      </c>
      <c r="AL259">
        <f>IF($AK259=1,SUMPRODUCT(--($AO$2:$AO$1501&lt;$AO259))+1,"")</f>
        <v/>
      </c>
      <c r="AM259">
        <f>IF($C259="","",IF(OR($Q259=TRUE(),$Q259="TRUE"),1,0))</f>
        <v/>
      </c>
      <c r="AN259">
        <f>IF($C259="","",IF($Z259="Yes",1,0))</f>
        <v/>
      </c>
      <c r="AO259">
        <f>IF($AK259=1,IFERROR(IF(VALUE($C259)&lt;100000000,VALUE($C259),1000000000),IFERROR(IF(VALUE(MID($C259,2,20))&lt;100000000,VALUE(MID($C259,2,20)),1000000000),1000000000))+ROW()/100000,"")</f>
        <v/>
      </c>
    </row>
    <row r="260">
      <c r="F260" s="11" t="n"/>
      <c r="N260" s="7">
        <f>IF($C260="","",M260*U260/100)</f>
        <v/>
      </c>
      <c r="T260" s="7" t="n"/>
      <c r="U260" s="7" t="n"/>
      <c r="V260" s="7">
        <f>IF($C260="","",U260*AA260/100)</f>
        <v/>
      </c>
      <c r="W260" s="7">
        <f>IF($C260="","",U260-V260)</f>
        <v/>
      </c>
      <c r="X260" s="7">
        <f>IF($C260="","",W260-N260)</f>
        <v/>
      </c>
      <c r="AA260">
        <f>IF($C260="","",IF($AN260=1,0,IF($AM260=1,Settings!$C$6,Settings!$C$7))*100)</f>
        <v/>
      </c>
      <c r="AE260" s="7" t="n"/>
      <c r="AH260" s="11" t="n"/>
      <c r="AJ260">
        <f>IF($C260="","",$C260&amp;"|"&amp;$D260&amp;"")</f>
        <v/>
      </c>
      <c r="AK260">
        <f>IF($C260="","",IF(COUNTIF($AJ$2:$AJ260,$AJ260)=1,1,0))</f>
        <v/>
      </c>
      <c r="AL260">
        <f>IF($AK260=1,SUMPRODUCT(--($AO$2:$AO$1501&lt;$AO260))+1,"")</f>
        <v/>
      </c>
      <c r="AM260">
        <f>IF($C260="","",IF(OR($Q260=TRUE(),$Q260="TRUE"),1,0))</f>
        <v/>
      </c>
      <c r="AN260">
        <f>IF($C260="","",IF($Z260="Yes",1,0))</f>
        <v/>
      </c>
      <c r="AO260">
        <f>IF($AK260=1,IFERROR(IF(VALUE($C260)&lt;100000000,VALUE($C260),1000000000),IFERROR(IF(VALUE(MID($C260,2,20))&lt;100000000,VALUE(MID($C260,2,20)),1000000000),1000000000))+ROW()/100000,"")</f>
        <v/>
      </c>
    </row>
    <row r="261">
      <c r="F261" s="11" t="n"/>
      <c r="N261" s="7">
        <f>IF($C261="","",M261*U261/100)</f>
        <v/>
      </c>
      <c r="T261" s="7" t="n"/>
      <c r="U261" s="7" t="n"/>
      <c r="V261" s="7">
        <f>IF($C261="","",U261*AA261/100)</f>
        <v/>
      </c>
      <c r="W261" s="7">
        <f>IF($C261="","",U261-V261)</f>
        <v/>
      </c>
      <c r="X261" s="7">
        <f>IF($C261="","",W261-N261)</f>
        <v/>
      </c>
      <c r="AA261">
        <f>IF($C261="","",IF($AN261=1,0,IF($AM261=1,Settings!$C$6,Settings!$C$7))*100)</f>
        <v/>
      </c>
      <c r="AE261" s="7" t="n"/>
      <c r="AH261" s="11" t="n"/>
      <c r="AJ261">
        <f>IF($C261="","",$C261&amp;"|"&amp;$D261&amp;"")</f>
        <v/>
      </c>
      <c r="AK261">
        <f>IF($C261="","",IF(COUNTIF($AJ$2:$AJ261,$AJ261)=1,1,0))</f>
        <v/>
      </c>
      <c r="AL261">
        <f>IF($AK261=1,SUMPRODUCT(--($AO$2:$AO$1501&lt;$AO261))+1,"")</f>
        <v/>
      </c>
      <c r="AM261">
        <f>IF($C261="","",IF(OR($Q261=TRUE(),$Q261="TRUE"),1,0))</f>
        <v/>
      </c>
      <c r="AN261">
        <f>IF($C261="","",IF($Z261="Yes",1,0))</f>
        <v/>
      </c>
      <c r="AO261">
        <f>IF($AK261=1,IFERROR(IF(VALUE($C261)&lt;100000000,VALUE($C261),1000000000),IFERROR(IF(VALUE(MID($C261,2,20))&lt;100000000,VALUE(MID($C261,2,20)),1000000000),1000000000))+ROW()/100000,"")</f>
        <v/>
      </c>
    </row>
    <row r="262">
      <c r="F262" s="11" t="n"/>
      <c r="N262" s="7">
        <f>IF($C262="","",M262*U262/100)</f>
        <v/>
      </c>
      <c r="T262" s="7" t="n"/>
      <c r="U262" s="7" t="n"/>
      <c r="V262" s="7">
        <f>IF($C262="","",U262*AA262/100)</f>
        <v/>
      </c>
      <c r="W262" s="7">
        <f>IF($C262="","",U262-V262)</f>
        <v/>
      </c>
      <c r="X262" s="7">
        <f>IF($C262="","",W262-N262)</f>
        <v/>
      </c>
      <c r="AA262">
        <f>IF($C262="","",IF($AN262=1,0,IF($AM262=1,Settings!$C$6,Settings!$C$7))*100)</f>
        <v/>
      </c>
      <c r="AE262" s="7" t="n"/>
      <c r="AH262" s="11" t="n"/>
      <c r="AJ262">
        <f>IF($C262="","",$C262&amp;"|"&amp;$D262&amp;"")</f>
        <v/>
      </c>
      <c r="AK262">
        <f>IF($C262="","",IF(COUNTIF($AJ$2:$AJ262,$AJ262)=1,1,0))</f>
        <v/>
      </c>
      <c r="AL262">
        <f>IF($AK262=1,SUMPRODUCT(--($AO$2:$AO$1501&lt;$AO262))+1,"")</f>
        <v/>
      </c>
      <c r="AM262">
        <f>IF($C262="","",IF(OR($Q262=TRUE(),$Q262="TRUE"),1,0))</f>
        <v/>
      </c>
      <c r="AN262">
        <f>IF($C262="","",IF($Z262="Yes",1,0))</f>
        <v/>
      </c>
      <c r="AO262">
        <f>IF($AK262=1,IFERROR(IF(VALUE($C262)&lt;100000000,VALUE($C262),1000000000),IFERROR(IF(VALUE(MID($C262,2,20))&lt;100000000,VALUE(MID($C262,2,20)),1000000000),1000000000))+ROW()/100000,"")</f>
        <v/>
      </c>
    </row>
    <row r="263">
      <c r="F263" s="11" t="n"/>
      <c r="N263" s="7">
        <f>IF($C263="","",M263*U263/100)</f>
        <v/>
      </c>
      <c r="T263" s="7" t="n"/>
      <c r="U263" s="7" t="n"/>
      <c r="V263" s="7">
        <f>IF($C263="","",U263*AA263/100)</f>
        <v/>
      </c>
      <c r="W263" s="7">
        <f>IF($C263="","",U263-V263)</f>
        <v/>
      </c>
      <c r="X263" s="7">
        <f>IF($C263="","",W263-N263)</f>
        <v/>
      </c>
      <c r="AA263">
        <f>IF($C263="","",IF($AN263=1,0,IF($AM263=1,Settings!$C$6,Settings!$C$7))*100)</f>
        <v/>
      </c>
      <c r="AE263" s="7" t="n"/>
      <c r="AH263" s="11" t="n"/>
      <c r="AJ263">
        <f>IF($C263="","",$C263&amp;"|"&amp;$D263&amp;"")</f>
        <v/>
      </c>
      <c r="AK263">
        <f>IF($C263="","",IF(COUNTIF($AJ$2:$AJ263,$AJ263)=1,1,0))</f>
        <v/>
      </c>
      <c r="AL263">
        <f>IF($AK263=1,SUMPRODUCT(--($AO$2:$AO$1501&lt;$AO263))+1,"")</f>
        <v/>
      </c>
      <c r="AM263">
        <f>IF($C263="","",IF(OR($Q263=TRUE(),$Q263="TRUE"),1,0))</f>
        <v/>
      </c>
      <c r="AN263">
        <f>IF($C263="","",IF($Z263="Yes",1,0))</f>
        <v/>
      </c>
      <c r="AO263">
        <f>IF($AK263=1,IFERROR(IF(VALUE($C263)&lt;100000000,VALUE($C263),1000000000),IFERROR(IF(VALUE(MID($C263,2,20))&lt;100000000,VALUE(MID($C263,2,20)),1000000000),1000000000))+ROW()/100000,"")</f>
        <v/>
      </c>
    </row>
    <row r="264">
      <c r="F264" s="11" t="n"/>
      <c r="N264" s="7">
        <f>IF($C264="","",M264*U264/100)</f>
        <v/>
      </c>
      <c r="T264" s="7" t="n"/>
      <c r="U264" s="7" t="n"/>
      <c r="V264" s="7">
        <f>IF($C264="","",U264*AA264/100)</f>
        <v/>
      </c>
      <c r="W264" s="7">
        <f>IF($C264="","",U264-V264)</f>
        <v/>
      </c>
      <c r="X264" s="7">
        <f>IF($C264="","",W264-N264)</f>
        <v/>
      </c>
      <c r="AA264">
        <f>IF($C264="","",IF($AN264=1,0,IF($AM264=1,Settings!$C$6,Settings!$C$7))*100)</f>
        <v/>
      </c>
      <c r="AE264" s="7" t="n"/>
      <c r="AH264" s="11" t="n"/>
      <c r="AJ264">
        <f>IF($C264="","",$C264&amp;"|"&amp;$D264&amp;"")</f>
        <v/>
      </c>
      <c r="AK264">
        <f>IF($C264="","",IF(COUNTIF($AJ$2:$AJ264,$AJ264)=1,1,0))</f>
        <v/>
      </c>
      <c r="AL264">
        <f>IF($AK264=1,SUMPRODUCT(--($AO$2:$AO$1501&lt;$AO264))+1,"")</f>
        <v/>
      </c>
      <c r="AM264">
        <f>IF($C264="","",IF(OR($Q264=TRUE(),$Q264="TRUE"),1,0))</f>
        <v/>
      </c>
      <c r="AN264">
        <f>IF($C264="","",IF($Z264="Yes",1,0))</f>
        <v/>
      </c>
      <c r="AO264">
        <f>IF($AK264=1,IFERROR(IF(VALUE($C264)&lt;100000000,VALUE($C264),1000000000),IFERROR(IF(VALUE(MID($C264,2,20))&lt;100000000,VALUE(MID($C264,2,20)),1000000000),1000000000))+ROW()/100000,"")</f>
        <v/>
      </c>
    </row>
    <row r="265">
      <c r="F265" s="11" t="n"/>
      <c r="N265" s="7">
        <f>IF($C265="","",M265*U265/100)</f>
        <v/>
      </c>
      <c r="T265" s="7" t="n"/>
      <c r="U265" s="7" t="n"/>
      <c r="V265" s="7">
        <f>IF($C265="","",U265*AA265/100)</f>
        <v/>
      </c>
      <c r="W265" s="7">
        <f>IF($C265="","",U265-V265)</f>
        <v/>
      </c>
      <c r="X265" s="7">
        <f>IF($C265="","",W265-N265)</f>
        <v/>
      </c>
      <c r="AA265">
        <f>IF($C265="","",IF($AN265=1,0,IF($AM265=1,Settings!$C$6,Settings!$C$7))*100)</f>
        <v/>
      </c>
      <c r="AE265" s="7" t="n"/>
      <c r="AH265" s="11" t="n"/>
      <c r="AJ265">
        <f>IF($C265="","",$C265&amp;"|"&amp;$D265&amp;"")</f>
        <v/>
      </c>
      <c r="AK265">
        <f>IF($C265="","",IF(COUNTIF($AJ$2:$AJ265,$AJ265)=1,1,0))</f>
        <v/>
      </c>
      <c r="AL265">
        <f>IF($AK265=1,SUMPRODUCT(--($AO$2:$AO$1501&lt;$AO265))+1,"")</f>
        <v/>
      </c>
      <c r="AM265">
        <f>IF($C265="","",IF(OR($Q265=TRUE(),$Q265="TRUE"),1,0))</f>
        <v/>
      </c>
      <c r="AN265">
        <f>IF($C265="","",IF($Z265="Yes",1,0))</f>
        <v/>
      </c>
      <c r="AO265">
        <f>IF($AK265=1,IFERROR(IF(VALUE($C265)&lt;100000000,VALUE($C265),1000000000),IFERROR(IF(VALUE(MID($C265,2,20))&lt;100000000,VALUE(MID($C265,2,20)),1000000000),1000000000))+ROW()/100000,"")</f>
        <v/>
      </c>
    </row>
    <row r="266">
      <c r="F266" s="11" t="n"/>
      <c r="N266" s="7">
        <f>IF($C266="","",M266*U266/100)</f>
        <v/>
      </c>
      <c r="T266" s="7" t="n"/>
      <c r="U266" s="7" t="n"/>
      <c r="V266" s="7">
        <f>IF($C266="","",U266*AA266/100)</f>
        <v/>
      </c>
      <c r="W266" s="7">
        <f>IF($C266="","",U266-V266)</f>
        <v/>
      </c>
      <c r="X266" s="7">
        <f>IF($C266="","",W266-N266)</f>
        <v/>
      </c>
      <c r="AA266">
        <f>IF($C266="","",IF($AN266=1,0,IF($AM266=1,Settings!$C$6,Settings!$C$7))*100)</f>
        <v/>
      </c>
      <c r="AE266" s="7" t="n"/>
      <c r="AH266" s="11" t="n"/>
      <c r="AJ266">
        <f>IF($C266="","",$C266&amp;"|"&amp;$D266&amp;"")</f>
        <v/>
      </c>
      <c r="AK266">
        <f>IF($C266="","",IF(COUNTIF($AJ$2:$AJ266,$AJ266)=1,1,0))</f>
        <v/>
      </c>
      <c r="AL266">
        <f>IF($AK266=1,SUMPRODUCT(--($AO$2:$AO$1501&lt;$AO266))+1,"")</f>
        <v/>
      </c>
      <c r="AM266">
        <f>IF($C266="","",IF(OR($Q266=TRUE(),$Q266="TRUE"),1,0))</f>
        <v/>
      </c>
      <c r="AN266">
        <f>IF($C266="","",IF($Z266="Yes",1,0))</f>
        <v/>
      </c>
      <c r="AO266">
        <f>IF($AK266=1,IFERROR(IF(VALUE($C266)&lt;100000000,VALUE($C266),1000000000),IFERROR(IF(VALUE(MID($C266,2,20))&lt;100000000,VALUE(MID($C266,2,20)),1000000000),1000000000))+ROW()/100000,"")</f>
        <v/>
      </c>
    </row>
    <row r="267">
      <c r="F267" s="11" t="n"/>
      <c r="N267" s="7">
        <f>IF($C267="","",M267*U267/100)</f>
        <v/>
      </c>
      <c r="T267" s="7" t="n"/>
      <c r="U267" s="7" t="n"/>
      <c r="V267" s="7">
        <f>IF($C267="","",U267*AA267/100)</f>
        <v/>
      </c>
      <c r="W267" s="7">
        <f>IF($C267="","",U267-V267)</f>
        <v/>
      </c>
      <c r="X267" s="7">
        <f>IF($C267="","",W267-N267)</f>
        <v/>
      </c>
      <c r="AA267">
        <f>IF($C267="","",IF($AN267=1,0,IF($AM267=1,Settings!$C$6,Settings!$C$7))*100)</f>
        <v/>
      </c>
      <c r="AE267" s="7" t="n"/>
      <c r="AH267" s="11" t="n"/>
      <c r="AJ267">
        <f>IF($C267="","",$C267&amp;"|"&amp;$D267&amp;"")</f>
        <v/>
      </c>
      <c r="AK267">
        <f>IF($C267="","",IF(COUNTIF($AJ$2:$AJ267,$AJ267)=1,1,0))</f>
        <v/>
      </c>
      <c r="AL267">
        <f>IF($AK267=1,SUMPRODUCT(--($AO$2:$AO$1501&lt;$AO267))+1,"")</f>
        <v/>
      </c>
      <c r="AM267">
        <f>IF($C267="","",IF(OR($Q267=TRUE(),$Q267="TRUE"),1,0))</f>
        <v/>
      </c>
      <c r="AN267">
        <f>IF($C267="","",IF($Z267="Yes",1,0))</f>
        <v/>
      </c>
      <c r="AO267">
        <f>IF($AK267=1,IFERROR(IF(VALUE($C267)&lt;100000000,VALUE($C267),1000000000),IFERROR(IF(VALUE(MID($C267,2,20))&lt;100000000,VALUE(MID($C267,2,20)),1000000000),1000000000))+ROW()/100000,"")</f>
        <v/>
      </c>
    </row>
    <row r="268">
      <c r="F268" s="11" t="n"/>
      <c r="N268" s="7">
        <f>IF($C268="","",M268*U268/100)</f>
        <v/>
      </c>
      <c r="T268" s="7" t="n"/>
      <c r="U268" s="7" t="n"/>
      <c r="V268" s="7">
        <f>IF($C268="","",U268*AA268/100)</f>
        <v/>
      </c>
      <c r="W268" s="7">
        <f>IF($C268="","",U268-V268)</f>
        <v/>
      </c>
      <c r="X268" s="7">
        <f>IF($C268="","",W268-N268)</f>
        <v/>
      </c>
      <c r="AA268">
        <f>IF($C268="","",IF($AN268=1,0,IF($AM268=1,Settings!$C$6,Settings!$C$7))*100)</f>
        <v/>
      </c>
      <c r="AE268" s="7" t="n"/>
      <c r="AH268" s="11" t="n"/>
      <c r="AJ268">
        <f>IF($C268="","",$C268&amp;"|"&amp;$D268&amp;"")</f>
        <v/>
      </c>
      <c r="AK268">
        <f>IF($C268="","",IF(COUNTIF($AJ$2:$AJ268,$AJ268)=1,1,0))</f>
        <v/>
      </c>
      <c r="AL268">
        <f>IF($AK268=1,SUMPRODUCT(--($AO$2:$AO$1501&lt;$AO268))+1,"")</f>
        <v/>
      </c>
      <c r="AM268">
        <f>IF($C268="","",IF(OR($Q268=TRUE(),$Q268="TRUE"),1,0))</f>
        <v/>
      </c>
      <c r="AN268">
        <f>IF($C268="","",IF($Z268="Yes",1,0))</f>
        <v/>
      </c>
      <c r="AO268">
        <f>IF($AK268=1,IFERROR(IF(VALUE($C268)&lt;100000000,VALUE($C268),1000000000),IFERROR(IF(VALUE(MID($C268,2,20))&lt;100000000,VALUE(MID($C268,2,20)),1000000000),1000000000))+ROW()/100000,"")</f>
        <v/>
      </c>
    </row>
    <row r="269">
      <c r="F269" s="11" t="n"/>
      <c r="N269" s="7">
        <f>IF($C269="","",M269*U269/100)</f>
        <v/>
      </c>
      <c r="T269" s="7" t="n"/>
      <c r="U269" s="7" t="n"/>
      <c r="V269" s="7">
        <f>IF($C269="","",U269*AA269/100)</f>
        <v/>
      </c>
      <c r="W269" s="7">
        <f>IF($C269="","",U269-V269)</f>
        <v/>
      </c>
      <c r="X269" s="7">
        <f>IF($C269="","",W269-N269)</f>
        <v/>
      </c>
      <c r="AA269">
        <f>IF($C269="","",IF($AN269=1,0,IF($AM269=1,Settings!$C$6,Settings!$C$7))*100)</f>
        <v/>
      </c>
      <c r="AE269" s="7" t="n"/>
      <c r="AH269" s="11" t="n"/>
      <c r="AJ269">
        <f>IF($C269="","",$C269&amp;"|"&amp;$D269&amp;"")</f>
        <v/>
      </c>
      <c r="AK269">
        <f>IF($C269="","",IF(COUNTIF($AJ$2:$AJ269,$AJ269)=1,1,0))</f>
        <v/>
      </c>
      <c r="AL269">
        <f>IF($AK269=1,SUMPRODUCT(--($AO$2:$AO$1501&lt;$AO269))+1,"")</f>
        <v/>
      </c>
      <c r="AM269">
        <f>IF($C269="","",IF(OR($Q269=TRUE(),$Q269="TRUE"),1,0))</f>
        <v/>
      </c>
      <c r="AN269">
        <f>IF($C269="","",IF($Z269="Yes",1,0))</f>
        <v/>
      </c>
      <c r="AO269">
        <f>IF($AK269=1,IFERROR(IF(VALUE($C269)&lt;100000000,VALUE($C269),1000000000),IFERROR(IF(VALUE(MID($C269,2,20))&lt;100000000,VALUE(MID($C269,2,20)),1000000000),1000000000))+ROW()/100000,"")</f>
        <v/>
      </c>
    </row>
    <row r="270">
      <c r="F270" s="11" t="n"/>
      <c r="N270" s="7">
        <f>IF($C270="","",M270*U270/100)</f>
        <v/>
      </c>
      <c r="T270" s="7" t="n"/>
      <c r="U270" s="7" t="n"/>
      <c r="V270" s="7">
        <f>IF($C270="","",U270*AA270/100)</f>
        <v/>
      </c>
      <c r="W270" s="7">
        <f>IF($C270="","",U270-V270)</f>
        <v/>
      </c>
      <c r="X270" s="7">
        <f>IF($C270="","",W270-N270)</f>
        <v/>
      </c>
      <c r="AA270">
        <f>IF($C270="","",IF($AN270=1,0,IF($AM270=1,Settings!$C$6,Settings!$C$7))*100)</f>
        <v/>
      </c>
      <c r="AE270" s="7" t="n"/>
      <c r="AH270" s="11" t="n"/>
      <c r="AJ270">
        <f>IF($C270="","",$C270&amp;"|"&amp;$D270&amp;"")</f>
        <v/>
      </c>
      <c r="AK270">
        <f>IF($C270="","",IF(COUNTIF($AJ$2:$AJ270,$AJ270)=1,1,0))</f>
        <v/>
      </c>
      <c r="AL270">
        <f>IF($AK270=1,SUMPRODUCT(--($AO$2:$AO$1501&lt;$AO270))+1,"")</f>
        <v/>
      </c>
      <c r="AM270">
        <f>IF($C270="","",IF(OR($Q270=TRUE(),$Q270="TRUE"),1,0))</f>
        <v/>
      </c>
      <c r="AN270">
        <f>IF($C270="","",IF($Z270="Yes",1,0))</f>
        <v/>
      </c>
      <c r="AO270">
        <f>IF($AK270=1,IFERROR(IF(VALUE($C270)&lt;100000000,VALUE($C270),1000000000),IFERROR(IF(VALUE(MID($C270,2,20))&lt;100000000,VALUE(MID($C270,2,20)),1000000000),1000000000))+ROW()/100000,"")</f>
        <v/>
      </c>
    </row>
    <row r="271">
      <c r="F271" s="11" t="n"/>
      <c r="N271" s="7">
        <f>IF($C271="","",M271*U271/100)</f>
        <v/>
      </c>
      <c r="T271" s="7" t="n"/>
      <c r="U271" s="7" t="n"/>
      <c r="V271" s="7">
        <f>IF($C271="","",U271*AA271/100)</f>
        <v/>
      </c>
      <c r="W271" s="7">
        <f>IF($C271="","",U271-V271)</f>
        <v/>
      </c>
      <c r="X271" s="7">
        <f>IF($C271="","",W271-N271)</f>
        <v/>
      </c>
      <c r="AA271">
        <f>IF($C271="","",IF($AN271=1,0,IF($AM271=1,Settings!$C$6,Settings!$C$7))*100)</f>
        <v/>
      </c>
      <c r="AE271" s="7" t="n"/>
      <c r="AH271" s="11" t="n"/>
      <c r="AJ271">
        <f>IF($C271="","",$C271&amp;"|"&amp;$D271&amp;"")</f>
        <v/>
      </c>
      <c r="AK271">
        <f>IF($C271="","",IF(COUNTIF($AJ$2:$AJ271,$AJ271)=1,1,0))</f>
        <v/>
      </c>
      <c r="AL271">
        <f>IF($AK271=1,SUMPRODUCT(--($AO$2:$AO$1501&lt;$AO271))+1,"")</f>
        <v/>
      </c>
      <c r="AM271">
        <f>IF($C271="","",IF(OR($Q271=TRUE(),$Q271="TRUE"),1,0))</f>
        <v/>
      </c>
      <c r="AN271">
        <f>IF($C271="","",IF($Z271="Yes",1,0))</f>
        <v/>
      </c>
      <c r="AO271">
        <f>IF($AK271=1,IFERROR(IF(VALUE($C271)&lt;100000000,VALUE($C271),1000000000),IFERROR(IF(VALUE(MID($C271,2,20))&lt;100000000,VALUE(MID($C271,2,20)),1000000000),1000000000))+ROW()/100000,"")</f>
        <v/>
      </c>
    </row>
    <row r="272">
      <c r="F272" s="11" t="n"/>
      <c r="N272" s="7">
        <f>IF($C272="","",M272*U272/100)</f>
        <v/>
      </c>
      <c r="T272" s="7" t="n"/>
      <c r="U272" s="7" t="n"/>
      <c r="V272" s="7">
        <f>IF($C272="","",U272*AA272/100)</f>
        <v/>
      </c>
      <c r="W272" s="7">
        <f>IF($C272="","",U272-V272)</f>
        <v/>
      </c>
      <c r="X272" s="7">
        <f>IF($C272="","",W272-N272)</f>
        <v/>
      </c>
      <c r="AA272">
        <f>IF($C272="","",IF($AN272=1,0,IF($AM272=1,Settings!$C$6,Settings!$C$7))*100)</f>
        <v/>
      </c>
      <c r="AE272" s="7" t="n"/>
      <c r="AH272" s="11" t="n"/>
      <c r="AJ272">
        <f>IF($C272="","",$C272&amp;"|"&amp;$D272&amp;"")</f>
        <v/>
      </c>
      <c r="AK272">
        <f>IF($C272="","",IF(COUNTIF($AJ$2:$AJ272,$AJ272)=1,1,0))</f>
        <v/>
      </c>
      <c r="AL272">
        <f>IF($AK272=1,SUMPRODUCT(--($AO$2:$AO$1501&lt;$AO272))+1,"")</f>
        <v/>
      </c>
      <c r="AM272">
        <f>IF($C272="","",IF(OR($Q272=TRUE(),$Q272="TRUE"),1,0))</f>
        <v/>
      </c>
      <c r="AN272">
        <f>IF($C272="","",IF($Z272="Yes",1,0))</f>
        <v/>
      </c>
      <c r="AO272">
        <f>IF($AK272=1,IFERROR(IF(VALUE($C272)&lt;100000000,VALUE($C272),1000000000),IFERROR(IF(VALUE(MID($C272,2,20))&lt;100000000,VALUE(MID($C272,2,20)),1000000000),1000000000))+ROW()/100000,"")</f>
        <v/>
      </c>
    </row>
    <row r="273">
      <c r="F273" s="11" t="n"/>
      <c r="N273" s="7">
        <f>IF($C273="","",M273*U273/100)</f>
        <v/>
      </c>
      <c r="T273" s="7" t="n"/>
      <c r="U273" s="7" t="n"/>
      <c r="V273" s="7">
        <f>IF($C273="","",U273*AA273/100)</f>
        <v/>
      </c>
      <c r="W273" s="7">
        <f>IF($C273="","",U273-V273)</f>
        <v/>
      </c>
      <c r="X273" s="7">
        <f>IF($C273="","",W273-N273)</f>
        <v/>
      </c>
      <c r="AA273">
        <f>IF($C273="","",IF($AN273=1,0,IF($AM273=1,Settings!$C$6,Settings!$C$7))*100)</f>
        <v/>
      </c>
      <c r="AE273" s="7" t="n"/>
      <c r="AH273" s="11" t="n"/>
      <c r="AJ273">
        <f>IF($C273="","",$C273&amp;"|"&amp;$D273&amp;"")</f>
        <v/>
      </c>
      <c r="AK273">
        <f>IF($C273="","",IF(COUNTIF($AJ$2:$AJ273,$AJ273)=1,1,0))</f>
        <v/>
      </c>
      <c r="AL273">
        <f>IF($AK273=1,SUMPRODUCT(--($AO$2:$AO$1501&lt;$AO273))+1,"")</f>
        <v/>
      </c>
      <c r="AM273">
        <f>IF($C273="","",IF(OR($Q273=TRUE(),$Q273="TRUE"),1,0))</f>
        <v/>
      </c>
      <c r="AN273">
        <f>IF($C273="","",IF($Z273="Yes",1,0))</f>
        <v/>
      </c>
      <c r="AO273">
        <f>IF($AK273=1,IFERROR(IF(VALUE($C273)&lt;100000000,VALUE($C273),1000000000),IFERROR(IF(VALUE(MID($C273,2,20))&lt;100000000,VALUE(MID($C273,2,20)),1000000000),1000000000))+ROW()/100000,"")</f>
        <v/>
      </c>
    </row>
    <row r="274">
      <c r="F274" s="11" t="n"/>
      <c r="N274" s="7">
        <f>IF($C274="","",M274*U274/100)</f>
        <v/>
      </c>
      <c r="T274" s="7" t="n"/>
      <c r="U274" s="7" t="n"/>
      <c r="V274" s="7">
        <f>IF($C274="","",U274*AA274/100)</f>
        <v/>
      </c>
      <c r="W274" s="7">
        <f>IF($C274="","",U274-V274)</f>
        <v/>
      </c>
      <c r="X274" s="7">
        <f>IF($C274="","",W274-N274)</f>
        <v/>
      </c>
      <c r="AA274">
        <f>IF($C274="","",IF($AN274=1,0,IF($AM274=1,Settings!$C$6,Settings!$C$7))*100)</f>
        <v/>
      </c>
      <c r="AE274" s="7" t="n"/>
      <c r="AH274" s="11" t="n"/>
      <c r="AJ274">
        <f>IF($C274="","",$C274&amp;"|"&amp;$D274&amp;"")</f>
        <v/>
      </c>
      <c r="AK274">
        <f>IF($C274="","",IF(COUNTIF($AJ$2:$AJ274,$AJ274)=1,1,0))</f>
        <v/>
      </c>
      <c r="AL274">
        <f>IF($AK274=1,SUMPRODUCT(--($AO$2:$AO$1501&lt;$AO274))+1,"")</f>
        <v/>
      </c>
      <c r="AM274">
        <f>IF($C274="","",IF(OR($Q274=TRUE(),$Q274="TRUE"),1,0))</f>
        <v/>
      </c>
      <c r="AN274">
        <f>IF($C274="","",IF($Z274="Yes",1,0))</f>
        <v/>
      </c>
      <c r="AO274">
        <f>IF($AK274=1,IFERROR(IF(VALUE($C274)&lt;100000000,VALUE($C274),1000000000),IFERROR(IF(VALUE(MID($C274,2,20))&lt;100000000,VALUE(MID($C274,2,20)),1000000000),1000000000))+ROW()/100000,"")</f>
        <v/>
      </c>
    </row>
    <row r="275">
      <c r="F275" s="11" t="n"/>
      <c r="N275" s="7">
        <f>IF($C275="","",M275*U275/100)</f>
        <v/>
      </c>
      <c r="T275" s="7" t="n"/>
      <c r="U275" s="7" t="n"/>
      <c r="V275" s="7">
        <f>IF($C275="","",U275*AA275/100)</f>
        <v/>
      </c>
      <c r="W275" s="7">
        <f>IF($C275="","",U275-V275)</f>
        <v/>
      </c>
      <c r="X275" s="7">
        <f>IF($C275="","",W275-N275)</f>
        <v/>
      </c>
      <c r="AA275">
        <f>IF($C275="","",IF($AN275=1,0,IF($AM275=1,Settings!$C$6,Settings!$C$7))*100)</f>
        <v/>
      </c>
      <c r="AE275" s="7" t="n"/>
      <c r="AH275" s="11" t="n"/>
      <c r="AJ275">
        <f>IF($C275="","",$C275&amp;"|"&amp;$D275&amp;"")</f>
        <v/>
      </c>
      <c r="AK275">
        <f>IF($C275="","",IF(COUNTIF($AJ$2:$AJ275,$AJ275)=1,1,0))</f>
        <v/>
      </c>
      <c r="AL275">
        <f>IF($AK275=1,SUMPRODUCT(--($AO$2:$AO$1501&lt;$AO275))+1,"")</f>
        <v/>
      </c>
      <c r="AM275">
        <f>IF($C275="","",IF(OR($Q275=TRUE(),$Q275="TRUE"),1,0))</f>
        <v/>
      </c>
      <c r="AN275">
        <f>IF($C275="","",IF($Z275="Yes",1,0))</f>
        <v/>
      </c>
      <c r="AO275">
        <f>IF($AK275=1,IFERROR(IF(VALUE($C275)&lt;100000000,VALUE($C275),1000000000),IFERROR(IF(VALUE(MID($C275,2,20))&lt;100000000,VALUE(MID($C275,2,20)),1000000000),1000000000))+ROW()/100000,"")</f>
        <v/>
      </c>
    </row>
    <row r="276">
      <c r="F276" s="11" t="n"/>
      <c r="N276" s="7">
        <f>IF($C276="","",M276*U276/100)</f>
        <v/>
      </c>
      <c r="T276" s="7" t="n"/>
      <c r="U276" s="7" t="n"/>
      <c r="V276" s="7">
        <f>IF($C276="","",U276*AA276/100)</f>
        <v/>
      </c>
      <c r="W276" s="7">
        <f>IF($C276="","",U276-V276)</f>
        <v/>
      </c>
      <c r="X276" s="7">
        <f>IF($C276="","",W276-N276)</f>
        <v/>
      </c>
      <c r="AA276">
        <f>IF($C276="","",IF($AN276=1,0,IF($AM276=1,Settings!$C$6,Settings!$C$7))*100)</f>
        <v/>
      </c>
      <c r="AE276" s="7" t="n"/>
      <c r="AH276" s="11" t="n"/>
      <c r="AJ276">
        <f>IF($C276="","",$C276&amp;"|"&amp;$D276&amp;"")</f>
        <v/>
      </c>
      <c r="AK276">
        <f>IF($C276="","",IF(COUNTIF($AJ$2:$AJ276,$AJ276)=1,1,0))</f>
        <v/>
      </c>
      <c r="AL276">
        <f>IF($AK276=1,SUMPRODUCT(--($AO$2:$AO$1501&lt;$AO276))+1,"")</f>
        <v/>
      </c>
      <c r="AM276">
        <f>IF($C276="","",IF(OR($Q276=TRUE(),$Q276="TRUE"),1,0))</f>
        <v/>
      </c>
      <c r="AN276">
        <f>IF($C276="","",IF($Z276="Yes",1,0))</f>
        <v/>
      </c>
      <c r="AO276">
        <f>IF($AK276=1,IFERROR(IF(VALUE($C276)&lt;100000000,VALUE($C276),1000000000),IFERROR(IF(VALUE(MID($C276,2,20))&lt;100000000,VALUE(MID($C276,2,20)),1000000000),1000000000))+ROW()/100000,"")</f>
        <v/>
      </c>
    </row>
    <row r="277">
      <c r="F277" s="11" t="n"/>
      <c r="N277" s="7">
        <f>IF($C277="","",M277*U277/100)</f>
        <v/>
      </c>
      <c r="T277" s="7" t="n"/>
      <c r="U277" s="7" t="n"/>
      <c r="V277" s="7">
        <f>IF($C277="","",U277*AA277/100)</f>
        <v/>
      </c>
      <c r="W277" s="7">
        <f>IF($C277="","",U277-V277)</f>
        <v/>
      </c>
      <c r="X277" s="7">
        <f>IF($C277="","",W277-N277)</f>
        <v/>
      </c>
      <c r="AA277">
        <f>IF($C277="","",IF($AN277=1,0,IF($AM277=1,Settings!$C$6,Settings!$C$7))*100)</f>
        <v/>
      </c>
      <c r="AE277" s="7" t="n"/>
      <c r="AH277" s="11" t="n"/>
      <c r="AJ277">
        <f>IF($C277="","",$C277&amp;"|"&amp;$D277&amp;"")</f>
        <v/>
      </c>
      <c r="AK277">
        <f>IF($C277="","",IF(COUNTIF($AJ$2:$AJ277,$AJ277)=1,1,0))</f>
        <v/>
      </c>
      <c r="AL277">
        <f>IF($AK277=1,SUMPRODUCT(--($AO$2:$AO$1501&lt;$AO277))+1,"")</f>
        <v/>
      </c>
      <c r="AM277">
        <f>IF($C277="","",IF(OR($Q277=TRUE(),$Q277="TRUE"),1,0))</f>
        <v/>
      </c>
      <c r="AN277">
        <f>IF($C277="","",IF($Z277="Yes",1,0))</f>
        <v/>
      </c>
      <c r="AO277">
        <f>IF($AK277=1,IFERROR(IF(VALUE($C277)&lt;100000000,VALUE($C277),1000000000),IFERROR(IF(VALUE(MID($C277,2,20))&lt;100000000,VALUE(MID($C277,2,20)),1000000000),1000000000))+ROW()/100000,"")</f>
        <v/>
      </c>
    </row>
    <row r="278">
      <c r="F278" s="11" t="n"/>
      <c r="N278" s="7">
        <f>IF($C278="","",M278*U278/100)</f>
        <v/>
      </c>
      <c r="T278" s="7" t="n"/>
      <c r="U278" s="7" t="n"/>
      <c r="V278" s="7">
        <f>IF($C278="","",U278*AA278/100)</f>
        <v/>
      </c>
      <c r="W278" s="7">
        <f>IF($C278="","",U278-V278)</f>
        <v/>
      </c>
      <c r="X278" s="7">
        <f>IF($C278="","",W278-N278)</f>
        <v/>
      </c>
      <c r="AA278">
        <f>IF($C278="","",IF($AN278=1,0,IF($AM278=1,Settings!$C$6,Settings!$C$7))*100)</f>
        <v/>
      </c>
      <c r="AE278" s="7" t="n"/>
      <c r="AH278" s="11" t="n"/>
      <c r="AJ278">
        <f>IF($C278="","",$C278&amp;"|"&amp;$D278&amp;"")</f>
        <v/>
      </c>
      <c r="AK278">
        <f>IF($C278="","",IF(COUNTIF($AJ$2:$AJ278,$AJ278)=1,1,0))</f>
        <v/>
      </c>
      <c r="AL278">
        <f>IF($AK278=1,SUMPRODUCT(--($AO$2:$AO$1501&lt;$AO278))+1,"")</f>
        <v/>
      </c>
      <c r="AM278">
        <f>IF($C278="","",IF(OR($Q278=TRUE(),$Q278="TRUE"),1,0))</f>
        <v/>
      </c>
      <c r="AN278">
        <f>IF($C278="","",IF($Z278="Yes",1,0))</f>
        <v/>
      </c>
      <c r="AO278">
        <f>IF($AK278=1,IFERROR(IF(VALUE($C278)&lt;100000000,VALUE($C278),1000000000),IFERROR(IF(VALUE(MID($C278,2,20))&lt;100000000,VALUE(MID($C278,2,20)),1000000000),1000000000))+ROW()/100000,"")</f>
        <v/>
      </c>
    </row>
    <row r="279">
      <c r="F279" s="11" t="n"/>
      <c r="N279" s="7">
        <f>IF($C279="","",M279*U279/100)</f>
        <v/>
      </c>
      <c r="T279" s="7" t="n"/>
      <c r="U279" s="7" t="n"/>
      <c r="V279" s="7">
        <f>IF($C279="","",U279*AA279/100)</f>
        <v/>
      </c>
      <c r="W279" s="7">
        <f>IF($C279="","",U279-V279)</f>
        <v/>
      </c>
      <c r="X279" s="7">
        <f>IF($C279="","",W279-N279)</f>
        <v/>
      </c>
      <c r="AA279">
        <f>IF($C279="","",IF($AN279=1,0,IF($AM279=1,Settings!$C$6,Settings!$C$7))*100)</f>
        <v/>
      </c>
      <c r="AE279" s="7" t="n"/>
      <c r="AH279" s="11" t="n"/>
      <c r="AJ279">
        <f>IF($C279="","",$C279&amp;"|"&amp;$D279&amp;"")</f>
        <v/>
      </c>
      <c r="AK279">
        <f>IF($C279="","",IF(COUNTIF($AJ$2:$AJ279,$AJ279)=1,1,0))</f>
        <v/>
      </c>
      <c r="AL279">
        <f>IF($AK279=1,SUMPRODUCT(--($AO$2:$AO$1501&lt;$AO279))+1,"")</f>
        <v/>
      </c>
      <c r="AM279">
        <f>IF($C279="","",IF(OR($Q279=TRUE(),$Q279="TRUE"),1,0))</f>
        <v/>
      </c>
      <c r="AN279">
        <f>IF($C279="","",IF($Z279="Yes",1,0))</f>
        <v/>
      </c>
      <c r="AO279">
        <f>IF($AK279=1,IFERROR(IF(VALUE($C279)&lt;100000000,VALUE($C279),1000000000),IFERROR(IF(VALUE(MID($C279,2,20))&lt;100000000,VALUE(MID($C279,2,20)),1000000000),1000000000))+ROW()/100000,"")</f>
        <v/>
      </c>
    </row>
    <row r="280">
      <c r="F280" s="11" t="n"/>
      <c r="N280" s="7">
        <f>IF($C280="","",M280*U280/100)</f>
        <v/>
      </c>
      <c r="T280" s="7" t="n"/>
      <c r="U280" s="7" t="n"/>
      <c r="V280" s="7">
        <f>IF($C280="","",U280*AA280/100)</f>
        <v/>
      </c>
      <c r="W280" s="7">
        <f>IF($C280="","",U280-V280)</f>
        <v/>
      </c>
      <c r="X280" s="7">
        <f>IF($C280="","",W280-N280)</f>
        <v/>
      </c>
      <c r="AA280">
        <f>IF($C280="","",IF($AN280=1,0,IF($AM280=1,Settings!$C$6,Settings!$C$7))*100)</f>
        <v/>
      </c>
      <c r="AE280" s="7" t="n"/>
      <c r="AH280" s="11" t="n"/>
      <c r="AJ280">
        <f>IF($C280="","",$C280&amp;"|"&amp;$D280&amp;"")</f>
        <v/>
      </c>
      <c r="AK280">
        <f>IF($C280="","",IF(COUNTIF($AJ$2:$AJ280,$AJ280)=1,1,0))</f>
        <v/>
      </c>
      <c r="AL280">
        <f>IF($AK280=1,SUMPRODUCT(--($AO$2:$AO$1501&lt;$AO280))+1,"")</f>
        <v/>
      </c>
      <c r="AM280">
        <f>IF($C280="","",IF(OR($Q280=TRUE(),$Q280="TRUE"),1,0))</f>
        <v/>
      </c>
      <c r="AN280">
        <f>IF($C280="","",IF($Z280="Yes",1,0))</f>
        <v/>
      </c>
      <c r="AO280">
        <f>IF($AK280=1,IFERROR(IF(VALUE($C280)&lt;100000000,VALUE($C280),1000000000),IFERROR(IF(VALUE(MID($C280,2,20))&lt;100000000,VALUE(MID($C280,2,20)),1000000000),1000000000))+ROW()/100000,"")</f>
        <v/>
      </c>
    </row>
    <row r="281">
      <c r="F281" s="11" t="n"/>
      <c r="N281" s="7">
        <f>IF($C281="","",M281*U281/100)</f>
        <v/>
      </c>
      <c r="T281" s="7" t="n"/>
      <c r="U281" s="7" t="n"/>
      <c r="V281" s="7">
        <f>IF($C281="","",U281*AA281/100)</f>
        <v/>
      </c>
      <c r="W281" s="7">
        <f>IF($C281="","",U281-V281)</f>
        <v/>
      </c>
      <c r="X281" s="7">
        <f>IF($C281="","",W281-N281)</f>
        <v/>
      </c>
      <c r="AA281">
        <f>IF($C281="","",IF($AN281=1,0,IF($AM281=1,Settings!$C$6,Settings!$C$7))*100)</f>
        <v/>
      </c>
      <c r="AE281" s="7" t="n"/>
      <c r="AH281" s="11" t="n"/>
      <c r="AJ281">
        <f>IF($C281="","",$C281&amp;"|"&amp;$D281&amp;"")</f>
        <v/>
      </c>
      <c r="AK281">
        <f>IF($C281="","",IF(COUNTIF($AJ$2:$AJ281,$AJ281)=1,1,0))</f>
        <v/>
      </c>
      <c r="AL281">
        <f>IF($AK281=1,SUMPRODUCT(--($AO$2:$AO$1501&lt;$AO281))+1,"")</f>
        <v/>
      </c>
      <c r="AM281">
        <f>IF($C281="","",IF(OR($Q281=TRUE(),$Q281="TRUE"),1,0))</f>
        <v/>
      </c>
      <c r="AN281">
        <f>IF($C281="","",IF($Z281="Yes",1,0))</f>
        <v/>
      </c>
      <c r="AO281">
        <f>IF($AK281=1,IFERROR(IF(VALUE($C281)&lt;100000000,VALUE($C281),1000000000),IFERROR(IF(VALUE(MID($C281,2,20))&lt;100000000,VALUE(MID($C281,2,20)),1000000000),1000000000))+ROW()/100000,"")</f>
        <v/>
      </c>
    </row>
    <row r="282">
      <c r="F282" s="11" t="n"/>
      <c r="N282" s="7">
        <f>IF($C282="","",M282*U282/100)</f>
        <v/>
      </c>
      <c r="T282" s="7" t="n"/>
      <c r="U282" s="7" t="n"/>
      <c r="V282" s="7">
        <f>IF($C282="","",U282*AA282/100)</f>
        <v/>
      </c>
      <c r="W282" s="7">
        <f>IF($C282="","",U282-V282)</f>
        <v/>
      </c>
      <c r="X282" s="7">
        <f>IF($C282="","",W282-N282)</f>
        <v/>
      </c>
      <c r="AA282">
        <f>IF($C282="","",IF($AN282=1,0,IF($AM282=1,Settings!$C$6,Settings!$C$7))*100)</f>
        <v/>
      </c>
      <c r="AE282" s="7" t="n"/>
      <c r="AH282" s="11" t="n"/>
      <c r="AJ282">
        <f>IF($C282="","",$C282&amp;"|"&amp;$D282&amp;"")</f>
        <v/>
      </c>
      <c r="AK282">
        <f>IF($C282="","",IF(COUNTIF($AJ$2:$AJ282,$AJ282)=1,1,0))</f>
        <v/>
      </c>
      <c r="AL282">
        <f>IF($AK282=1,SUMPRODUCT(--($AO$2:$AO$1501&lt;$AO282))+1,"")</f>
        <v/>
      </c>
      <c r="AM282">
        <f>IF($C282="","",IF(OR($Q282=TRUE(),$Q282="TRUE"),1,0))</f>
        <v/>
      </c>
      <c r="AN282">
        <f>IF($C282="","",IF($Z282="Yes",1,0))</f>
        <v/>
      </c>
      <c r="AO282">
        <f>IF($AK282=1,IFERROR(IF(VALUE($C282)&lt;100000000,VALUE($C282),1000000000),IFERROR(IF(VALUE(MID($C282,2,20))&lt;100000000,VALUE(MID($C282,2,20)),1000000000),1000000000))+ROW()/100000,"")</f>
        <v/>
      </c>
    </row>
    <row r="283">
      <c r="F283" s="11" t="n"/>
      <c r="N283" s="7">
        <f>IF($C283="","",M283*U283/100)</f>
        <v/>
      </c>
      <c r="T283" s="7" t="n"/>
      <c r="U283" s="7" t="n"/>
      <c r="V283" s="7">
        <f>IF($C283="","",U283*AA283/100)</f>
        <v/>
      </c>
      <c r="W283" s="7">
        <f>IF($C283="","",U283-V283)</f>
        <v/>
      </c>
      <c r="X283" s="7">
        <f>IF($C283="","",W283-N283)</f>
        <v/>
      </c>
      <c r="AA283">
        <f>IF($C283="","",IF($AN283=1,0,IF($AM283=1,Settings!$C$6,Settings!$C$7))*100)</f>
        <v/>
      </c>
      <c r="AE283" s="7" t="n"/>
      <c r="AH283" s="11" t="n"/>
      <c r="AJ283">
        <f>IF($C283="","",$C283&amp;"|"&amp;$D283&amp;"")</f>
        <v/>
      </c>
      <c r="AK283">
        <f>IF($C283="","",IF(COUNTIF($AJ$2:$AJ283,$AJ283)=1,1,0))</f>
        <v/>
      </c>
      <c r="AL283">
        <f>IF($AK283=1,SUMPRODUCT(--($AO$2:$AO$1501&lt;$AO283))+1,"")</f>
        <v/>
      </c>
      <c r="AM283">
        <f>IF($C283="","",IF(OR($Q283=TRUE(),$Q283="TRUE"),1,0))</f>
        <v/>
      </c>
      <c r="AN283">
        <f>IF($C283="","",IF($Z283="Yes",1,0))</f>
        <v/>
      </c>
      <c r="AO283">
        <f>IF($AK283=1,IFERROR(IF(VALUE($C283)&lt;100000000,VALUE($C283),1000000000),IFERROR(IF(VALUE(MID($C283,2,20))&lt;100000000,VALUE(MID($C283,2,20)),1000000000),1000000000))+ROW()/100000,"")</f>
        <v/>
      </c>
    </row>
    <row r="284">
      <c r="F284" s="11" t="n"/>
      <c r="N284" s="7">
        <f>IF($C284="","",M284*U284/100)</f>
        <v/>
      </c>
      <c r="T284" s="7" t="n"/>
      <c r="U284" s="7" t="n"/>
      <c r="V284" s="7">
        <f>IF($C284="","",U284*AA284/100)</f>
        <v/>
      </c>
      <c r="W284" s="7">
        <f>IF($C284="","",U284-V284)</f>
        <v/>
      </c>
      <c r="X284" s="7">
        <f>IF($C284="","",W284-N284)</f>
        <v/>
      </c>
      <c r="AA284">
        <f>IF($C284="","",IF($AN284=1,0,IF($AM284=1,Settings!$C$6,Settings!$C$7))*100)</f>
        <v/>
      </c>
      <c r="AE284" s="7" t="n"/>
      <c r="AH284" s="11" t="n"/>
      <c r="AJ284">
        <f>IF($C284="","",$C284&amp;"|"&amp;$D284&amp;"")</f>
        <v/>
      </c>
      <c r="AK284">
        <f>IF($C284="","",IF(COUNTIF($AJ$2:$AJ284,$AJ284)=1,1,0))</f>
        <v/>
      </c>
      <c r="AL284">
        <f>IF($AK284=1,SUMPRODUCT(--($AO$2:$AO$1501&lt;$AO284))+1,"")</f>
        <v/>
      </c>
      <c r="AM284">
        <f>IF($C284="","",IF(OR($Q284=TRUE(),$Q284="TRUE"),1,0))</f>
        <v/>
      </c>
      <c r="AN284">
        <f>IF($C284="","",IF($Z284="Yes",1,0))</f>
        <v/>
      </c>
      <c r="AO284">
        <f>IF($AK284=1,IFERROR(IF(VALUE($C284)&lt;100000000,VALUE($C284),1000000000),IFERROR(IF(VALUE(MID($C284,2,20))&lt;100000000,VALUE(MID($C284,2,20)),1000000000),1000000000))+ROW()/100000,"")</f>
        <v/>
      </c>
    </row>
    <row r="285">
      <c r="F285" s="11" t="n"/>
      <c r="N285" s="7">
        <f>IF($C285="","",M285*U285/100)</f>
        <v/>
      </c>
      <c r="T285" s="7" t="n"/>
      <c r="U285" s="7" t="n"/>
      <c r="V285" s="7">
        <f>IF($C285="","",U285*AA285/100)</f>
        <v/>
      </c>
      <c r="W285" s="7">
        <f>IF($C285="","",U285-V285)</f>
        <v/>
      </c>
      <c r="X285" s="7">
        <f>IF($C285="","",W285-N285)</f>
        <v/>
      </c>
      <c r="AA285">
        <f>IF($C285="","",IF($AN285=1,0,IF($AM285=1,Settings!$C$6,Settings!$C$7))*100)</f>
        <v/>
      </c>
      <c r="AE285" s="7" t="n"/>
      <c r="AH285" s="11" t="n"/>
      <c r="AJ285">
        <f>IF($C285="","",$C285&amp;"|"&amp;$D285&amp;"")</f>
        <v/>
      </c>
      <c r="AK285">
        <f>IF($C285="","",IF(COUNTIF($AJ$2:$AJ285,$AJ285)=1,1,0))</f>
        <v/>
      </c>
      <c r="AL285">
        <f>IF($AK285=1,SUMPRODUCT(--($AO$2:$AO$1501&lt;$AO285))+1,"")</f>
        <v/>
      </c>
      <c r="AM285">
        <f>IF($C285="","",IF(OR($Q285=TRUE(),$Q285="TRUE"),1,0))</f>
        <v/>
      </c>
      <c r="AN285">
        <f>IF($C285="","",IF($Z285="Yes",1,0))</f>
        <v/>
      </c>
      <c r="AO285">
        <f>IF($AK285=1,IFERROR(IF(VALUE($C285)&lt;100000000,VALUE($C285),1000000000),IFERROR(IF(VALUE(MID($C285,2,20))&lt;100000000,VALUE(MID($C285,2,20)),1000000000),1000000000))+ROW()/100000,"")</f>
        <v/>
      </c>
    </row>
    <row r="286">
      <c r="F286" s="11" t="n"/>
      <c r="N286" s="7">
        <f>IF($C286="","",M286*U286/100)</f>
        <v/>
      </c>
      <c r="T286" s="7" t="n"/>
      <c r="U286" s="7" t="n"/>
      <c r="V286" s="7">
        <f>IF($C286="","",U286*AA286/100)</f>
        <v/>
      </c>
      <c r="W286" s="7">
        <f>IF($C286="","",U286-V286)</f>
        <v/>
      </c>
      <c r="X286" s="7">
        <f>IF($C286="","",W286-N286)</f>
        <v/>
      </c>
      <c r="AA286">
        <f>IF($C286="","",IF($AN286=1,0,IF($AM286=1,Settings!$C$6,Settings!$C$7))*100)</f>
        <v/>
      </c>
      <c r="AE286" s="7" t="n"/>
      <c r="AH286" s="11" t="n"/>
      <c r="AJ286">
        <f>IF($C286="","",$C286&amp;"|"&amp;$D286&amp;"")</f>
        <v/>
      </c>
      <c r="AK286">
        <f>IF($C286="","",IF(COUNTIF($AJ$2:$AJ286,$AJ286)=1,1,0))</f>
        <v/>
      </c>
      <c r="AL286">
        <f>IF($AK286=1,SUMPRODUCT(--($AO$2:$AO$1501&lt;$AO286))+1,"")</f>
        <v/>
      </c>
      <c r="AM286">
        <f>IF($C286="","",IF(OR($Q286=TRUE(),$Q286="TRUE"),1,0))</f>
        <v/>
      </c>
      <c r="AN286">
        <f>IF($C286="","",IF($Z286="Yes",1,0))</f>
        <v/>
      </c>
      <c r="AO286">
        <f>IF($AK286=1,IFERROR(IF(VALUE($C286)&lt;100000000,VALUE($C286),1000000000),IFERROR(IF(VALUE(MID($C286,2,20))&lt;100000000,VALUE(MID($C286,2,20)),1000000000),1000000000))+ROW()/100000,"")</f>
        <v/>
      </c>
    </row>
    <row r="287">
      <c r="F287" s="11" t="n"/>
      <c r="N287" s="7">
        <f>IF($C287="","",M287*U287/100)</f>
        <v/>
      </c>
      <c r="T287" s="7" t="n"/>
      <c r="U287" s="7" t="n"/>
      <c r="V287" s="7">
        <f>IF($C287="","",U287*AA287/100)</f>
        <v/>
      </c>
      <c r="W287" s="7">
        <f>IF($C287="","",U287-V287)</f>
        <v/>
      </c>
      <c r="X287" s="7">
        <f>IF($C287="","",W287-N287)</f>
        <v/>
      </c>
      <c r="AA287">
        <f>IF($C287="","",IF($AN287=1,0,IF($AM287=1,Settings!$C$6,Settings!$C$7))*100)</f>
        <v/>
      </c>
      <c r="AE287" s="7" t="n"/>
      <c r="AH287" s="11" t="n"/>
      <c r="AJ287">
        <f>IF($C287="","",$C287&amp;"|"&amp;$D287&amp;"")</f>
        <v/>
      </c>
      <c r="AK287">
        <f>IF($C287="","",IF(COUNTIF($AJ$2:$AJ287,$AJ287)=1,1,0))</f>
        <v/>
      </c>
      <c r="AL287">
        <f>IF($AK287=1,SUMPRODUCT(--($AO$2:$AO$1501&lt;$AO287))+1,"")</f>
        <v/>
      </c>
      <c r="AM287">
        <f>IF($C287="","",IF(OR($Q287=TRUE(),$Q287="TRUE"),1,0))</f>
        <v/>
      </c>
      <c r="AN287">
        <f>IF($C287="","",IF($Z287="Yes",1,0))</f>
        <v/>
      </c>
      <c r="AO287">
        <f>IF($AK287=1,IFERROR(IF(VALUE($C287)&lt;100000000,VALUE($C287),1000000000),IFERROR(IF(VALUE(MID($C287,2,20))&lt;100000000,VALUE(MID($C287,2,20)),1000000000),1000000000))+ROW()/100000,"")</f>
        <v/>
      </c>
    </row>
    <row r="288">
      <c r="F288" s="11" t="n"/>
      <c r="N288" s="7">
        <f>IF($C288="","",M288*U288/100)</f>
        <v/>
      </c>
      <c r="T288" s="7" t="n"/>
      <c r="U288" s="7" t="n"/>
      <c r="V288" s="7">
        <f>IF($C288="","",U288*AA288/100)</f>
        <v/>
      </c>
      <c r="W288" s="7">
        <f>IF($C288="","",U288-V288)</f>
        <v/>
      </c>
      <c r="X288" s="7">
        <f>IF($C288="","",W288-N288)</f>
        <v/>
      </c>
      <c r="AA288">
        <f>IF($C288="","",IF($AN288=1,0,IF($AM288=1,Settings!$C$6,Settings!$C$7))*100)</f>
        <v/>
      </c>
      <c r="AE288" s="7" t="n"/>
      <c r="AH288" s="11" t="n"/>
      <c r="AJ288">
        <f>IF($C288="","",$C288&amp;"|"&amp;$D288&amp;"")</f>
        <v/>
      </c>
      <c r="AK288">
        <f>IF($C288="","",IF(COUNTIF($AJ$2:$AJ288,$AJ288)=1,1,0))</f>
        <v/>
      </c>
      <c r="AL288">
        <f>IF($AK288=1,SUMPRODUCT(--($AO$2:$AO$1501&lt;$AO288))+1,"")</f>
        <v/>
      </c>
      <c r="AM288">
        <f>IF($C288="","",IF(OR($Q288=TRUE(),$Q288="TRUE"),1,0))</f>
        <v/>
      </c>
      <c r="AN288">
        <f>IF($C288="","",IF($Z288="Yes",1,0))</f>
        <v/>
      </c>
      <c r="AO288">
        <f>IF($AK288=1,IFERROR(IF(VALUE($C288)&lt;100000000,VALUE($C288),1000000000),IFERROR(IF(VALUE(MID($C288,2,20))&lt;100000000,VALUE(MID($C288,2,20)),1000000000),1000000000))+ROW()/100000,"")</f>
        <v/>
      </c>
    </row>
    <row r="289">
      <c r="F289" s="11" t="n"/>
      <c r="N289" s="7">
        <f>IF($C289="","",M289*U289/100)</f>
        <v/>
      </c>
      <c r="T289" s="7" t="n"/>
      <c r="U289" s="7" t="n"/>
      <c r="V289" s="7">
        <f>IF($C289="","",U289*AA289/100)</f>
        <v/>
      </c>
      <c r="W289" s="7">
        <f>IF($C289="","",U289-V289)</f>
        <v/>
      </c>
      <c r="X289" s="7">
        <f>IF($C289="","",W289-N289)</f>
        <v/>
      </c>
      <c r="AA289">
        <f>IF($C289="","",IF($AN289=1,0,IF($AM289=1,Settings!$C$6,Settings!$C$7))*100)</f>
        <v/>
      </c>
      <c r="AE289" s="7" t="n"/>
      <c r="AH289" s="11" t="n"/>
      <c r="AJ289">
        <f>IF($C289="","",$C289&amp;"|"&amp;$D289&amp;"")</f>
        <v/>
      </c>
      <c r="AK289">
        <f>IF($C289="","",IF(COUNTIF($AJ$2:$AJ289,$AJ289)=1,1,0))</f>
        <v/>
      </c>
      <c r="AL289">
        <f>IF($AK289=1,SUMPRODUCT(--($AO$2:$AO$1501&lt;$AO289))+1,"")</f>
        <v/>
      </c>
      <c r="AM289">
        <f>IF($C289="","",IF(OR($Q289=TRUE(),$Q289="TRUE"),1,0))</f>
        <v/>
      </c>
      <c r="AN289">
        <f>IF($C289="","",IF($Z289="Yes",1,0))</f>
        <v/>
      </c>
      <c r="AO289">
        <f>IF($AK289=1,IFERROR(IF(VALUE($C289)&lt;100000000,VALUE($C289),1000000000),IFERROR(IF(VALUE(MID($C289,2,20))&lt;100000000,VALUE(MID($C289,2,20)),1000000000),1000000000))+ROW()/100000,"")</f>
        <v/>
      </c>
    </row>
    <row r="290">
      <c r="F290" s="11" t="n"/>
      <c r="N290" s="7">
        <f>IF($C290="","",M290*U290/100)</f>
        <v/>
      </c>
      <c r="T290" s="7" t="n"/>
      <c r="U290" s="7" t="n"/>
      <c r="V290" s="7">
        <f>IF($C290="","",U290*AA290/100)</f>
        <v/>
      </c>
      <c r="W290" s="7">
        <f>IF($C290="","",U290-V290)</f>
        <v/>
      </c>
      <c r="X290" s="7">
        <f>IF($C290="","",W290-N290)</f>
        <v/>
      </c>
      <c r="AA290">
        <f>IF($C290="","",IF($AN290=1,0,IF($AM290=1,Settings!$C$6,Settings!$C$7))*100)</f>
        <v/>
      </c>
      <c r="AE290" s="7" t="n"/>
      <c r="AH290" s="11" t="n"/>
      <c r="AJ290">
        <f>IF($C290="","",$C290&amp;"|"&amp;$D290&amp;"")</f>
        <v/>
      </c>
      <c r="AK290">
        <f>IF($C290="","",IF(COUNTIF($AJ$2:$AJ290,$AJ290)=1,1,0))</f>
        <v/>
      </c>
      <c r="AL290">
        <f>IF($AK290=1,SUMPRODUCT(--($AO$2:$AO$1501&lt;$AO290))+1,"")</f>
        <v/>
      </c>
      <c r="AM290">
        <f>IF($C290="","",IF(OR($Q290=TRUE(),$Q290="TRUE"),1,0))</f>
        <v/>
      </c>
      <c r="AN290">
        <f>IF($C290="","",IF($Z290="Yes",1,0))</f>
        <v/>
      </c>
      <c r="AO290">
        <f>IF($AK290=1,IFERROR(IF(VALUE($C290)&lt;100000000,VALUE($C290),1000000000),IFERROR(IF(VALUE(MID($C290,2,20))&lt;100000000,VALUE(MID($C290,2,20)),1000000000),1000000000))+ROW()/100000,"")</f>
        <v/>
      </c>
    </row>
    <row r="291">
      <c r="F291" s="11" t="n"/>
      <c r="N291" s="7">
        <f>IF($C291="","",M291*U291/100)</f>
        <v/>
      </c>
      <c r="T291" s="7" t="n"/>
      <c r="U291" s="7" t="n"/>
      <c r="V291" s="7">
        <f>IF($C291="","",U291*AA291/100)</f>
        <v/>
      </c>
      <c r="W291" s="7">
        <f>IF($C291="","",U291-V291)</f>
        <v/>
      </c>
      <c r="X291" s="7">
        <f>IF($C291="","",W291-N291)</f>
        <v/>
      </c>
      <c r="AA291">
        <f>IF($C291="","",IF($AN291=1,0,IF($AM291=1,Settings!$C$6,Settings!$C$7))*100)</f>
        <v/>
      </c>
      <c r="AE291" s="7" t="n"/>
      <c r="AH291" s="11" t="n"/>
      <c r="AJ291">
        <f>IF($C291="","",$C291&amp;"|"&amp;$D291&amp;"")</f>
        <v/>
      </c>
      <c r="AK291">
        <f>IF($C291="","",IF(COUNTIF($AJ$2:$AJ291,$AJ291)=1,1,0))</f>
        <v/>
      </c>
      <c r="AL291">
        <f>IF($AK291=1,SUMPRODUCT(--($AO$2:$AO$1501&lt;$AO291))+1,"")</f>
        <v/>
      </c>
      <c r="AM291">
        <f>IF($C291="","",IF(OR($Q291=TRUE(),$Q291="TRUE"),1,0))</f>
        <v/>
      </c>
      <c r="AN291">
        <f>IF($C291="","",IF($Z291="Yes",1,0))</f>
        <v/>
      </c>
      <c r="AO291">
        <f>IF($AK291=1,IFERROR(IF(VALUE($C291)&lt;100000000,VALUE($C291),1000000000),IFERROR(IF(VALUE(MID($C291,2,20))&lt;100000000,VALUE(MID($C291,2,20)),1000000000),1000000000))+ROW()/100000,"")</f>
        <v/>
      </c>
    </row>
    <row r="292">
      <c r="F292" s="11" t="n"/>
      <c r="N292" s="7">
        <f>IF($C292="","",M292*U292/100)</f>
        <v/>
      </c>
      <c r="T292" s="7" t="n"/>
      <c r="U292" s="7" t="n"/>
      <c r="V292" s="7">
        <f>IF($C292="","",U292*AA292/100)</f>
        <v/>
      </c>
      <c r="W292" s="7">
        <f>IF($C292="","",U292-V292)</f>
        <v/>
      </c>
      <c r="X292" s="7">
        <f>IF($C292="","",W292-N292)</f>
        <v/>
      </c>
      <c r="AA292">
        <f>IF($C292="","",IF($AN292=1,0,IF($AM292=1,Settings!$C$6,Settings!$C$7))*100)</f>
        <v/>
      </c>
      <c r="AE292" s="7" t="n"/>
      <c r="AH292" s="11" t="n"/>
      <c r="AJ292">
        <f>IF($C292="","",$C292&amp;"|"&amp;$D292&amp;"")</f>
        <v/>
      </c>
      <c r="AK292">
        <f>IF($C292="","",IF(COUNTIF($AJ$2:$AJ292,$AJ292)=1,1,0))</f>
        <v/>
      </c>
      <c r="AL292">
        <f>IF($AK292=1,SUMPRODUCT(--($AO$2:$AO$1501&lt;$AO292))+1,"")</f>
        <v/>
      </c>
      <c r="AM292">
        <f>IF($C292="","",IF(OR($Q292=TRUE(),$Q292="TRUE"),1,0))</f>
        <v/>
      </c>
      <c r="AN292">
        <f>IF($C292="","",IF($Z292="Yes",1,0))</f>
        <v/>
      </c>
      <c r="AO292">
        <f>IF($AK292=1,IFERROR(IF(VALUE($C292)&lt;100000000,VALUE($C292),1000000000),IFERROR(IF(VALUE(MID($C292,2,20))&lt;100000000,VALUE(MID($C292,2,20)),1000000000),1000000000))+ROW()/100000,"")</f>
        <v/>
      </c>
    </row>
    <row r="293">
      <c r="F293" s="11" t="n"/>
      <c r="N293" s="7">
        <f>IF($C293="","",M293*U293/100)</f>
        <v/>
      </c>
      <c r="T293" s="7" t="n"/>
      <c r="U293" s="7" t="n"/>
      <c r="V293" s="7">
        <f>IF($C293="","",U293*AA293/100)</f>
        <v/>
      </c>
      <c r="W293" s="7">
        <f>IF($C293="","",U293-V293)</f>
        <v/>
      </c>
      <c r="X293" s="7">
        <f>IF($C293="","",W293-N293)</f>
        <v/>
      </c>
      <c r="AA293">
        <f>IF($C293="","",IF($AN293=1,0,IF($AM293=1,Settings!$C$6,Settings!$C$7))*100)</f>
        <v/>
      </c>
      <c r="AE293" s="7" t="n"/>
      <c r="AH293" s="11" t="n"/>
      <c r="AJ293">
        <f>IF($C293="","",$C293&amp;"|"&amp;$D293&amp;"")</f>
        <v/>
      </c>
      <c r="AK293">
        <f>IF($C293="","",IF(COUNTIF($AJ$2:$AJ293,$AJ293)=1,1,0))</f>
        <v/>
      </c>
      <c r="AL293">
        <f>IF($AK293=1,SUMPRODUCT(--($AO$2:$AO$1501&lt;$AO293))+1,"")</f>
        <v/>
      </c>
      <c r="AM293">
        <f>IF($C293="","",IF(OR($Q293=TRUE(),$Q293="TRUE"),1,0))</f>
        <v/>
      </c>
      <c r="AN293">
        <f>IF($C293="","",IF($Z293="Yes",1,0))</f>
        <v/>
      </c>
      <c r="AO293">
        <f>IF($AK293=1,IFERROR(IF(VALUE($C293)&lt;100000000,VALUE($C293),1000000000),IFERROR(IF(VALUE(MID($C293,2,20))&lt;100000000,VALUE(MID($C293,2,20)),1000000000),1000000000))+ROW()/100000,"")</f>
        <v/>
      </c>
    </row>
    <row r="294">
      <c r="F294" s="11" t="n"/>
      <c r="N294" s="7">
        <f>IF($C294="","",M294*U294/100)</f>
        <v/>
      </c>
      <c r="T294" s="7" t="n"/>
      <c r="U294" s="7" t="n"/>
      <c r="V294" s="7">
        <f>IF($C294="","",U294*AA294/100)</f>
        <v/>
      </c>
      <c r="W294" s="7">
        <f>IF($C294="","",U294-V294)</f>
        <v/>
      </c>
      <c r="X294" s="7">
        <f>IF($C294="","",W294-N294)</f>
        <v/>
      </c>
      <c r="AA294">
        <f>IF($C294="","",IF($AN294=1,0,IF($AM294=1,Settings!$C$6,Settings!$C$7))*100)</f>
        <v/>
      </c>
      <c r="AE294" s="7" t="n"/>
      <c r="AH294" s="11" t="n"/>
      <c r="AJ294">
        <f>IF($C294="","",$C294&amp;"|"&amp;$D294&amp;"")</f>
        <v/>
      </c>
      <c r="AK294">
        <f>IF($C294="","",IF(COUNTIF($AJ$2:$AJ294,$AJ294)=1,1,0))</f>
        <v/>
      </c>
      <c r="AL294">
        <f>IF($AK294=1,SUMPRODUCT(--($AO$2:$AO$1501&lt;$AO294))+1,"")</f>
        <v/>
      </c>
      <c r="AM294">
        <f>IF($C294="","",IF(OR($Q294=TRUE(),$Q294="TRUE"),1,0))</f>
        <v/>
      </c>
      <c r="AN294">
        <f>IF($C294="","",IF($Z294="Yes",1,0))</f>
        <v/>
      </c>
      <c r="AO294">
        <f>IF($AK294=1,IFERROR(IF(VALUE($C294)&lt;100000000,VALUE($C294),1000000000),IFERROR(IF(VALUE(MID($C294,2,20))&lt;100000000,VALUE(MID($C294,2,20)),1000000000),1000000000))+ROW()/100000,"")</f>
        <v/>
      </c>
    </row>
    <row r="295">
      <c r="F295" s="11" t="n"/>
      <c r="N295" s="7">
        <f>IF($C295="","",M295*U295/100)</f>
        <v/>
      </c>
      <c r="T295" s="7" t="n"/>
      <c r="U295" s="7" t="n"/>
      <c r="V295" s="7">
        <f>IF($C295="","",U295*AA295/100)</f>
        <v/>
      </c>
      <c r="W295" s="7">
        <f>IF($C295="","",U295-V295)</f>
        <v/>
      </c>
      <c r="X295" s="7">
        <f>IF($C295="","",W295-N295)</f>
        <v/>
      </c>
      <c r="AA295">
        <f>IF($C295="","",IF($AN295=1,0,IF($AM295=1,Settings!$C$6,Settings!$C$7))*100)</f>
        <v/>
      </c>
      <c r="AE295" s="7" t="n"/>
      <c r="AH295" s="11" t="n"/>
      <c r="AJ295">
        <f>IF($C295="","",$C295&amp;"|"&amp;$D295&amp;"")</f>
        <v/>
      </c>
      <c r="AK295">
        <f>IF($C295="","",IF(COUNTIF($AJ$2:$AJ295,$AJ295)=1,1,0))</f>
        <v/>
      </c>
      <c r="AL295">
        <f>IF($AK295=1,SUMPRODUCT(--($AO$2:$AO$1501&lt;$AO295))+1,"")</f>
        <v/>
      </c>
      <c r="AM295">
        <f>IF($C295="","",IF(OR($Q295=TRUE(),$Q295="TRUE"),1,0))</f>
        <v/>
      </c>
      <c r="AN295">
        <f>IF($C295="","",IF($Z295="Yes",1,0))</f>
        <v/>
      </c>
      <c r="AO295">
        <f>IF($AK295=1,IFERROR(IF(VALUE($C295)&lt;100000000,VALUE($C295),1000000000),IFERROR(IF(VALUE(MID($C295,2,20))&lt;100000000,VALUE(MID($C295,2,20)),1000000000),1000000000))+ROW()/100000,"")</f>
        <v/>
      </c>
    </row>
    <row r="296">
      <c r="F296" s="11" t="n"/>
      <c r="N296" s="7">
        <f>IF($C296="","",M296*U296/100)</f>
        <v/>
      </c>
      <c r="T296" s="7" t="n"/>
      <c r="U296" s="7" t="n"/>
      <c r="V296" s="7">
        <f>IF($C296="","",U296*AA296/100)</f>
        <v/>
      </c>
      <c r="W296" s="7">
        <f>IF($C296="","",U296-V296)</f>
        <v/>
      </c>
      <c r="X296" s="7">
        <f>IF($C296="","",W296-N296)</f>
        <v/>
      </c>
      <c r="AA296">
        <f>IF($C296="","",IF($AN296=1,0,IF($AM296=1,Settings!$C$6,Settings!$C$7))*100)</f>
        <v/>
      </c>
      <c r="AE296" s="7" t="n"/>
      <c r="AH296" s="11" t="n"/>
      <c r="AJ296">
        <f>IF($C296="","",$C296&amp;"|"&amp;$D296&amp;"")</f>
        <v/>
      </c>
      <c r="AK296">
        <f>IF($C296="","",IF(COUNTIF($AJ$2:$AJ296,$AJ296)=1,1,0))</f>
        <v/>
      </c>
      <c r="AL296">
        <f>IF($AK296=1,SUMPRODUCT(--($AO$2:$AO$1501&lt;$AO296))+1,"")</f>
        <v/>
      </c>
      <c r="AM296">
        <f>IF($C296="","",IF(OR($Q296=TRUE(),$Q296="TRUE"),1,0))</f>
        <v/>
      </c>
      <c r="AN296">
        <f>IF($C296="","",IF($Z296="Yes",1,0))</f>
        <v/>
      </c>
      <c r="AO296">
        <f>IF($AK296=1,IFERROR(IF(VALUE($C296)&lt;100000000,VALUE($C296),1000000000),IFERROR(IF(VALUE(MID($C296,2,20))&lt;100000000,VALUE(MID($C296,2,20)),1000000000),1000000000))+ROW()/100000,"")</f>
        <v/>
      </c>
    </row>
    <row r="297">
      <c r="F297" s="11" t="n"/>
      <c r="N297" s="7">
        <f>IF($C297="","",M297*U297/100)</f>
        <v/>
      </c>
      <c r="T297" s="7" t="n"/>
      <c r="U297" s="7" t="n"/>
      <c r="V297" s="7">
        <f>IF($C297="","",U297*AA297/100)</f>
        <v/>
      </c>
      <c r="W297" s="7">
        <f>IF($C297="","",U297-V297)</f>
        <v/>
      </c>
      <c r="X297" s="7">
        <f>IF($C297="","",W297-N297)</f>
        <v/>
      </c>
      <c r="AA297">
        <f>IF($C297="","",IF($AN297=1,0,IF($AM297=1,Settings!$C$6,Settings!$C$7))*100)</f>
        <v/>
      </c>
      <c r="AE297" s="7" t="n"/>
      <c r="AH297" s="11" t="n"/>
      <c r="AJ297">
        <f>IF($C297="","",$C297&amp;"|"&amp;$D297&amp;"")</f>
        <v/>
      </c>
      <c r="AK297">
        <f>IF($C297="","",IF(COUNTIF($AJ$2:$AJ297,$AJ297)=1,1,0))</f>
        <v/>
      </c>
      <c r="AL297">
        <f>IF($AK297=1,SUMPRODUCT(--($AO$2:$AO$1501&lt;$AO297))+1,"")</f>
        <v/>
      </c>
      <c r="AM297">
        <f>IF($C297="","",IF(OR($Q297=TRUE(),$Q297="TRUE"),1,0))</f>
        <v/>
      </c>
      <c r="AN297">
        <f>IF($C297="","",IF($Z297="Yes",1,0))</f>
        <v/>
      </c>
      <c r="AO297">
        <f>IF($AK297=1,IFERROR(IF(VALUE($C297)&lt;100000000,VALUE($C297),1000000000),IFERROR(IF(VALUE(MID($C297,2,20))&lt;100000000,VALUE(MID($C297,2,20)),1000000000),1000000000))+ROW()/100000,"")</f>
        <v/>
      </c>
    </row>
    <row r="298">
      <c r="F298" s="11" t="n"/>
      <c r="N298" s="7">
        <f>IF($C298="","",M298*U298/100)</f>
        <v/>
      </c>
      <c r="T298" s="7" t="n"/>
      <c r="U298" s="7" t="n"/>
      <c r="V298" s="7">
        <f>IF($C298="","",U298*AA298/100)</f>
        <v/>
      </c>
      <c r="W298" s="7">
        <f>IF($C298="","",U298-V298)</f>
        <v/>
      </c>
      <c r="X298" s="7">
        <f>IF($C298="","",W298-N298)</f>
        <v/>
      </c>
      <c r="AA298">
        <f>IF($C298="","",IF($AN298=1,0,IF($AM298=1,Settings!$C$6,Settings!$C$7))*100)</f>
        <v/>
      </c>
      <c r="AE298" s="7" t="n"/>
      <c r="AH298" s="11" t="n"/>
      <c r="AJ298">
        <f>IF($C298="","",$C298&amp;"|"&amp;$D298&amp;"")</f>
        <v/>
      </c>
      <c r="AK298">
        <f>IF($C298="","",IF(COUNTIF($AJ$2:$AJ298,$AJ298)=1,1,0))</f>
        <v/>
      </c>
      <c r="AL298">
        <f>IF($AK298=1,SUMPRODUCT(--($AO$2:$AO$1501&lt;$AO298))+1,"")</f>
        <v/>
      </c>
      <c r="AM298">
        <f>IF($C298="","",IF(OR($Q298=TRUE(),$Q298="TRUE"),1,0))</f>
        <v/>
      </c>
      <c r="AN298">
        <f>IF($C298="","",IF($Z298="Yes",1,0))</f>
        <v/>
      </c>
      <c r="AO298">
        <f>IF($AK298=1,IFERROR(IF(VALUE($C298)&lt;100000000,VALUE($C298),1000000000),IFERROR(IF(VALUE(MID($C298,2,20))&lt;100000000,VALUE(MID($C298,2,20)),1000000000),1000000000))+ROW()/100000,"")</f>
        <v/>
      </c>
    </row>
    <row r="299">
      <c r="F299" s="11" t="n"/>
      <c r="N299" s="7">
        <f>IF($C299="","",M299*U299/100)</f>
        <v/>
      </c>
      <c r="T299" s="7" t="n"/>
      <c r="U299" s="7" t="n"/>
      <c r="V299" s="7">
        <f>IF($C299="","",U299*AA299/100)</f>
        <v/>
      </c>
      <c r="W299" s="7">
        <f>IF($C299="","",U299-V299)</f>
        <v/>
      </c>
      <c r="X299" s="7">
        <f>IF($C299="","",W299-N299)</f>
        <v/>
      </c>
      <c r="AA299">
        <f>IF($C299="","",IF($AN299=1,0,IF($AM299=1,Settings!$C$6,Settings!$C$7))*100)</f>
        <v/>
      </c>
      <c r="AE299" s="7" t="n"/>
      <c r="AH299" s="11" t="n"/>
      <c r="AJ299">
        <f>IF($C299="","",$C299&amp;"|"&amp;$D299&amp;"")</f>
        <v/>
      </c>
      <c r="AK299">
        <f>IF($C299="","",IF(COUNTIF($AJ$2:$AJ299,$AJ299)=1,1,0))</f>
        <v/>
      </c>
      <c r="AL299">
        <f>IF($AK299=1,SUMPRODUCT(--($AO$2:$AO$1501&lt;$AO299))+1,"")</f>
        <v/>
      </c>
      <c r="AM299">
        <f>IF($C299="","",IF(OR($Q299=TRUE(),$Q299="TRUE"),1,0))</f>
        <v/>
      </c>
      <c r="AN299">
        <f>IF($C299="","",IF($Z299="Yes",1,0))</f>
        <v/>
      </c>
      <c r="AO299">
        <f>IF($AK299=1,IFERROR(IF(VALUE($C299)&lt;100000000,VALUE($C299),1000000000),IFERROR(IF(VALUE(MID($C299,2,20))&lt;100000000,VALUE(MID($C299,2,20)),1000000000),1000000000))+ROW()/100000,"")</f>
        <v/>
      </c>
    </row>
    <row r="300">
      <c r="F300" s="11" t="n"/>
      <c r="N300" s="7">
        <f>IF($C300="","",M300*U300/100)</f>
        <v/>
      </c>
      <c r="T300" s="7" t="n"/>
      <c r="U300" s="7" t="n"/>
      <c r="V300" s="7">
        <f>IF($C300="","",U300*AA300/100)</f>
        <v/>
      </c>
      <c r="W300" s="7">
        <f>IF($C300="","",U300-V300)</f>
        <v/>
      </c>
      <c r="X300" s="7">
        <f>IF($C300="","",W300-N300)</f>
        <v/>
      </c>
      <c r="AA300">
        <f>IF($C300="","",IF($AN300=1,0,IF($AM300=1,Settings!$C$6,Settings!$C$7))*100)</f>
        <v/>
      </c>
      <c r="AE300" s="7" t="n"/>
      <c r="AH300" s="11" t="n"/>
      <c r="AJ300">
        <f>IF($C300="","",$C300&amp;"|"&amp;$D300&amp;"")</f>
        <v/>
      </c>
      <c r="AK300">
        <f>IF($C300="","",IF(COUNTIF($AJ$2:$AJ300,$AJ300)=1,1,0))</f>
        <v/>
      </c>
      <c r="AL300">
        <f>IF($AK300=1,SUMPRODUCT(--($AO$2:$AO$1501&lt;$AO300))+1,"")</f>
        <v/>
      </c>
      <c r="AM300">
        <f>IF($C300="","",IF(OR($Q300=TRUE(),$Q300="TRUE"),1,0))</f>
        <v/>
      </c>
      <c r="AN300">
        <f>IF($C300="","",IF($Z300="Yes",1,0))</f>
        <v/>
      </c>
      <c r="AO300">
        <f>IF($AK300=1,IFERROR(IF(VALUE($C300)&lt;100000000,VALUE($C300),1000000000),IFERROR(IF(VALUE(MID($C300,2,20))&lt;100000000,VALUE(MID($C300,2,20)),1000000000),1000000000))+ROW()/100000,"")</f>
        <v/>
      </c>
    </row>
    <row r="301">
      <c r="F301" s="11" t="n"/>
      <c r="N301" s="7">
        <f>IF($C301="","",M301*U301/100)</f>
        <v/>
      </c>
      <c r="T301" s="7" t="n"/>
      <c r="U301" s="7" t="n"/>
      <c r="V301" s="7">
        <f>IF($C301="","",U301*AA301/100)</f>
        <v/>
      </c>
      <c r="W301" s="7">
        <f>IF($C301="","",U301-V301)</f>
        <v/>
      </c>
      <c r="X301" s="7">
        <f>IF($C301="","",W301-N301)</f>
        <v/>
      </c>
      <c r="AA301">
        <f>IF($C301="","",IF($AN301=1,0,IF($AM301=1,Settings!$C$6,Settings!$C$7))*100)</f>
        <v/>
      </c>
      <c r="AE301" s="7" t="n"/>
      <c r="AH301" s="11" t="n"/>
      <c r="AJ301">
        <f>IF($C301="","",$C301&amp;"|"&amp;$D301&amp;"")</f>
        <v/>
      </c>
      <c r="AK301">
        <f>IF($C301="","",IF(COUNTIF($AJ$2:$AJ301,$AJ301)=1,1,0))</f>
        <v/>
      </c>
      <c r="AL301">
        <f>IF($AK301=1,SUMPRODUCT(--($AO$2:$AO$1501&lt;$AO301))+1,"")</f>
        <v/>
      </c>
      <c r="AM301">
        <f>IF($C301="","",IF(OR($Q301=TRUE(),$Q301="TRUE"),1,0))</f>
        <v/>
      </c>
      <c r="AN301">
        <f>IF($C301="","",IF($Z301="Yes",1,0))</f>
        <v/>
      </c>
      <c r="AO301">
        <f>IF($AK301=1,IFERROR(IF(VALUE($C301)&lt;100000000,VALUE($C301),1000000000),IFERROR(IF(VALUE(MID($C301,2,20))&lt;100000000,VALUE(MID($C301,2,20)),1000000000),1000000000))+ROW()/100000,"")</f>
        <v/>
      </c>
    </row>
    <row r="302">
      <c r="F302" s="11" t="n"/>
      <c r="N302" s="7">
        <f>IF($C302="","",M302*U302/100)</f>
        <v/>
      </c>
      <c r="T302" s="7" t="n"/>
      <c r="U302" s="7" t="n"/>
      <c r="V302" s="7">
        <f>IF($C302="","",U302*AA302/100)</f>
        <v/>
      </c>
      <c r="W302" s="7">
        <f>IF($C302="","",U302-V302)</f>
        <v/>
      </c>
      <c r="X302" s="7">
        <f>IF($C302="","",W302-N302)</f>
        <v/>
      </c>
      <c r="AA302">
        <f>IF($C302="","",IF($AN302=1,0,IF($AM302=1,Settings!$C$6,Settings!$C$7))*100)</f>
        <v/>
      </c>
      <c r="AE302" s="7" t="n"/>
      <c r="AH302" s="11" t="n"/>
      <c r="AJ302">
        <f>IF($C302="","",$C302&amp;"|"&amp;$D302&amp;"")</f>
        <v/>
      </c>
      <c r="AK302">
        <f>IF($C302="","",IF(COUNTIF($AJ$2:$AJ302,$AJ302)=1,1,0))</f>
        <v/>
      </c>
      <c r="AL302">
        <f>IF($AK302=1,SUMPRODUCT(--($AO$2:$AO$1501&lt;$AO302))+1,"")</f>
        <v/>
      </c>
      <c r="AM302">
        <f>IF($C302="","",IF(OR($Q302=TRUE(),$Q302="TRUE"),1,0))</f>
        <v/>
      </c>
      <c r="AN302">
        <f>IF($C302="","",IF($Z302="Yes",1,0))</f>
        <v/>
      </c>
      <c r="AO302">
        <f>IF($AK302=1,IFERROR(IF(VALUE($C302)&lt;100000000,VALUE($C302),1000000000),IFERROR(IF(VALUE(MID($C302,2,20))&lt;100000000,VALUE(MID($C302,2,20)),1000000000),1000000000))+ROW()/100000,"")</f>
        <v/>
      </c>
    </row>
    <row r="303">
      <c r="F303" s="11" t="n"/>
      <c r="N303" s="7">
        <f>IF($C303="","",M303*U303/100)</f>
        <v/>
      </c>
      <c r="T303" s="7" t="n"/>
      <c r="U303" s="7" t="n"/>
      <c r="V303" s="7">
        <f>IF($C303="","",U303*AA303/100)</f>
        <v/>
      </c>
      <c r="W303" s="7">
        <f>IF($C303="","",U303-V303)</f>
        <v/>
      </c>
      <c r="X303" s="7">
        <f>IF($C303="","",W303-N303)</f>
        <v/>
      </c>
      <c r="AA303">
        <f>IF($C303="","",IF($AN303=1,0,IF($AM303=1,Settings!$C$6,Settings!$C$7))*100)</f>
        <v/>
      </c>
      <c r="AE303" s="7" t="n"/>
      <c r="AH303" s="11" t="n"/>
      <c r="AJ303">
        <f>IF($C303="","",$C303&amp;"|"&amp;$D303&amp;"")</f>
        <v/>
      </c>
      <c r="AK303">
        <f>IF($C303="","",IF(COUNTIF($AJ$2:$AJ303,$AJ303)=1,1,0))</f>
        <v/>
      </c>
      <c r="AL303">
        <f>IF($AK303=1,SUMPRODUCT(--($AO$2:$AO$1501&lt;$AO303))+1,"")</f>
        <v/>
      </c>
      <c r="AM303">
        <f>IF($C303="","",IF(OR($Q303=TRUE(),$Q303="TRUE"),1,0))</f>
        <v/>
      </c>
      <c r="AN303">
        <f>IF($C303="","",IF($Z303="Yes",1,0))</f>
        <v/>
      </c>
      <c r="AO303">
        <f>IF($AK303=1,IFERROR(IF(VALUE($C303)&lt;100000000,VALUE($C303),1000000000),IFERROR(IF(VALUE(MID($C303,2,20))&lt;100000000,VALUE(MID($C303,2,20)),1000000000),1000000000))+ROW()/100000,"")</f>
        <v/>
      </c>
    </row>
    <row r="304">
      <c r="F304" s="11" t="n"/>
      <c r="N304" s="7">
        <f>IF($C304="","",M304*U304/100)</f>
        <v/>
      </c>
      <c r="T304" s="7" t="n"/>
      <c r="U304" s="7" t="n"/>
      <c r="V304" s="7">
        <f>IF($C304="","",U304*AA304/100)</f>
        <v/>
      </c>
      <c r="W304" s="7">
        <f>IF($C304="","",U304-V304)</f>
        <v/>
      </c>
      <c r="X304" s="7">
        <f>IF($C304="","",W304-N304)</f>
        <v/>
      </c>
      <c r="AA304">
        <f>IF($C304="","",IF($AN304=1,0,IF($AM304=1,Settings!$C$6,Settings!$C$7))*100)</f>
        <v/>
      </c>
      <c r="AE304" s="7" t="n"/>
      <c r="AH304" s="11" t="n"/>
      <c r="AJ304">
        <f>IF($C304="","",$C304&amp;"|"&amp;$D304&amp;"")</f>
        <v/>
      </c>
      <c r="AK304">
        <f>IF($C304="","",IF(COUNTIF($AJ$2:$AJ304,$AJ304)=1,1,0))</f>
        <v/>
      </c>
      <c r="AL304">
        <f>IF($AK304=1,SUMPRODUCT(--($AO$2:$AO$1501&lt;$AO304))+1,"")</f>
        <v/>
      </c>
      <c r="AM304">
        <f>IF($C304="","",IF(OR($Q304=TRUE(),$Q304="TRUE"),1,0))</f>
        <v/>
      </c>
      <c r="AN304">
        <f>IF($C304="","",IF($Z304="Yes",1,0))</f>
        <v/>
      </c>
      <c r="AO304">
        <f>IF($AK304=1,IFERROR(IF(VALUE($C304)&lt;100000000,VALUE($C304),1000000000),IFERROR(IF(VALUE(MID($C304,2,20))&lt;100000000,VALUE(MID($C304,2,20)),1000000000),1000000000))+ROW()/100000,"")</f>
        <v/>
      </c>
    </row>
    <row r="305">
      <c r="F305" s="11" t="n"/>
      <c r="N305" s="7">
        <f>IF($C305="","",M305*U305/100)</f>
        <v/>
      </c>
      <c r="T305" s="7" t="n"/>
      <c r="U305" s="7" t="n"/>
      <c r="V305" s="7">
        <f>IF($C305="","",U305*AA305/100)</f>
        <v/>
      </c>
      <c r="W305" s="7">
        <f>IF($C305="","",U305-V305)</f>
        <v/>
      </c>
      <c r="X305" s="7">
        <f>IF($C305="","",W305-N305)</f>
        <v/>
      </c>
      <c r="AA305">
        <f>IF($C305="","",IF($AN305=1,0,IF($AM305=1,Settings!$C$6,Settings!$C$7))*100)</f>
        <v/>
      </c>
      <c r="AE305" s="7" t="n"/>
      <c r="AH305" s="11" t="n"/>
      <c r="AJ305">
        <f>IF($C305="","",$C305&amp;"|"&amp;$D305&amp;"")</f>
        <v/>
      </c>
      <c r="AK305">
        <f>IF($C305="","",IF(COUNTIF($AJ$2:$AJ305,$AJ305)=1,1,0))</f>
        <v/>
      </c>
      <c r="AL305">
        <f>IF($AK305=1,SUMPRODUCT(--($AO$2:$AO$1501&lt;$AO305))+1,"")</f>
        <v/>
      </c>
      <c r="AM305">
        <f>IF($C305="","",IF(OR($Q305=TRUE(),$Q305="TRUE"),1,0))</f>
        <v/>
      </c>
      <c r="AN305">
        <f>IF($C305="","",IF($Z305="Yes",1,0))</f>
        <v/>
      </c>
      <c r="AO305">
        <f>IF($AK305=1,IFERROR(IF(VALUE($C305)&lt;100000000,VALUE($C305),1000000000),IFERROR(IF(VALUE(MID($C305,2,20))&lt;100000000,VALUE(MID($C305,2,20)),1000000000),1000000000))+ROW()/100000,"")</f>
        <v/>
      </c>
    </row>
    <row r="306">
      <c r="F306" s="11" t="n"/>
      <c r="N306" s="7">
        <f>IF($C306="","",M306*U306/100)</f>
        <v/>
      </c>
      <c r="T306" s="7" t="n"/>
      <c r="U306" s="7" t="n"/>
      <c r="V306" s="7">
        <f>IF($C306="","",U306*AA306/100)</f>
        <v/>
      </c>
      <c r="W306" s="7">
        <f>IF($C306="","",U306-V306)</f>
        <v/>
      </c>
      <c r="X306" s="7">
        <f>IF($C306="","",W306-N306)</f>
        <v/>
      </c>
      <c r="AA306">
        <f>IF($C306="","",IF($AN306=1,0,IF($AM306=1,Settings!$C$6,Settings!$C$7))*100)</f>
        <v/>
      </c>
      <c r="AE306" s="7" t="n"/>
      <c r="AH306" s="11" t="n"/>
      <c r="AJ306">
        <f>IF($C306="","",$C306&amp;"|"&amp;$D306&amp;"")</f>
        <v/>
      </c>
      <c r="AK306">
        <f>IF($C306="","",IF(COUNTIF($AJ$2:$AJ306,$AJ306)=1,1,0))</f>
        <v/>
      </c>
      <c r="AL306">
        <f>IF($AK306=1,SUMPRODUCT(--($AO$2:$AO$1501&lt;$AO306))+1,"")</f>
        <v/>
      </c>
      <c r="AM306">
        <f>IF($C306="","",IF(OR($Q306=TRUE(),$Q306="TRUE"),1,0))</f>
        <v/>
      </c>
      <c r="AN306">
        <f>IF($C306="","",IF($Z306="Yes",1,0))</f>
        <v/>
      </c>
      <c r="AO306">
        <f>IF($AK306=1,IFERROR(IF(VALUE($C306)&lt;100000000,VALUE($C306),1000000000),IFERROR(IF(VALUE(MID($C306,2,20))&lt;100000000,VALUE(MID($C306,2,20)),1000000000),1000000000))+ROW()/100000,"")</f>
        <v/>
      </c>
    </row>
    <row r="307">
      <c r="F307" s="11" t="n"/>
      <c r="N307" s="7">
        <f>IF($C307="","",M307*U307/100)</f>
        <v/>
      </c>
      <c r="T307" s="7" t="n"/>
      <c r="U307" s="7" t="n"/>
      <c r="V307" s="7">
        <f>IF($C307="","",U307*AA307/100)</f>
        <v/>
      </c>
      <c r="W307" s="7">
        <f>IF($C307="","",U307-V307)</f>
        <v/>
      </c>
      <c r="X307" s="7">
        <f>IF($C307="","",W307-N307)</f>
        <v/>
      </c>
      <c r="AA307">
        <f>IF($C307="","",IF($AN307=1,0,IF($AM307=1,Settings!$C$6,Settings!$C$7))*100)</f>
        <v/>
      </c>
      <c r="AE307" s="7" t="n"/>
      <c r="AH307" s="11" t="n"/>
      <c r="AJ307">
        <f>IF($C307="","",$C307&amp;"|"&amp;$D307&amp;"")</f>
        <v/>
      </c>
      <c r="AK307">
        <f>IF($C307="","",IF(COUNTIF($AJ$2:$AJ307,$AJ307)=1,1,0))</f>
        <v/>
      </c>
      <c r="AL307">
        <f>IF($AK307=1,SUMPRODUCT(--($AO$2:$AO$1501&lt;$AO307))+1,"")</f>
        <v/>
      </c>
      <c r="AM307">
        <f>IF($C307="","",IF(OR($Q307=TRUE(),$Q307="TRUE"),1,0))</f>
        <v/>
      </c>
      <c r="AN307">
        <f>IF($C307="","",IF($Z307="Yes",1,0))</f>
        <v/>
      </c>
      <c r="AO307">
        <f>IF($AK307=1,IFERROR(IF(VALUE($C307)&lt;100000000,VALUE($C307),1000000000),IFERROR(IF(VALUE(MID($C307,2,20))&lt;100000000,VALUE(MID($C307,2,20)),1000000000),1000000000))+ROW()/100000,"")</f>
        <v/>
      </c>
    </row>
    <row r="308">
      <c r="F308" s="11" t="n"/>
      <c r="N308" s="7">
        <f>IF($C308="","",M308*U308/100)</f>
        <v/>
      </c>
      <c r="T308" s="7" t="n"/>
      <c r="U308" s="7" t="n"/>
      <c r="V308" s="7">
        <f>IF($C308="","",U308*AA308/100)</f>
        <v/>
      </c>
      <c r="W308" s="7">
        <f>IF($C308="","",U308-V308)</f>
        <v/>
      </c>
      <c r="X308" s="7">
        <f>IF($C308="","",W308-N308)</f>
        <v/>
      </c>
      <c r="AA308">
        <f>IF($C308="","",IF($AN308=1,0,IF($AM308=1,Settings!$C$6,Settings!$C$7))*100)</f>
        <v/>
      </c>
      <c r="AE308" s="7" t="n"/>
      <c r="AH308" s="11" t="n"/>
      <c r="AJ308">
        <f>IF($C308="","",$C308&amp;"|"&amp;$D308&amp;"")</f>
        <v/>
      </c>
      <c r="AK308">
        <f>IF($C308="","",IF(COUNTIF($AJ$2:$AJ308,$AJ308)=1,1,0))</f>
        <v/>
      </c>
      <c r="AL308">
        <f>IF($AK308=1,SUMPRODUCT(--($AO$2:$AO$1501&lt;$AO308))+1,"")</f>
        <v/>
      </c>
      <c r="AM308">
        <f>IF($C308="","",IF(OR($Q308=TRUE(),$Q308="TRUE"),1,0))</f>
        <v/>
      </c>
      <c r="AN308">
        <f>IF($C308="","",IF($Z308="Yes",1,0))</f>
        <v/>
      </c>
      <c r="AO308">
        <f>IF($AK308=1,IFERROR(IF(VALUE($C308)&lt;100000000,VALUE($C308),1000000000),IFERROR(IF(VALUE(MID($C308,2,20))&lt;100000000,VALUE(MID($C308,2,20)),1000000000),1000000000))+ROW()/100000,"")</f>
        <v/>
      </c>
    </row>
    <row r="309">
      <c r="F309" s="11" t="n"/>
      <c r="N309" s="7">
        <f>IF($C309="","",M309*U309/100)</f>
        <v/>
      </c>
      <c r="T309" s="7" t="n"/>
      <c r="U309" s="7" t="n"/>
      <c r="V309" s="7">
        <f>IF($C309="","",U309*AA309/100)</f>
        <v/>
      </c>
      <c r="W309" s="7">
        <f>IF($C309="","",U309-V309)</f>
        <v/>
      </c>
      <c r="X309" s="7">
        <f>IF($C309="","",W309-N309)</f>
        <v/>
      </c>
      <c r="AA309">
        <f>IF($C309="","",IF($AN309=1,0,IF($AM309=1,Settings!$C$6,Settings!$C$7))*100)</f>
        <v/>
      </c>
      <c r="AE309" s="7" t="n"/>
      <c r="AH309" s="11" t="n"/>
      <c r="AJ309">
        <f>IF($C309="","",$C309&amp;"|"&amp;$D309&amp;"")</f>
        <v/>
      </c>
      <c r="AK309">
        <f>IF($C309="","",IF(COUNTIF($AJ$2:$AJ309,$AJ309)=1,1,0))</f>
        <v/>
      </c>
      <c r="AL309">
        <f>IF($AK309=1,SUMPRODUCT(--($AO$2:$AO$1501&lt;$AO309))+1,"")</f>
        <v/>
      </c>
      <c r="AM309">
        <f>IF($C309="","",IF(OR($Q309=TRUE(),$Q309="TRUE"),1,0))</f>
        <v/>
      </c>
      <c r="AN309">
        <f>IF($C309="","",IF($Z309="Yes",1,0))</f>
        <v/>
      </c>
      <c r="AO309">
        <f>IF($AK309=1,IFERROR(IF(VALUE($C309)&lt;100000000,VALUE($C309),1000000000),IFERROR(IF(VALUE(MID($C309,2,20))&lt;100000000,VALUE(MID($C309,2,20)),1000000000),1000000000))+ROW()/100000,"")</f>
        <v/>
      </c>
    </row>
    <row r="310">
      <c r="F310" s="11" t="n"/>
      <c r="N310" s="7">
        <f>IF($C310="","",M310*U310/100)</f>
        <v/>
      </c>
      <c r="T310" s="7" t="n"/>
      <c r="U310" s="7" t="n"/>
      <c r="V310" s="7">
        <f>IF($C310="","",U310*AA310/100)</f>
        <v/>
      </c>
      <c r="W310" s="7">
        <f>IF($C310="","",U310-V310)</f>
        <v/>
      </c>
      <c r="X310" s="7">
        <f>IF($C310="","",W310-N310)</f>
        <v/>
      </c>
      <c r="AA310">
        <f>IF($C310="","",IF($AN310=1,0,IF($AM310=1,Settings!$C$6,Settings!$C$7))*100)</f>
        <v/>
      </c>
      <c r="AE310" s="7" t="n"/>
      <c r="AH310" s="11" t="n"/>
      <c r="AJ310">
        <f>IF($C310="","",$C310&amp;"|"&amp;$D310&amp;"")</f>
        <v/>
      </c>
      <c r="AK310">
        <f>IF($C310="","",IF(COUNTIF($AJ$2:$AJ310,$AJ310)=1,1,0))</f>
        <v/>
      </c>
      <c r="AL310">
        <f>IF($AK310=1,SUMPRODUCT(--($AO$2:$AO$1501&lt;$AO310))+1,"")</f>
        <v/>
      </c>
      <c r="AM310">
        <f>IF($C310="","",IF(OR($Q310=TRUE(),$Q310="TRUE"),1,0))</f>
        <v/>
      </c>
      <c r="AN310">
        <f>IF($C310="","",IF($Z310="Yes",1,0))</f>
        <v/>
      </c>
      <c r="AO310">
        <f>IF($AK310=1,IFERROR(IF(VALUE($C310)&lt;100000000,VALUE($C310),1000000000),IFERROR(IF(VALUE(MID($C310,2,20))&lt;100000000,VALUE(MID($C310,2,20)),1000000000),1000000000))+ROW()/100000,"")</f>
        <v/>
      </c>
    </row>
    <row r="311">
      <c r="F311" s="11" t="n"/>
      <c r="N311" s="7">
        <f>IF($C311="","",M311*U311/100)</f>
        <v/>
      </c>
      <c r="T311" s="7" t="n"/>
      <c r="U311" s="7" t="n"/>
      <c r="V311" s="7">
        <f>IF($C311="","",U311*AA311/100)</f>
        <v/>
      </c>
      <c r="W311" s="7">
        <f>IF($C311="","",U311-V311)</f>
        <v/>
      </c>
      <c r="X311" s="7">
        <f>IF($C311="","",W311-N311)</f>
        <v/>
      </c>
      <c r="AA311">
        <f>IF($C311="","",IF($AN311=1,0,IF($AM311=1,Settings!$C$6,Settings!$C$7))*100)</f>
        <v/>
      </c>
      <c r="AE311" s="7" t="n"/>
      <c r="AH311" s="11" t="n"/>
      <c r="AJ311">
        <f>IF($C311="","",$C311&amp;"|"&amp;$D311&amp;"")</f>
        <v/>
      </c>
      <c r="AK311">
        <f>IF($C311="","",IF(COUNTIF($AJ$2:$AJ311,$AJ311)=1,1,0))</f>
        <v/>
      </c>
      <c r="AL311">
        <f>IF($AK311=1,SUMPRODUCT(--($AO$2:$AO$1501&lt;$AO311))+1,"")</f>
        <v/>
      </c>
      <c r="AM311">
        <f>IF($C311="","",IF(OR($Q311=TRUE(),$Q311="TRUE"),1,0))</f>
        <v/>
      </c>
      <c r="AN311">
        <f>IF($C311="","",IF($Z311="Yes",1,0))</f>
        <v/>
      </c>
      <c r="AO311">
        <f>IF($AK311=1,IFERROR(IF(VALUE($C311)&lt;100000000,VALUE($C311),1000000000),IFERROR(IF(VALUE(MID($C311,2,20))&lt;100000000,VALUE(MID($C311,2,20)),1000000000),1000000000))+ROW()/100000,"")</f>
        <v/>
      </c>
    </row>
    <row r="312">
      <c r="F312" s="11" t="n"/>
      <c r="N312" s="7">
        <f>IF($C312="","",M312*U312/100)</f>
        <v/>
      </c>
      <c r="T312" s="7" t="n"/>
      <c r="U312" s="7" t="n"/>
      <c r="V312" s="7">
        <f>IF($C312="","",U312*AA312/100)</f>
        <v/>
      </c>
      <c r="W312" s="7">
        <f>IF($C312="","",U312-V312)</f>
        <v/>
      </c>
      <c r="X312" s="7">
        <f>IF($C312="","",W312-N312)</f>
        <v/>
      </c>
      <c r="AA312">
        <f>IF($C312="","",IF($AN312=1,0,IF($AM312=1,Settings!$C$6,Settings!$C$7))*100)</f>
        <v/>
      </c>
      <c r="AE312" s="7" t="n"/>
      <c r="AH312" s="11" t="n"/>
      <c r="AJ312">
        <f>IF($C312="","",$C312&amp;"|"&amp;$D312&amp;"")</f>
        <v/>
      </c>
      <c r="AK312">
        <f>IF($C312="","",IF(COUNTIF($AJ$2:$AJ312,$AJ312)=1,1,0))</f>
        <v/>
      </c>
      <c r="AL312">
        <f>IF($AK312=1,SUMPRODUCT(--($AO$2:$AO$1501&lt;$AO312))+1,"")</f>
        <v/>
      </c>
      <c r="AM312">
        <f>IF($C312="","",IF(OR($Q312=TRUE(),$Q312="TRUE"),1,0))</f>
        <v/>
      </c>
      <c r="AN312">
        <f>IF($C312="","",IF($Z312="Yes",1,0))</f>
        <v/>
      </c>
      <c r="AO312">
        <f>IF($AK312=1,IFERROR(IF(VALUE($C312)&lt;100000000,VALUE($C312),1000000000),IFERROR(IF(VALUE(MID($C312,2,20))&lt;100000000,VALUE(MID($C312,2,20)),1000000000),1000000000))+ROW()/100000,"")</f>
        <v/>
      </c>
    </row>
    <row r="313">
      <c r="F313" s="11" t="n"/>
      <c r="N313" s="7">
        <f>IF($C313="","",M313*U313/100)</f>
        <v/>
      </c>
      <c r="T313" s="7" t="n"/>
      <c r="U313" s="7" t="n"/>
      <c r="V313" s="7">
        <f>IF($C313="","",U313*AA313/100)</f>
        <v/>
      </c>
      <c r="W313" s="7">
        <f>IF($C313="","",U313-V313)</f>
        <v/>
      </c>
      <c r="X313" s="7">
        <f>IF($C313="","",W313-N313)</f>
        <v/>
      </c>
      <c r="AA313">
        <f>IF($C313="","",IF($AN313=1,0,IF($AM313=1,Settings!$C$6,Settings!$C$7))*100)</f>
        <v/>
      </c>
      <c r="AE313" s="7" t="n"/>
      <c r="AH313" s="11" t="n"/>
      <c r="AJ313">
        <f>IF($C313="","",$C313&amp;"|"&amp;$D313&amp;"")</f>
        <v/>
      </c>
      <c r="AK313">
        <f>IF($C313="","",IF(COUNTIF($AJ$2:$AJ313,$AJ313)=1,1,0))</f>
        <v/>
      </c>
      <c r="AL313">
        <f>IF($AK313=1,SUMPRODUCT(--($AO$2:$AO$1501&lt;$AO313))+1,"")</f>
        <v/>
      </c>
      <c r="AM313">
        <f>IF($C313="","",IF(OR($Q313=TRUE(),$Q313="TRUE"),1,0))</f>
        <v/>
      </c>
      <c r="AN313">
        <f>IF($C313="","",IF($Z313="Yes",1,0))</f>
        <v/>
      </c>
      <c r="AO313">
        <f>IF($AK313=1,IFERROR(IF(VALUE($C313)&lt;100000000,VALUE($C313),1000000000),IFERROR(IF(VALUE(MID($C313,2,20))&lt;100000000,VALUE(MID($C313,2,20)),1000000000),1000000000))+ROW()/100000,"")</f>
        <v/>
      </c>
    </row>
    <row r="314">
      <c r="F314" s="11" t="n"/>
      <c r="N314" s="7">
        <f>IF($C314="","",M314*U314/100)</f>
        <v/>
      </c>
      <c r="T314" s="7" t="n"/>
      <c r="U314" s="7" t="n"/>
      <c r="V314" s="7">
        <f>IF($C314="","",U314*AA314/100)</f>
        <v/>
      </c>
      <c r="W314" s="7">
        <f>IF($C314="","",U314-V314)</f>
        <v/>
      </c>
      <c r="X314" s="7">
        <f>IF($C314="","",W314-N314)</f>
        <v/>
      </c>
      <c r="AA314">
        <f>IF($C314="","",IF($AN314=1,0,IF($AM314=1,Settings!$C$6,Settings!$C$7))*100)</f>
        <v/>
      </c>
      <c r="AE314" s="7" t="n"/>
      <c r="AH314" s="11" t="n"/>
      <c r="AJ314">
        <f>IF($C314="","",$C314&amp;"|"&amp;$D314&amp;"")</f>
        <v/>
      </c>
      <c r="AK314">
        <f>IF($C314="","",IF(COUNTIF($AJ$2:$AJ314,$AJ314)=1,1,0))</f>
        <v/>
      </c>
      <c r="AL314">
        <f>IF($AK314=1,SUMPRODUCT(--($AO$2:$AO$1501&lt;$AO314))+1,"")</f>
        <v/>
      </c>
      <c r="AM314">
        <f>IF($C314="","",IF(OR($Q314=TRUE(),$Q314="TRUE"),1,0))</f>
        <v/>
      </c>
      <c r="AN314">
        <f>IF($C314="","",IF($Z314="Yes",1,0))</f>
        <v/>
      </c>
      <c r="AO314">
        <f>IF($AK314=1,IFERROR(IF(VALUE($C314)&lt;100000000,VALUE($C314),1000000000),IFERROR(IF(VALUE(MID($C314,2,20))&lt;100000000,VALUE(MID($C314,2,20)),1000000000),1000000000))+ROW()/100000,"")</f>
        <v/>
      </c>
    </row>
    <row r="315">
      <c r="F315" s="11" t="n"/>
      <c r="N315" s="7">
        <f>IF($C315="","",M315*U315/100)</f>
        <v/>
      </c>
      <c r="T315" s="7" t="n"/>
      <c r="U315" s="7" t="n"/>
      <c r="V315" s="7">
        <f>IF($C315="","",U315*AA315/100)</f>
        <v/>
      </c>
      <c r="W315" s="7">
        <f>IF($C315="","",U315-V315)</f>
        <v/>
      </c>
      <c r="X315" s="7">
        <f>IF($C315="","",W315-N315)</f>
        <v/>
      </c>
      <c r="AA315">
        <f>IF($C315="","",IF($AN315=1,0,IF($AM315=1,Settings!$C$6,Settings!$C$7))*100)</f>
        <v/>
      </c>
      <c r="AE315" s="7" t="n"/>
      <c r="AH315" s="11" t="n"/>
      <c r="AJ315">
        <f>IF($C315="","",$C315&amp;"|"&amp;$D315&amp;"")</f>
        <v/>
      </c>
      <c r="AK315">
        <f>IF($C315="","",IF(COUNTIF($AJ$2:$AJ315,$AJ315)=1,1,0))</f>
        <v/>
      </c>
      <c r="AL315">
        <f>IF($AK315=1,SUMPRODUCT(--($AO$2:$AO$1501&lt;$AO315))+1,"")</f>
        <v/>
      </c>
      <c r="AM315">
        <f>IF($C315="","",IF(OR($Q315=TRUE(),$Q315="TRUE"),1,0))</f>
        <v/>
      </c>
      <c r="AN315">
        <f>IF($C315="","",IF($Z315="Yes",1,0))</f>
        <v/>
      </c>
      <c r="AO315">
        <f>IF($AK315=1,IFERROR(IF(VALUE($C315)&lt;100000000,VALUE($C315),1000000000),IFERROR(IF(VALUE(MID($C315,2,20))&lt;100000000,VALUE(MID($C315,2,20)),1000000000),1000000000))+ROW()/100000,"")</f>
        <v/>
      </c>
    </row>
    <row r="316">
      <c r="F316" s="11" t="n"/>
      <c r="N316" s="7">
        <f>IF($C316="","",M316*U316/100)</f>
        <v/>
      </c>
      <c r="T316" s="7" t="n"/>
      <c r="U316" s="7" t="n"/>
      <c r="V316" s="7">
        <f>IF($C316="","",U316*AA316/100)</f>
        <v/>
      </c>
      <c r="W316" s="7">
        <f>IF($C316="","",U316-V316)</f>
        <v/>
      </c>
      <c r="X316" s="7">
        <f>IF($C316="","",W316-N316)</f>
        <v/>
      </c>
      <c r="AA316">
        <f>IF($C316="","",IF($AN316=1,0,IF($AM316=1,Settings!$C$6,Settings!$C$7))*100)</f>
        <v/>
      </c>
      <c r="AE316" s="7" t="n"/>
      <c r="AH316" s="11" t="n"/>
      <c r="AJ316">
        <f>IF($C316="","",$C316&amp;"|"&amp;$D316&amp;"")</f>
        <v/>
      </c>
      <c r="AK316">
        <f>IF($C316="","",IF(COUNTIF($AJ$2:$AJ316,$AJ316)=1,1,0))</f>
        <v/>
      </c>
      <c r="AL316">
        <f>IF($AK316=1,SUMPRODUCT(--($AO$2:$AO$1501&lt;$AO316))+1,"")</f>
        <v/>
      </c>
      <c r="AM316">
        <f>IF($C316="","",IF(OR($Q316=TRUE(),$Q316="TRUE"),1,0))</f>
        <v/>
      </c>
      <c r="AN316">
        <f>IF($C316="","",IF($Z316="Yes",1,0))</f>
        <v/>
      </c>
      <c r="AO316">
        <f>IF($AK316=1,IFERROR(IF(VALUE($C316)&lt;100000000,VALUE($C316),1000000000),IFERROR(IF(VALUE(MID($C316,2,20))&lt;100000000,VALUE(MID($C316,2,20)),1000000000),1000000000))+ROW()/100000,"")</f>
        <v/>
      </c>
    </row>
    <row r="317">
      <c r="F317" s="11" t="n"/>
      <c r="N317" s="7">
        <f>IF($C317="","",M317*U317/100)</f>
        <v/>
      </c>
      <c r="T317" s="7" t="n"/>
      <c r="U317" s="7" t="n"/>
      <c r="V317" s="7">
        <f>IF($C317="","",U317*AA317/100)</f>
        <v/>
      </c>
      <c r="W317" s="7">
        <f>IF($C317="","",U317-V317)</f>
        <v/>
      </c>
      <c r="X317" s="7">
        <f>IF($C317="","",W317-N317)</f>
        <v/>
      </c>
      <c r="AA317">
        <f>IF($C317="","",IF($AN317=1,0,IF($AM317=1,Settings!$C$6,Settings!$C$7))*100)</f>
        <v/>
      </c>
      <c r="AE317" s="7" t="n"/>
      <c r="AH317" s="11" t="n"/>
      <c r="AJ317">
        <f>IF($C317="","",$C317&amp;"|"&amp;$D317&amp;"")</f>
        <v/>
      </c>
      <c r="AK317">
        <f>IF($C317="","",IF(COUNTIF($AJ$2:$AJ317,$AJ317)=1,1,0))</f>
        <v/>
      </c>
      <c r="AL317">
        <f>IF($AK317=1,SUMPRODUCT(--($AO$2:$AO$1501&lt;$AO317))+1,"")</f>
        <v/>
      </c>
      <c r="AM317">
        <f>IF($C317="","",IF(OR($Q317=TRUE(),$Q317="TRUE"),1,0))</f>
        <v/>
      </c>
      <c r="AN317">
        <f>IF($C317="","",IF($Z317="Yes",1,0))</f>
        <v/>
      </c>
      <c r="AO317">
        <f>IF($AK317=1,IFERROR(IF(VALUE($C317)&lt;100000000,VALUE($C317),1000000000),IFERROR(IF(VALUE(MID($C317,2,20))&lt;100000000,VALUE(MID($C317,2,20)),1000000000),1000000000))+ROW()/100000,"")</f>
        <v/>
      </c>
    </row>
    <row r="318">
      <c r="F318" s="11" t="n"/>
      <c r="N318" s="7">
        <f>IF($C318="","",M318*U318/100)</f>
        <v/>
      </c>
      <c r="T318" s="7" t="n"/>
      <c r="U318" s="7" t="n"/>
      <c r="V318" s="7">
        <f>IF($C318="","",U318*AA318/100)</f>
        <v/>
      </c>
      <c r="W318" s="7">
        <f>IF($C318="","",U318-V318)</f>
        <v/>
      </c>
      <c r="X318" s="7">
        <f>IF($C318="","",W318-N318)</f>
        <v/>
      </c>
      <c r="AA318">
        <f>IF($C318="","",IF($AN318=1,0,IF($AM318=1,Settings!$C$6,Settings!$C$7))*100)</f>
        <v/>
      </c>
      <c r="AE318" s="7" t="n"/>
      <c r="AH318" s="11" t="n"/>
      <c r="AJ318">
        <f>IF($C318="","",$C318&amp;"|"&amp;$D318&amp;"")</f>
        <v/>
      </c>
      <c r="AK318">
        <f>IF($C318="","",IF(COUNTIF($AJ$2:$AJ318,$AJ318)=1,1,0))</f>
        <v/>
      </c>
      <c r="AL318">
        <f>IF($AK318=1,SUMPRODUCT(--($AO$2:$AO$1501&lt;$AO318))+1,"")</f>
        <v/>
      </c>
      <c r="AM318">
        <f>IF($C318="","",IF(OR($Q318=TRUE(),$Q318="TRUE"),1,0))</f>
        <v/>
      </c>
      <c r="AN318">
        <f>IF($C318="","",IF($Z318="Yes",1,0))</f>
        <v/>
      </c>
      <c r="AO318">
        <f>IF($AK318=1,IFERROR(IF(VALUE($C318)&lt;100000000,VALUE($C318),1000000000),IFERROR(IF(VALUE(MID($C318,2,20))&lt;100000000,VALUE(MID($C318,2,20)),1000000000),1000000000))+ROW()/100000,"")</f>
        <v/>
      </c>
    </row>
    <row r="319">
      <c r="F319" s="11" t="n"/>
      <c r="N319" s="7">
        <f>IF($C319="","",M319*U319/100)</f>
        <v/>
      </c>
      <c r="T319" s="7" t="n"/>
      <c r="U319" s="7" t="n"/>
      <c r="V319" s="7">
        <f>IF($C319="","",U319*AA319/100)</f>
        <v/>
      </c>
      <c r="W319" s="7">
        <f>IF($C319="","",U319-V319)</f>
        <v/>
      </c>
      <c r="X319" s="7">
        <f>IF($C319="","",W319-N319)</f>
        <v/>
      </c>
      <c r="AA319">
        <f>IF($C319="","",IF($AN319=1,0,IF($AM319=1,Settings!$C$6,Settings!$C$7))*100)</f>
        <v/>
      </c>
      <c r="AE319" s="7" t="n"/>
      <c r="AH319" s="11" t="n"/>
      <c r="AJ319">
        <f>IF($C319="","",$C319&amp;"|"&amp;$D319&amp;"")</f>
        <v/>
      </c>
      <c r="AK319">
        <f>IF($C319="","",IF(COUNTIF($AJ$2:$AJ319,$AJ319)=1,1,0))</f>
        <v/>
      </c>
      <c r="AL319">
        <f>IF($AK319=1,SUMPRODUCT(--($AO$2:$AO$1501&lt;$AO319))+1,"")</f>
        <v/>
      </c>
      <c r="AM319">
        <f>IF($C319="","",IF(OR($Q319=TRUE(),$Q319="TRUE"),1,0))</f>
        <v/>
      </c>
      <c r="AN319">
        <f>IF($C319="","",IF($Z319="Yes",1,0))</f>
        <v/>
      </c>
      <c r="AO319">
        <f>IF($AK319=1,IFERROR(IF(VALUE($C319)&lt;100000000,VALUE($C319),1000000000),IFERROR(IF(VALUE(MID($C319,2,20))&lt;100000000,VALUE(MID($C319,2,20)),1000000000),1000000000))+ROW()/100000,"")</f>
        <v/>
      </c>
    </row>
    <row r="320">
      <c r="F320" s="11" t="n"/>
      <c r="N320" s="7">
        <f>IF($C320="","",M320*U320/100)</f>
        <v/>
      </c>
      <c r="T320" s="7" t="n"/>
      <c r="U320" s="7" t="n"/>
      <c r="V320" s="7">
        <f>IF($C320="","",U320*AA320/100)</f>
        <v/>
      </c>
      <c r="W320" s="7">
        <f>IF($C320="","",U320-V320)</f>
        <v/>
      </c>
      <c r="X320" s="7">
        <f>IF($C320="","",W320-N320)</f>
        <v/>
      </c>
      <c r="AA320">
        <f>IF($C320="","",IF($AN320=1,0,IF($AM320=1,Settings!$C$6,Settings!$C$7))*100)</f>
        <v/>
      </c>
      <c r="AE320" s="7" t="n"/>
      <c r="AH320" s="11" t="n"/>
      <c r="AJ320">
        <f>IF($C320="","",$C320&amp;"|"&amp;$D320&amp;"")</f>
        <v/>
      </c>
      <c r="AK320">
        <f>IF($C320="","",IF(COUNTIF($AJ$2:$AJ320,$AJ320)=1,1,0))</f>
        <v/>
      </c>
      <c r="AL320">
        <f>IF($AK320=1,SUMPRODUCT(--($AO$2:$AO$1501&lt;$AO320))+1,"")</f>
        <v/>
      </c>
      <c r="AM320">
        <f>IF($C320="","",IF(OR($Q320=TRUE(),$Q320="TRUE"),1,0))</f>
        <v/>
      </c>
      <c r="AN320">
        <f>IF($C320="","",IF($Z320="Yes",1,0))</f>
        <v/>
      </c>
      <c r="AO320">
        <f>IF($AK320=1,IFERROR(IF(VALUE($C320)&lt;100000000,VALUE($C320),1000000000),IFERROR(IF(VALUE(MID($C320,2,20))&lt;100000000,VALUE(MID($C320,2,20)),1000000000),1000000000))+ROW()/100000,"")</f>
        <v/>
      </c>
    </row>
    <row r="321">
      <c r="F321" s="11" t="n"/>
      <c r="N321" s="7">
        <f>IF($C321="","",M321*U321/100)</f>
        <v/>
      </c>
      <c r="T321" s="7" t="n"/>
      <c r="U321" s="7" t="n"/>
      <c r="V321" s="7">
        <f>IF($C321="","",U321*AA321/100)</f>
        <v/>
      </c>
      <c r="W321" s="7">
        <f>IF($C321="","",U321-V321)</f>
        <v/>
      </c>
      <c r="X321" s="7">
        <f>IF($C321="","",W321-N321)</f>
        <v/>
      </c>
      <c r="AA321">
        <f>IF($C321="","",IF($AN321=1,0,IF($AM321=1,Settings!$C$6,Settings!$C$7))*100)</f>
        <v/>
      </c>
      <c r="AE321" s="7" t="n"/>
      <c r="AH321" s="11" t="n"/>
      <c r="AJ321">
        <f>IF($C321="","",$C321&amp;"|"&amp;$D321&amp;"")</f>
        <v/>
      </c>
      <c r="AK321">
        <f>IF($C321="","",IF(COUNTIF($AJ$2:$AJ321,$AJ321)=1,1,0))</f>
        <v/>
      </c>
      <c r="AL321">
        <f>IF($AK321=1,SUMPRODUCT(--($AO$2:$AO$1501&lt;$AO321))+1,"")</f>
        <v/>
      </c>
      <c r="AM321">
        <f>IF($C321="","",IF(OR($Q321=TRUE(),$Q321="TRUE"),1,0))</f>
        <v/>
      </c>
      <c r="AN321">
        <f>IF($C321="","",IF($Z321="Yes",1,0))</f>
        <v/>
      </c>
      <c r="AO321">
        <f>IF($AK321=1,IFERROR(IF(VALUE($C321)&lt;100000000,VALUE($C321),1000000000),IFERROR(IF(VALUE(MID($C321,2,20))&lt;100000000,VALUE(MID($C321,2,20)),1000000000),1000000000))+ROW()/100000,"")</f>
        <v/>
      </c>
    </row>
    <row r="322">
      <c r="F322" s="11" t="n"/>
      <c r="N322" s="7">
        <f>IF($C322="","",M322*U322/100)</f>
        <v/>
      </c>
      <c r="T322" s="7" t="n"/>
      <c r="U322" s="7" t="n"/>
      <c r="V322" s="7">
        <f>IF($C322="","",U322*AA322/100)</f>
        <v/>
      </c>
      <c r="W322" s="7">
        <f>IF($C322="","",U322-V322)</f>
        <v/>
      </c>
      <c r="X322" s="7">
        <f>IF($C322="","",W322-N322)</f>
        <v/>
      </c>
      <c r="AA322">
        <f>IF($C322="","",IF($AN322=1,0,IF($AM322=1,Settings!$C$6,Settings!$C$7))*100)</f>
        <v/>
      </c>
      <c r="AE322" s="7" t="n"/>
      <c r="AH322" s="11" t="n"/>
      <c r="AJ322">
        <f>IF($C322="","",$C322&amp;"|"&amp;$D322&amp;"")</f>
        <v/>
      </c>
      <c r="AK322">
        <f>IF($C322="","",IF(COUNTIF($AJ$2:$AJ322,$AJ322)=1,1,0))</f>
        <v/>
      </c>
      <c r="AL322">
        <f>IF($AK322=1,SUMPRODUCT(--($AO$2:$AO$1501&lt;$AO322))+1,"")</f>
        <v/>
      </c>
      <c r="AM322">
        <f>IF($C322="","",IF(OR($Q322=TRUE(),$Q322="TRUE"),1,0))</f>
        <v/>
      </c>
      <c r="AN322">
        <f>IF($C322="","",IF($Z322="Yes",1,0))</f>
        <v/>
      </c>
      <c r="AO322">
        <f>IF($AK322=1,IFERROR(IF(VALUE($C322)&lt;100000000,VALUE($C322),1000000000),IFERROR(IF(VALUE(MID($C322,2,20))&lt;100000000,VALUE(MID($C322,2,20)),1000000000),1000000000))+ROW()/100000,"")</f>
        <v/>
      </c>
    </row>
    <row r="323">
      <c r="F323" s="11" t="n"/>
      <c r="N323" s="7">
        <f>IF($C323="","",M323*U323/100)</f>
        <v/>
      </c>
      <c r="T323" s="7" t="n"/>
      <c r="U323" s="7" t="n"/>
      <c r="V323" s="7">
        <f>IF($C323="","",U323*AA323/100)</f>
        <v/>
      </c>
      <c r="W323" s="7">
        <f>IF($C323="","",U323-V323)</f>
        <v/>
      </c>
      <c r="X323" s="7">
        <f>IF($C323="","",W323-N323)</f>
        <v/>
      </c>
      <c r="AA323">
        <f>IF($C323="","",IF($AN323=1,0,IF($AM323=1,Settings!$C$6,Settings!$C$7))*100)</f>
        <v/>
      </c>
      <c r="AE323" s="7" t="n"/>
      <c r="AH323" s="11" t="n"/>
      <c r="AJ323">
        <f>IF($C323="","",$C323&amp;"|"&amp;$D323&amp;"")</f>
        <v/>
      </c>
      <c r="AK323">
        <f>IF($C323="","",IF(COUNTIF($AJ$2:$AJ323,$AJ323)=1,1,0))</f>
        <v/>
      </c>
      <c r="AL323">
        <f>IF($AK323=1,SUMPRODUCT(--($AO$2:$AO$1501&lt;$AO323))+1,"")</f>
        <v/>
      </c>
      <c r="AM323">
        <f>IF($C323="","",IF(OR($Q323=TRUE(),$Q323="TRUE"),1,0))</f>
        <v/>
      </c>
      <c r="AN323">
        <f>IF($C323="","",IF($Z323="Yes",1,0))</f>
        <v/>
      </c>
      <c r="AO323">
        <f>IF($AK323=1,IFERROR(IF(VALUE($C323)&lt;100000000,VALUE($C323),1000000000),IFERROR(IF(VALUE(MID($C323,2,20))&lt;100000000,VALUE(MID($C323,2,20)),1000000000),1000000000))+ROW()/100000,"")</f>
        <v/>
      </c>
    </row>
    <row r="324">
      <c r="F324" s="11" t="n"/>
      <c r="N324" s="7">
        <f>IF($C324="","",M324*U324/100)</f>
        <v/>
      </c>
      <c r="T324" s="7" t="n"/>
      <c r="U324" s="7" t="n"/>
      <c r="V324" s="7">
        <f>IF($C324="","",U324*AA324/100)</f>
        <v/>
      </c>
      <c r="W324" s="7">
        <f>IF($C324="","",U324-V324)</f>
        <v/>
      </c>
      <c r="X324" s="7">
        <f>IF($C324="","",W324-N324)</f>
        <v/>
      </c>
      <c r="AA324">
        <f>IF($C324="","",IF($AN324=1,0,IF($AM324=1,Settings!$C$6,Settings!$C$7))*100)</f>
        <v/>
      </c>
      <c r="AE324" s="7" t="n"/>
      <c r="AH324" s="11" t="n"/>
      <c r="AJ324">
        <f>IF($C324="","",$C324&amp;"|"&amp;$D324&amp;"")</f>
        <v/>
      </c>
      <c r="AK324">
        <f>IF($C324="","",IF(COUNTIF($AJ$2:$AJ324,$AJ324)=1,1,0))</f>
        <v/>
      </c>
      <c r="AL324">
        <f>IF($AK324=1,SUMPRODUCT(--($AO$2:$AO$1501&lt;$AO324))+1,"")</f>
        <v/>
      </c>
      <c r="AM324">
        <f>IF($C324="","",IF(OR($Q324=TRUE(),$Q324="TRUE"),1,0))</f>
        <v/>
      </c>
      <c r="AN324">
        <f>IF($C324="","",IF($Z324="Yes",1,0))</f>
        <v/>
      </c>
      <c r="AO324">
        <f>IF($AK324=1,IFERROR(IF(VALUE($C324)&lt;100000000,VALUE($C324),1000000000),IFERROR(IF(VALUE(MID($C324,2,20))&lt;100000000,VALUE(MID($C324,2,20)),1000000000),1000000000))+ROW()/100000,"")</f>
        <v/>
      </c>
    </row>
    <row r="325">
      <c r="F325" s="11" t="n"/>
      <c r="N325" s="7">
        <f>IF($C325="","",M325*U325/100)</f>
        <v/>
      </c>
      <c r="T325" s="7" t="n"/>
      <c r="U325" s="7" t="n"/>
      <c r="V325" s="7">
        <f>IF($C325="","",U325*AA325/100)</f>
        <v/>
      </c>
      <c r="W325" s="7">
        <f>IF($C325="","",U325-V325)</f>
        <v/>
      </c>
      <c r="X325" s="7">
        <f>IF($C325="","",W325-N325)</f>
        <v/>
      </c>
      <c r="AA325">
        <f>IF($C325="","",IF($AN325=1,0,IF($AM325=1,Settings!$C$6,Settings!$C$7))*100)</f>
        <v/>
      </c>
      <c r="AE325" s="7" t="n"/>
      <c r="AH325" s="11" t="n"/>
      <c r="AJ325">
        <f>IF($C325="","",$C325&amp;"|"&amp;$D325&amp;"")</f>
        <v/>
      </c>
      <c r="AK325">
        <f>IF($C325="","",IF(COUNTIF($AJ$2:$AJ325,$AJ325)=1,1,0))</f>
        <v/>
      </c>
      <c r="AL325">
        <f>IF($AK325=1,SUMPRODUCT(--($AO$2:$AO$1501&lt;$AO325))+1,"")</f>
        <v/>
      </c>
      <c r="AM325">
        <f>IF($C325="","",IF(OR($Q325=TRUE(),$Q325="TRUE"),1,0))</f>
        <v/>
      </c>
      <c r="AN325">
        <f>IF($C325="","",IF($Z325="Yes",1,0))</f>
        <v/>
      </c>
      <c r="AO325">
        <f>IF($AK325=1,IFERROR(IF(VALUE($C325)&lt;100000000,VALUE($C325),1000000000),IFERROR(IF(VALUE(MID($C325,2,20))&lt;100000000,VALUE(MID($C325,2,20)),1000000000),1000000000))+ROW()/100000,"")</f>
        <v/>
      </c>
    </row>
    <row r="326">
      <c r="F326" s="11" t="n"/>
      <c r="N326" s="7">
        <f>IF($C326="","",M326*U326/100)</f>
        <v/>
      </c>
      <c r="T326" s="7" t="n"/>
      <c r="U326" s="7" t="n"/>
      <c r="V326" s="7">
        <f>IF($C326="","",U326*AA326/100)</f>
        <v/>
      </c>
      <c r="W326" s="7">
        <f>IF($C326="","",U326-V326)</f>
        <v/>
      </c>
      <c r="X326" s="7">
        <f>IF($C326="","",W326-N326)</f>
        <v/>
      </c>
      <c r="AA326">
        <f>IF($C326="","",IF($AN326=1,0,IF($AM326=1,Settings!$C$6,Settings!$C$7))*100)</f>
        <v/>
      </c>
      <c r="AE326" s="7" t="n"/>
      <c r="AH326" s="11" t="n"/>
      <c r="AJ326">
        <f>IF($C326="","",$C326&amp;"|"&amp;$D326&amp;"")</f>
        <v/>
      </c>
      <c r="AK326">
        <f>IF($C326="","",IF(COUNTIF($AJ$2:$AJ326,$AJ326)=1,1,0))</f>
        <v/>
      </c>
      <c r="AL326">
        <f>IF($AK326=1,SUMPRODUCT(--($AO$2:$AO$1501&lt;$AO326))+1,"")</f>
        <v/>
      </c>
      <c r="AM326">
        <f>IF($C326="","",IF(OR($Q326=TRUE(),$Q326="TRUE"),1,0))</f>
        <v/>
      </c>
      <c r="AN326">
        <f>IF($C326="","",IF($Z326="Yes",1,0))</f>
        <v/>
      </c>
      <c r="AO326">
        <f>IF($AK326=1,IFERROR(IF(VALUE($C326)&lt;100000000,VALUE($C326),1000000000),IFERROR(IF(VALUE(MID($C326,2,20))&lt;100000000,VALUE(MID($C326,2,20)),1000000000),1000000000))+ROW()/100000,"")</f>
        <v/>
      </c>
    </row>
    <row r="327">
      <c r="F327" s="11" t="n"/>
      <c r="N327" s="7">
        <f>IF($C327="","",M327*U327/100)</f>
        <v/>
      </c>
      <c r="T327" s="7" t="n"/>
      <c r="U327" s="7" t="n"/>
      <c r="V327" s="7">
        <f>IF($C327="","",U327*AA327/100)</f>
        <v/>
      </c>
      <c r="W327" s="7">
        <f>IF($C327="","",U327-V327)</f>
        <v/>
      </c>
      <c r="X327" s="7">
        <f>IF($C327="","",W327-N327)</f>
        <v/>
      </c>
      <c r="AA327">
        <f>IF($C327="","",IF($AN327=1,0,IF($AM327=1,Settings!$C$6,Settings!$C$7))*100)</f>
        <v/>
      </c>
      <c r="AE327" s="7" t="n"/>
      <c r="AH327" s="11" t="n"/>
      <c r="AJ327">
        <f>IF($C327="","",$C327&amp;"|"&amp;$D327&amp;"")</f>
        <v/>
      </c>
      <c r="AK327">
        <f>IF($C327="","",IF(COUNTIF($AJ$2:$AJ327,$AJ327)=1,1,0))</f>
        <v/>
      </c>
      <c r="AL327">
        <f>IF($AK327=1,SUMPRODUCT(--($AO$2:$AO$1501&lt;$AO327))+1,"")</f>
        <v/>
      </c>
      <c r="AM327">
        <f>IF($C327="","",IF(OR($Q327=TRUE(),$Q327="TRUE"),1,0))</f>
        <v/>
      </c>
      <c r="AN327">
        <f>IF($C327="","",IF($Z327="Yes",1,0))</f>
        <v/>
      </c>
      <c r="AO327">
        <f>IF($AK327=1,IFERROR(IF(VALUE($C327)&lt;100000000,VALUE($C327),1000000000),IFERROR(IF(VALUE(MID($C327,2,20))&lt;100000000,VALUE(MID($C327,2,20)),1000000000),1000000000))+ROW()/100000,"")</f>
        <v/>
      </c>
    </row>
    <row r="328">
      <c r="F328" s="11" t="n"/>
      <c r="N328" s="7">
        <f>IF($C328="","",M328*U328/100)</f>
        <v/>
      </c>
      <c r="T328" s="7" t="n"/>
      <c r="U328" s="7" t="n"/>
      <c r="V328" s="7">
        <f>IF($C328="","",U328*AA328/100)</f>
        <v/>
      </c>
      <c r="W328" s="7">
        <f>IF($C328="","",U328-V328)</f>
        <v/>
      </c>
      <c r="X328" s="7">
        <f>IF($C328="","",W328-N328)</f>
        <v/>
      </c>
      <c r="AA328">
        <f>IF($C328="","",IF($AN328=1,0,IF($AM328=1,Settings!$C$6,Settings!$C$7))*100)</f>
        <v/>
      </c>
      <c r="AE328" s="7" t="n"/>
      <c r="AH328" s="11" t="n"/>
      <c r="AJ328">
        <f>IF($C328="","",$C328&amp;"|"&amp;$D328&amp;"")</f>
        <v/>
      </c>
      <c r="AK328">
        <f>IF($C328="","",IF(COUNTIF($AJ$2:$AJ328,$AJ328)=1,1,0))</f>
        <v/>
      </c>
      <c r="AL328">
        <f>IF($AK328=1,SUMPRODUCT(--($AO$2:$AO$1501&lt;$AO328))+1,"")</f>
        <v/>
      </c>
      <c r="AM328">
        <f>IF($C328="","",IF(OR($Q328=TRUE(),$Q328="TRUE"),1,0))</f>
        <v/>
      </c>
      <c r="AN328">
        <f>IF($C328="","",IF($Z328="Yes",1,0))</f>
        <v/>
      </c>
      <c r="AO328">
        <f>IF($AK328=1,IFERROR(IF(VALUE($C328)&lt;100000000,VALUE($C328),1000000000),IFERROR(IF(VALUE(MID($C328,2,20))&lt;100000000,VALUE(MID($C328,2,20)),1000000000),1000000000))+ROW()/100000,"")</f>
        <v/>
      </c>
    </row>
    <row r="329">
      <c r="F329" s="11" t="n"/>
      <c r="N329" s="7">
        <f>IF($C329="","",M329*U329/100)</f>
        <v/>
      </c>
      <c r="T329" s="7" t="n"/>
      <c r="U329" s="7" t="n"/>
      <c r="V329" s="7">
        <f>IF($C329="","",U329*AA329/100)</f>
        <v/>
      </c>
      <c r="W329" s="7">
        <f>IF($C329="","",U329-V329)</f>
        <v/>
      </c>
      <c r="X329" s="7">
        <f>IF($C329="","",W329-N329)</f>
        <v/>
      </c>
      <c r="AA329">
        <f>IF($C329="","",IF($AN329=1,0,IF($AM329=1,Settings!$C$6,Settings!$C$7))*100)</f>
        <v/>
      </c>
      <c r="AE329" s="7" t="n"/>
      <c r="AH329" s="11" t="n"/>
      <c r="AJ329">
        <f>IF($C329="","",$C329&amp;"|"&amp;$D329&amp;"")</f>
        <v/>
      </c>
      <c r="AK329">
        <f>IF($C329="","",IF(COUNTIF($AJ$2:$AJ329,$AJ329)=1,1,0))</f>
        <v/>
      </c>
      <c r="AL329">
        <f>IF($AK329=1,SUMPRODUCT(--($AO$2:$AO$1501&lt;$AO329))+1,"")</f>
        <v/>
      </c>
      <c r="AM329">
        <f>IF($C329="","",IF(OR($Q329=TRUE(),$Q329="TRUE"),1,0))</f>
        <v/>
      </c>
      <c r="AN329">
        <f>IF($C329="","",IF($Z329="Yes",1,0))</f>
        <v/>
      </c>
      <c r="AO329">
        <f>IF($AK329=1,IFERROR(IF(VALUE($C329)&lt;100000000,VALUE($C329),1000000000),IFERROR(IF(VALUE(MID($C329,2,20))&lt;100000000,VALUE(MID($C329,2,20)),1000000000),1000000000))+ROW()/100000,"")</f>
        <v/>
      </c>
    </row>
    <row r="330">
      <c r="F330" s="11" t="n"/>
      <c r="N330" s="7">
        <f>IF($C330="","",M330*U330/100)</f>
        <v/>
      </c>
      <c r="T330" s="7" t="n"/>
      <c r="U330" s="7" t="n"/>
      <c r="V330" s="7">
        <f>IF($C330="","",U330*AA330/100)</f>
        <v/>
      </c>
      <c r="W330" s="7">
        <f>IF($C330="","",U330-V330)</f>
        <v/>
      </c>
      <c r="X330" s="7">
        <f>IF($C330="","",W330-N330)</f>
        <v/>
      </c>
      <c r="AA330">
        <f>IF($C330="","",IF($AN330=1,0,IF($AM330=1,Settings!$C$6,Settings!$C$7))*100)</f>
        <v/>
      </c>
      <c r="AE330" s="7" t="n"/>
      <c r="AH330" s="11" t="n"/>
      <c r="AJ330">
        <f>IF($C330="","",$C330&amp;"|"&amp;$D330&amp;"")</f>
        <v/>
      </c>
      <c r="AK330">
        <f>IF($C330="","",IF(COUNTIF($AJ$2:$AJ330,$AJ330)=1,1,0))</f>
        <v/>
      </c>
      <c r="AL330">
        <f>IF($AK330=1,SUMPRODUCT(--($AO$2:$AO$1501&lt;$AO330))+1,"")</f>
        <v/>
      </c>
      <c r="AM330">
        <f>IF($C330="","",IF(OR($Q330=TRUE(),$Q330="TRUE"),1,0))</f>
        <v/>
      </c>
      <c r="AN330">
        <f>IF($C330="","",IF($Z330="Yes",1,0))</f>
        <v/>
      </c>
      <c r="AO330">
        <f>IF($AK330=1,IFERROR(IF(VALUE($C330)&lt;100000000,VALUE($C330),1000000000),IFERROR(IF(VALUE(MID($C330,2,20))&lt;100000000,VALUE(MID($C330,2,20)),1000000000),1000000000))+ROW()/100000,"")</f>
        <v/>
      </c>
    </row>
    <row r="331">
      <c r="F331" s="11" t="n"/>
      <c r="N331" s="7">
        <f>IF($C331="","",M331*U331/100)</f>
        <v/>
      </c>
      <c r="T331" s="7" t="n"/>
      <c r="U331" s="7" t="n"/>
      <c r="V331" s="7">
        <f>IF($C331="","",U331*AA331/100)</f>
        <v/>
      </c>
      <c r="W331" s="7">
        <f>IF($C331="","",U331-V331)</f>
        <v/>
      </c>
      <c r="X331" s="7">
        <f>IF($C331="","",W331-N331)</f>
        <v/>
      </c>
      <c r="AA331">
        <f>IF($C331="","",IF($AN331=1,0,IF($AM331=1,Settings!$C$6,Settings!$C$7))*100)</f>
        <v/>
      </c>
      <c r="AE331" s="7" t="n"/>
      <c r="AH331" s="11" t="n"/>
      <c r="AJ331">
        <f>IF($C331="","",$C331&amp;"|"&amp;$D331&amp;"")</f>
        <v/>
      </c>
      <c r="AK331">
        <f>IF($C331="","",IF(COUNTIF($AJ$2:$AJ331,$AJ331)=1,1,0))</f>
        <v/>
      </c>
      <c r="AL331">
        <f>IF($AK331=1,SUMPRODUCT(--($AO$2:$AO$1501&lt;$AO331))+1,"")</f>
        <v/>
      </c>
      <c r="AM331">
        <f>IF($C331="","",IF(OR($Q331=TRUE(),$Q331="TRUE"),1,0))</f>
        <v/>
      </c>
      <c r="AN331">
        <f>IF($C331="","",IF($Z331="Yes",1,0))</f>
        <v/>
      </c>
      <c r="AO331">
        <f>IF($AK331=1,IFERROR(IF(VALUE($C331)&lt;100000000,VALUE($C331),1000000000),IFERROR(IF(VALUE(MID($C331,2,20))&lt;100000000,VALUE(MID($C331,2,20)),1000000000),1000000000))+ROW()/100000,"")</f>
        <v/>
      </c>
    </row>
    <row r="332">
      <c r="F332" s="11" t="n"/>
      <c r="N332" s="7">
        <f>IF($C332="","",M332*U332/100)</f>
        <v/>
      </c>
      <c r="T332" s="7" t="n"/>
      <c r="U332" s="7" t="n"/>
      <c r="V332" s="7">
        <f>IF($C332="","",U332*AA332/100)</f>
        <v/>
      </c>
      <c r="W332" s="7">
        <f>IF($C332="","",U332-V332)</f>
        <v/>
      </c>
      <c r="X332" s="7">
        <f>IF($C332="","",W332-N332)</f>
        <v/>
      </c>
      <c r="AA332">
        <f>IF($C332="","",IF($AN332=1,0,IF($AM332=1,Settings!$C$6,Settings!$C$7))*100)</f>
        <v/>
      </c>
      <c r="AE332" s="7" t="n"/>
      <c r="AH332" s="11" t="n"/>
      <c r="AJ332">
        <f>IF($C332="","",$C332&amp;"|"&amp;$D332&amp;"")</f>
        <v/>
      </c>
      <c r="AK332">
        <f>IF($C332="","",IF(COUNTIF($AJ$2:$AJ332,$AJ332)=1,1,0))</f>
        <v/>
      </c>
      <c r="AL332">
        <f>IF($AK332=1,SUMPRODUCT(--($AO$2:$AO$1501&lt;$AO332))+1,"")</f>
        <v/>
      </c>
      <c r="AM332">
        <f>IF($C332="","",IF(OR($Q332=TRUE(),$Q332="TRUE"),1,0))</f>
        <v/>
      </c>
      <c r="AN332">
        <f>IF($C332="","",IF($Z332="Yes",1,0))</f>
        <v/>
      </c>
      <c r="AO332">
        <f>IF($AK332=1,IFERROR(IF(VALUE($C332)&lt;100000000,VALUE($C332),1000000000),IFERROR(IF(VALUE(MID($C332,2,20))&lt;100000000,VALUE(MID($C332,2,20)),1000000000),1000000000))+ROW()/100000,"")</f>
        <v/>
      </c>
    </row>
    <row r="333">
      <c r="F333" s="11" t="n"/>
      <c r="N333" s="7">
        <f>IF($C333="","",M333*U333/100)</f>
        <v/>
      </c>
      <c r="T333" s="7" t="n"/>
      <c r="U333" s="7" t="n"/>
      <c r="V333" s="7">
        <f>IF($C333="","",U333*AA333/100)</f>
        <v/>
      </c>
      <c r="W333" s="7">
        <f>IF($C333="","",U333-V333)</f>
        <v/>
      </c>
      <c r="X333" s="7">
        <f>IF($C333="","",W333-N333)</f>
        <v/>
      </c>
      <c r="AA333">
        <f>IF($C333="","",IF($AN333=1,0,IF($AM333=1,Settings!$C$6,Settings!$C$7))*100)</f>
        <v/>
      </c>
      <c r="AE333" s="7" t="n"/>
      <c r="AH333" s="11" t="n"/>
      <c r="AJ333">
        <f>IF($C333="","",$C333&amp;"|"&amp;$D333&amp;"")</f>
        <v/>
      </c>
      <c r="AK333">
        <f>IF($C333="","",IF(COUNTIF($AJ$2:$AJ333,$AJ333)=1,1,0))</f>
        <v/>
      </c>
      <c r="AL333">
        <f>IF($AK333=1,SUMPRODUCT(--($AO$2:$AO$1501&lt;$AO333))+1,"")</f>
        <v/>
      </c>
      <c r="AM333">
        <f>IF($C333="","",IF(OR($Q333=TRUE(),$Q333="TRUE"),1,0))</f>
        <v/>
      </c>
      <c r="AN333">
        <f>IF($C333="","",IF($Z333="Yes",1,0))</f>
        <v/>
      </c>
      <c r="AO333">
        <f>IF($AK333=1,IFERROR(IF(VALUE($C333)&lt;100000000,VALUE($C333),1000000000),IFERROR(IF(VALUE(MID($C333,2,20))&lt;100000000,VALUE(MID($C333,2,20)),1000000000),1000000000))+ROW()/100000,"")</f>
        <v/>
      </c>
    </row>
    <row r="334">
      <c r="F334" s="11" t="n"/>
      <c r="N334" s="7">
        <f>IF($C334="","",M334*U334/100)</f>
        <v/>
      </c>
      <c r="T334" s="7" t="n"/>
      <c r="U334" s="7" t="n"/>
      <c r="V334" s="7">
        <f>IF($C334="","",U334*AA334/100)</f>
        <v/>
      </c>
      <c r="W334" s="7">
        <f>IF($C334="","",U334-V334)</f>
        <v/>
      </c>
      <c r="X334" s="7">
        <f>IF($C334="","",W334-N334)</f>
        <v/>
      </c>
      <c r="AA334">
        <f>IF($C334="","",IF($AN334=1,0,IF($AM334=1,Settings!$C$6,Settings!$C$7))*100)</f>
        <v/>
      </c>
      <c r="AE334" s="7" t="n"/>
      <c r="AH334" s="11" t="n"/>
      <c r="AJ334">
        <f>IF($C334="","",$C334&amp;"|"&amp;$D334&amp;"")</f>
        <v/>
      </c>
      <c r="AK334">
        <f>IF($C334="","",IF(COUNTIF($AJ$2:$AJ334,$AJ334)=1,1,0))</f>
        <v/>
      </c>
      <c r="AL334">
        <f>IF($AK334=1,SUMPRODUCT(--($AO$2:$AO$1501&lt;$AO334))+1,"")</f>
        <v/>
      </c>
      <c r="AM334">
        <f>IF($C334="","",IF(OR($Q334=TRUE(),$Q334="TRUE"),1,0))</f>
        <v/>
      </c>
      <c r="AN334">
        <f>IF($C334="","",IF($Z334="Yes",1,0))</f>
        <v/>
      </c>
      <c r="AO334">
        <f>IF($AK334=1,IFERROR(IF(VALUE($C334)&lt;100000000,VALUE($C334),1000000000),IFERROR(IF(VALUE(MID($C334,2,20))&lt;100000000,VALUE(MID($C334,2,20)),1000000000),1000000000))+ROW()/100000,"")</f>
        <v/>
      </c>
    </row>
    <row r="335">
      <c r="F335" s="11" t="n"/>
      <c r="N335" s="7">
        <f>IF($C335="","",M335*U335/100)</f>
        <v/>
      </c>
      <c r="T335" s="7" t="n"/>
      <c r="U335" s="7" t="n"/>
      <c r="V335" s="7">
        <f>IF($C335="","",U335*AA335/100)</f>
        <v/>
      </c>
      <c r="W335" s="7">
        <f>IF($C335="","",U335-V335)</f>
        <v/>
      </c>
      <c r="X335" s="7">
        <f>IF($C335="","",W335-N335)</f>
        <v/>
      </c>
      <c r="AA335">
        <f>IF($C335="","",IF($AN335=1,0,IF($AM335=1,Settings!$C$6,Settings!$C$7))*100)</f>
        <v/>
      </c>
      <c r="AE335" s="7" t="n"/>
      <c r="AH335" s="11" t="n"/>
      <c r="AJ335">
        <f>IF($C335="","",$C335&amp;"|"&amp;$D335&amp;"")</f>
        <v/>
      </c>
      <c r="AK335">
        <f>IF($C335="","",IF(COUNTIF($AJ$2:$AJ335,$AJ335)=1,1,0))</f>
        <v/>
      </c>
      <c r="AL335">
        <f>IF($AK335=1,SUMPRODUCT(--($AO$2:$AO$1501&lt;$AO335))+1,"")</f>
        <v/>
      </c>
      <c r="AM335">
        <f>IF($C335="","",IF(OR($Q335=TRUE(),$Q335="TRUE"),1,0))</f>
        <v/>
      </c>
      <c r="AN335">
        <f>IF($C335="","",IF($Z335="Yes",1,0))</f>
        <v/>
      </c>
      <c r="AO335">
        <f>IF($AK335=1,IFERROR(IF(VALUE($C335)&lt;100000000,VALUE($C335),1000000000),IFERROR(IF(VALUE(MID($C335,2,20))&lt;100000000,VALUE(MID($C335,2,20)),1000000000),1000000000))+ROW()/100000,"")</f>
        <v/>
      </c>
    </row>
    <row r="336">
      <c r="F336" s="11" t="n"/>
      <c r="N336" s="7">
        <f>IF($C336="","",M336*U336/100)</f>
        <v/>
      </c>
      <c r="T336" s="7" t="n"/>
      <c r="U336" s="7" t="n"/>
      <c r="V336" s="7">
        <f>IF($C336="","",U336*AA336/100)</f>
        <v/>
      </c>
      <c r="W336" s="7">
        <f>IF($C336="","",U336-V336)</f>
        <v/>
      </c>
      <c r="X336" s="7">
        <f>IF($C336="","",W336-N336)</f>
        <v/>
      </c>
      <c r="AA336">
        <f>IF($C336="","",IF($AN336=1,0,IF($AM336=1,Settings!$C$6,Settings!$C$7))*100)</f>
        <v/>
      </c>
      <c r="AE336" s="7" t="n"/>
      <c r="AH336" s="11" t="n"/>
      <c r="AJ336">
        <f>IF($C336="","",$C336&amp;"|"&amp;$D336&amp;"")</f>
        <v/>
      </c>
      <c r="AK336">
        <f>IF($C336="","",IF(COUNTIF($AJ$2:$AJ336,$AJ336)=1,1,0))</f>
        <v/>
      </c>
      <c r="AL336">
        <f>IF($AK336=1,SUMPRODUCT(--($AO$2:$AO$1501&lt;$AO336))+1,"")</f>
        <v/>
      </c>
      <c r="AM336">
        <f>IF($C336="","",IF(OR($Q336=TRUE(),$Q336="TRUE"),1,0))</f>
        <v/>
      </c>
      <c r="AN336">
        <f>IF($C336="","",IF($Z336="Yes",1,0))</f>
        <v/>
      </c>
      <c r="AO336">
        <f>IF($AK336=1,IFERROR(IF(VALUE($C336)&lt;100000000,VALUE($C336),1000000000),IFERROR(IF(VALUE(MID($C336,2,20))&lt;100000000,VALUE(MID($C336,2,20)),1000000000),1000000000))+ROW()/100000,"")</f>
        <v/>
      </c>
    </row>
    <row r="337">
      <c r="F337" s="11" t="n"/>
      <c r="N337" s="7">
        <f>IF($C337="","",M337*U337/100)</f>
        <v/>
      </c>
      <c r="T337" s="7" t="n"/>
      <c r="U337" s="7" t="n"/>
      <c r="V337" s="7">
        <f>IF($C337="","",U337*AA337/100)</f>
        <v/>
      </c>
      <c r="W337" s="7">
        <f>IF($C337="","",U337-V337)</f>
        <v/>
      </c>
      <c r="X337" s="7">
        <f>IF($C337="","",W337-N337)</f>
        <v/>
      </c>
      <c r="AA337">
        <f>IF($C337="","",IF($AN337=1,0,IF($AM337=1,Settings!$C$6,Settings!$C$7))*100)</f>
        <v/>
      </c>
      <c r="AE337" s="7" t="n"/>
      <c r="AH337" s="11" t="n"/>
      <c r="AJ337">
        <f>IF($C337="","",$C337&amp;"|"&amp;$D337&amp;"")</f>
        <v/>
      </c>
      <c r="AK337">
        <f>IF($C337="","",IF(COUNTIF($AJ$2:$AJ337,$AJ337)=1,1,0))</f>
        <v/>
      </c>
      <c r="AL337">
        <f>IF($AK337=1,SUMPRODUCT(--($AO$2:$AO$1501&lt;$AO337))+1,"")</f>
        <v/>
      </c>
      <c r="AM337">
        <f>IF($C337="","",IF(OR($Q337=TRUE(),$Q337="TRUE"),1,0))</f>
        <v/>
      </c>
      <c r="AN337">
        <f>IF($C337="","",IF($Z337="Yes",1,0))</f>
        <v/>
      </c>
      <c r="AO337">
        <f>IF($AK337=1,IFERROR(IF(VALUE($C337)&lt;100000000,VALUE($C337),1000000000),IFERROR(IF(VALUE(MID($C337,2,20))&lt;100000000,VALUE(MID($C337,2,20)),1000000000),1000000000))+ROW()/100000,"")</f>
        <v/>
      </c>
    </row>
    <row r="338">
      <c r="F338" s="11" t="n"/>
      <c r="N338" s="7">
        <f>IF($C338="","",M338*U338/100)</f>
        <v/>
      </c>
      <c r="T338" s="7" t="n"/>
      <c r="U338" s="7" t="n"/>
      <c r="V338" s="7">
        <f>IF($C338="","",U338*AA338/100)</f>
        <v/>
      </c>
      <c r="W338" s="7">
        <f>IF($C338="","",U338-V338)</f>
        <v/>
      </c>
      <c r="X338" s="7">
        <f>IF($C338="","",W338-N338)</f>
        <v/>
      </c>
      <c r="AA338">
        <f>IF($C338="","",IF($AN338=1,0,IF($AM338=1,Settings!$C$6,Settings!$C$7))*100)</f>
        <v/>
      </c>
      <c r="AE338" s="7" t="n"/>
      <c r="AH338" s="11" t="n"/>
      <c r="AJ338">
        <f>IF($C338="","",$C338&amp;"|"&amp;$D338&amp;"")</f>
        <v/>
      </c>
      <c r="AK338">
        <f>IF($C338="","",IF(COUNTIF($AJ$2:$AJ338,$AJ338)=1,1,0))</f>
        <v/>
      </c>
      <c r="AL338">
        <f>IF($AK338=1,SUMPRODUCT(--($AO$2:$AO$1501&lt;$AO338))+1,"")</f>
        <v/>
      </c>
      <c r="AM338">
        <f>IF($C338="","",IF(OR($Q338=TRUE(),$Q338="TRUE"),1,0))</f>
        <v/>
      </c>
      <c r="AN338">
        <f>IF($C338="","",IF($Z338="Yes",1,0))</f>
        <v/>
      </c>
      <c r="AO338">
        <f>IF($AK338=1,IFERROR(IF(VALUE($C338)&lt;100000000,VALUE($C338),1000000000),IFERROR(IF(VALUE(MID($C338,2,20))&lt;100000000,VALUE(MID($C338,2,20)),1000000000),1000000000))+ROW()/100000,"")</f>
        <v/>
      </c>
    </row>
    <row r="339">
      <c r="F339" s="11" t="n"/>
      <c r="N339" s="7">
        <f>IF($C339="","",M339*U339/100)</f>
        <v/>
      </c>
      <c r="T339" s="7" t="n"/>
      <c r="U339" s="7" t="n"/>
      <c r="V339" s="7">
        <f>IF($C339="","",U339*AA339/100)</f>
        <v/>
      </c>
      <c r="W339" s="7">
        <f>IF($C339="","",U339-V339)</f>
        <v/>
      </c>
      <c r="X339" s="7">
        <f>IF($C339="","",W339-N339)</f>
        <v/>
      </c>
      <c r="AA339">
        <f>IF($C339="","",IF($AN339=1,0,IF($AM339=1,Settings!$C$6,Settings!$C$7))*100)</f>
        <v/>
      </c>
      <c r="AE339" s="7" t="n"/>
      <c r="AH339" s="11" t="n"/>
      <c r="AJ339">
        <f>IF($C339="","",$C339&amp;"|"&amp;$D339&amp;"")</f>
        <v/>
      </c>
      <c r="AK339">
        <f>IF($C339="","",IF(COUNTIF($AJ$2:$AJ339,$AJ339)=1,1,0))</f>
        <v/>
      </c>
      <c r="AL339">
        <f>IF($AK339=1,SUMPRODUCT(--($AO$2:$AO$1501&lt;$AO339))+1,"")</f>
        <v/>
      </c>
      <c r="AM339">
        <f>IF($C339="","",IF(OR($Q339=TRUE(),$Q339="TRUE"),1,0))</f>
        <v/>
      </c>
      <c r="AN339">
        <f>IF($C339="","",IF($Z339="Yes",1,0))</f>
        <v/>
      </c>
      <c r="AO339">
        <f>IF($AK339=1,IFERROR(IF(VALUE($C339)&lt;100000000,VALUE($C339),1000000000),IFERROR(IF(VALUE(MID($C339,2,20))&lt;100000000,VALUE(MID($C339,2,20)),1000000000),1000000000))+ROW()/100000,"")</f>
        <v/>
      </c>
    </row>
    <row r="340">
      <c r="F340" s="11" t="n"/>
      <c r="N340" s="7">
        <f>IF($C340="","",M340*U340/100)</f>
        <v/>
      </c>
      <c r="T340" s="7" t="n"/>
      <c r="U340" s="7" t="n"/>
      <c r="V340" s="7">
        <f>IF($C340="","",U340*AA340/100)</f>
        <v/>
      </c>
      <c r="W340" s="7">
        <f>IF($C340="","",U340-V340)</f>
        <v/>
      </c>
      <c r="X340" s="7">
        <f>IF($C340="","",W340-N340)</f>
        <v/>
      </c>
      <c r="AA340">
        <f>IF($C340="","",IF($AN340=1,0,IF($AM340=1,Settings!$C$6,Settings!$C$7))*100)</f>
        <v/>
      </c>
      <c r="AE340" s="7" t="n"/>
      <c r="AH340" s="11" t="n"/>
      <c r="AJ340">
        <f>IF($C340="","",$C340&amp;"|"&amp;$D340&amp;"")</f>
        <v/>
      </c>
      <c r="AK340">
        <f>IF($C340="","",IF(COUNTIF($AJ$2:$AJ340,$AJ340)=1,1,0))</f>
        <v/>
      </c>
      <c r="AL340">
        <f>IF($AK340=1,SUMPRODUCT(--($AO$2:$AO$1501&lt;$AO340))+1,"")</f>
        <v/>
      </c>
      <c r="AM340">
        <f>IF($C340="","",IF(OR($Q340=TRUE(),$Q340="TRUE"),1,0))</f>
        <v/>
      </c>
      <c r="AN340">
        <f>IF($C340="","",IF($Z340="Yes",1,0))</f>
        <v/>
      </c>
      <c r="AO340">
        <f>IF($AK340=1,IFERROR(IF(VALUE($C340)&lt;100000000,VALUE($C340),1000000000),IFERROR(IF(VALUE(MID($C340,2,20))&lt;100000000,VALUE(MID($C340,2,20)),1000000000),1000000000))+ROW()/100000,"")</f>
        <v/>
      </c>
    </row>
    <row r="341">
      <c r="F341" s="11" t="n"/>
      <c r="N341" s="7">
        <f>IF($C341="","",M341*U341/100)</f>
        <v/>
      </c>
      <c r="T341" s="7" t="n"/>
      <c r="U341" s="7" t="n"/>
      <c r="V341" s="7">
        <f>IF($C341="","",U341*AA341/100)</f>
        <v/>
      </c>
      <c r="W341" s="7">
        <f>IF($C341="","",U341-V341)</f>
        <v/>
      </c>
      <c r="X341" s="7">
        <f>IF($C341="","",W341-N341)</f>
        <v/>
      </c>
      <c r="AA341">
        <f>IF($C341="","",IF($AN341=1,0,IF($AM341=1,Settings!$C$6,Settings!$C$7))*100)</f>
        <v/>
      </c>
      <c r="AE341" s="7" t="n"/>
      <c r="AH341" s="11" t="n"/>
      <c r="AJ341">
        <f>IF($C341="","",$C341&amp;"|"&amp;$D341&amp;"")</f>
        <v/>
      </c>
      <c r="AK341">
        <f>IF($C341="","",IF(COUNTIF($AJ$2:$AJ341,$AJ341)=1,1,0))</f>
        <v/>
      </c>
      <c r="AL341">
        <f>IF($AK341=1,SUMPRODUCT(--($AO$2:$AO$1501&lt;$AO341))+1,"")</f>
        <v/>
      </c>
      <c r="AM341">
        <f>IF($C341="","",IF(OR($Q341=TRUE(),$Q341="TRUE"),1,0))</f>
        <v/>
      </c>
      <c r="AN341">
        <f>IF($C341="","",IF($Z341="Yes",1,0))</f>
        <v/>
      </c>
      <c r="AO341">
        <f>IF($AK341=1,IFERROR(IF(VALUE($C341)&lt;100000000,VALUE($C341),1000000000),IFERROR(IF(VALUE(MID($C341,2,20))&lt;100000000,VALUE(MID($C341,2,20)),1000000000),1000000000))+ROW()/100000,"")</f>
        <v/>
      </c>
    </row>
    <row r="342">
      <c r="F342" s="11" t="n"/>
      <c r="N342" s="7">
        <f>IF($C342="","",M342*U342/100)</f>
        <v/>
      </c>
      <c r="T342" s="7" t="n"/>
      <c r="U342" s="7" t="n"/>
      <c r="V342" s="7">
        <f>IF($C342="","",U342*AA342/100)</f>
        <v/>
      </c>
      <c r="W342" s="7">
        <f>IF($C342="","",U342-V342)</f>
        <v/>
      </c>
      <c r="X342" s="7">
        <f>IF($C342="","",W342-N342)</f>
        <v/>
      </c>
      <c r="AA342">
        <f>IF($C342="","",IF($AN342=1,0,IF($AM342=1,Settings!$C$6,Settings!$C$7))*100)</f>
        <v/>
      </c>
      <c r="AE342" s="7" t="n"/>
      <c r="AH342" s="11" t="n"/>
      <c r="AJ342">
        <f>IF($C342="","",$C342&amp;"|"&amp;$D342&amp;"")</f>
        <v/>
      </c>
      <c r="AK342">
        <f>IF($C342="","",IF(COUNTIF($AJ$2:$AJ342,$AJ342)=1,1,0))</f>
        <v/>
      </c>
      <c r="AL342">
        <f>IF($AK342=1,SUMPRODUCT(--($AO$2:$AO$1501&lt;$AO342))+1,"")</f>
        <v/>
      </c>
      <c r="AM342">
        <f>IF($C342="","",IF(OR($Q342=TRUE(),$Q342="TRUE"),1,0))</f>
        <v/>
      </c>
      <c r="AN342">
        <f>IF($C342="","",IF($Z342="Yes",1,0))</f>
        <v/>
      </c>
      <c r="AO342">
        <f>IF($AK342=1,IFERROR(IF(VALUE($C342)&lt;100000000,VALUE($C342),1000000000),IFERROR(IF(VALUE(MID($C342,2,20))&lt;100000000,VALUE(MID($C342,2,20)),1000000000),1000000000))+ROW()/100000,"")</f>
        <v/>
      </c>
    </row>
    <row r="343">
      <c r="F343" s="11" t="n"/>
      <c r="N343" s="7">
        <f>IF($C343="","",M343*U343/100)</f>
        <v/>
      </c>
      <c r="T343" s="7" t="n"/>
      <c r="U343" s="7" t="n"/>
      <c r="V343" s="7">
        <f>IF($C343="","",U343*AA343/100)</f>
        <v/>
      </c>
      <c r="W343" s="7">
        <f>IF($C343="","",U343-V343)</f>
        <v/>
      </c>
      <c r="X343" s="7">
        <f>IF($C343="","",W343-N343)</f>
        <v/>
      </c>
      <c r="AA343">
        <f>IF($C343="","",IF($AN343=1,0,IF($AM343=1,Settings!$C$6,Settings!$C$7))*100)</f>
        <v/>
      </c>
      <c r="AE343" s="7" t="n"/>
      <c r="AH343" s="11" t="n"/>
      <c r="AJ343">
        <f>IF($C343="","",$C343&amp;"|"&amp;$D343&amp;"")</f>
        <v/>
      </c>
      <c r="AK343">
        <f>IF($C343="","",IF(COUNTIF($AJ$2:$AJ343,$AJ343)=1,1,0))</f>
        <v/>
      </c>
      <c r="AL343">
        <f>IF($AK343=1,SUMPRODUCT(--($AO$2:$AO$1501&lt;$AO343))+1,"")</f>
        <v/>
      </c>
      <c r="AM343">
        <f>IF($C343="","",IF(OR($Q343=TRUE(),$Q343="TRUE"),1,0))</f>
        <v/>
      </c>
      <c r="AN343">
        <f>IF($C343="","",IF($Z343="Yes",1,0))</f>
        <v/>
      </c>
      <c r="AO343">
        <f>IF($AK343=1,IFERROR(IF(VALUE($C343)&lt;100000000,VALUE($C343),1000000000),IFERROR(IF(VALUE(MID($C343,2,20))&lt;100000000,VALUE(MID($C343,2,20)),1000000000),1000000000))+ROW()/100000,"")</f>
        <v/>
      </c>
    </row>
    <row r="344">
      <c r="F344" s="11" t="n"/>
      <c r="N344" s="7">
        <f>IF($C344="","",M344*U344/100)</f>
        <v/>
      </c>
      <c r="T344" s="7" t="n"/>
      <c r="U344" s="7" t="n"/>
      <c r="V344" s="7">
        <f>IF($C344="","",U344*AA344/100)</f>
        <v/>
      </c>
      <c r="W344" s="7">
        <f>IF($C344="","",U344-V344)</f>
        <v/>
      </c>
      <c r="X344" s="7">
        <f>IF($C344="","",W344-N344)</f>
        <v/>
      </c>
      <c r="AA344">
        <f>IF($C344="","",IF($AN344=1,0,IF($AM344=1,Settings!$C$6,Settings!$C$7))*100)</f>
        <v/>
      </c>
      <c r="AE344" s="7" t="n"/>
      <c r="AH344" s="11" t="n"/>
      <c r="AJ344">
        <f>IF($C344="","",$C344&amp;"|"&amp;$D344&amp;"")</f>
        <v/>
      </c>
      <c r="AK344">
        <f>IF($C344="","",IF(COUNTIF($AJ$2:$AJ344,$AJ344)=1,1,0))</f>
        <v/>
      </c>
      <c r="AL344">
        <f>IF($AK344=1,SUMPRODUCT(--($AO$2:$AO$1501&lt;$AO344))+1,"")</f>
        <v/>
      </c>
      <c r="AM344">
        <f>IF($C344="","",IF(OR($Q344=TRUE(),$Q344="TRUE"),1,0))</f>
        <v/>
      </c>
      <c r="AN344">
        <f>IF($C344="","",IF($Z344="Yes",1,0))</f>
        <v/>
      </c>
      <c r="AO344">
        <f>IF($AK344=1,IFERROR(IF(VALUE($C344)&lt;100000000,VALUE($C344),1000000000),IFERROR(IF(VALUE(MID($C344,2,20))&lt;100000000,VALUE(MID($C344,2,20)),1000000000),1000000000))+ROW()/100000,"")</f>
        <v/>
      </c>
    </row>
    <row r="345">
      <c r="F345" s="11" t="n"/>
      <c r="N345" s="7">
        <f>IF($C345="","",M345*U345/100)</f>
        <v/>
      </c>
      <c r="T345" s="7" t="n"/>
      <c r="U345" s="7" t="n"/>
      <c r="V345" s="7">
        <f>IF($C345="","",U345*AA345/100)</f>
        <v/>
      </c>
      <c r="W345" s="7">
        <f>IF($C345="","",U345-V345)</f>
        <v/>
      </c>
      <c r="X345" s="7">
        <f>IF($C345="","",W345-N345)</f>
        <v/>
      </c>
      <c r="AA345">
        <f>IF($C345="","",IF($AN345=1,0,IF($AM345=1,Settings!$C$6,Settings!$C$7))*100)</f>
        <v/>
      </c>
      <c r="AE345" s="7" t="n"/>
      <c r="AH345" s="11" t="n"/>
      <c r="AJ345">
        <f>IF($C345="","",$C345&amp;"|"&amp;$D345&amp;"")</f>
        <v/>
      </c>
      <c r="AK345">
        <f>IF($C345="","",IF(COUNTIF($AJ$2:$AJ345,$AJ345)=1,1,0))</f>
        <v/>
      </c>
      <c r="AL345">
        <f>IF($AK345=1,SUMPRODUCT(--($AO$2:$AO$1501&lt;$AO345))+1,"")</f>
        <v/>
      </c>
      <c r="AM345">
        <f>IF($C345="","",IF(OR($Q345=TRUE(),$Q345="TRUE"),1,0))</f>
        <v/>
      </c>
      <c r="AN345">
        <f>IF($C345="","",IF($Z345="Yes",1,0))</f>
        <v/>
      </c>
      <c r="AO345">
        <f>IF($AK345=1,IFERROR(IF(VALUE($C345)&lt;100000000,VALUE($C345),1000000000),IFERROR(IF(VALUE(MID($C345,2,20))&lt;100000000,VALUE(MID($C345,2,20)),1000000000),1000000000))+ROW()/100000,"")</f>
        <v/>
      </c>
    </row>
    <row r="346">
      <c r="F346" s="11" t="n"/>
      <c r="N346" s="7">
        <f>IF($C346="","",M346*U346/100)</f>
        <v/>
      </c>
      <c r="T346" s="7" t="n"/>
      <c r="U346" s="7" t="n"/>
      <c r="V346" s="7">
        <f>IF($C346="","",U346*AA346/100)</f>
        <v/>
      </c>
      <c r="W346" s="7">
        <f>IF($C346="","",U346-V346)</f>
        <v/>
      </c>
      <c r="X346" s="7">
        <f>IF($C346="","",W346-N346)</f>
        <v/>
      </c>
      <c r="AA346">
        <f>IF($C346="","",IF($AN346=1,0,IF($AM346=1,Settings!$C$6,Settings!$C$7))*100)</f>
        <v/>
      </c>
      <c r="AE346" s="7" t="n"/>
      <c r="AH346" s="11" t="n"/>
      <c r="AJ346">
        <f>IF($C346="","",$C346&amp;"|"&amp;$D346&amp;"")</f>
        <v/>
      </c>
      <c r="AK346">
        <f>IF($C346="","",IF(COUNTIF($AJ$2:$AJ346,$AJ346)=1,1,0))</f>
        <v/>
      </c>
      <c r="AL346">
        <f>IF($AK346=1,SUMPRODUCT(--($AO$2:$AO$1501&lt;$AO346))+1,"")</f>
        <v/>
      </c>
      <c r="AM346">
        <f>IF($C346="","",IF(OR($Q346=TRUE(),$Q346="TRUE"),1,0))</f>
        <v/>
      </c>
      <c r="AN346">
        <f>IF($C346="","",IF($Z346="Yes",1,0))</f>
        <v/>
      </c>
      <c r="AO346">
        <f>IF($AK346=1,IFERROR(IF(VALUE($C346)&lt;100000000,VALUE($C346),1000000000),IFERROR(IF(VALUE(MID($C346,2,20))&lt;100000000,VALUE(MID($C346,2,20)),1000000000),1000000000))+ROW()/100000,"")</f>
        <v/>
      </c>
    </row>
    <row r="347">
      <c r="F347" s="11" t="n"/>
      <c r="N347" s="7">
        <f>IF($C347="","",M347*U347/100)</f>
        <v/>
      </c>
      <c r="T347" s="7" t="n"/>
      <c r="U347" s="7" t="n"/>
      <c r="V347" s="7">
        <f>IF($C347="","",U347*AA347/100)</f>
        <v/>
      </c>
      <c r="W347" s="7">
        <f>IF($C347="","",U347-V347)</f>
        <v/>
      </c>
      <c r="X347" s="7">
        <f>IF($C347="","",W347-N347)</f>
        <v/>
      </c>
      <c r="AA347">
        <f>IF($C347="","",IF($AN347=1,0,IF($AM347=1,Settings!$C$6,Settings!$C$7))*100)</f>
        <v/>
      </c>
      <c r="AE347" s="7" t="n"/>
      <c r="AH347" s="11" t="n"/>
      <c r="AJ347">
        <f>IF($C347="","",$C347&amp;"|"&amp;$D347&amp;"")</f>
        <v/>
      </c>
      <c r="AK347">
        <f>IF($C347="","",IF(COUNTIF($AJ$2:$AJ347,$AJ347)=1,1,0))</f>
        <v/>
      </c>
      <c r="AL347">
        <f>IF($AK347=1,SUMPRODUCT(--($AO$2:$AO$1501&lt;$AO347))+1,"")</f>
        <v/>
      </c>
      <c r="AM347">
        <f>IF($C347="","",IF(OR($Q347=TRUE(),$Q347="TRUE"),1,0))</f>
        <v/>
      </c>
      <c r="AN347">
        <f>IF($C347="","",IF($Z347="Yes",1,0))</f>
        <v/>
      </c>
      <c r="AO347">
        <f>IF($AK347=1,IFERROR(IF(VALUE($C347)&lt;100000000,VALUE($C347),1000000000),IFERROR(IF(VALUE(MID($C347,2,20))&lt;100000000,VALUE(MID($C347,2,20)),1000000000),1000000000))+ROW()/100000,"")</f>
        <v/>
      </c>
    </row>
    <row r="348">
      <c r="F348" s="11" t="n"/>
      <c r="N348" s="7">
        <f>IF($C348="","",M348*U348/100)</f>
        <v/>
      </c>
      <c r="T348" s="7" t="n"/>
      <c r="U348" s="7" t="n"/>
      <c r="V348" s="7">
        <f>IF($C348="","",U348*AA348/100)</f>
        <v/>
      </c>
      <c r="W348" s="7">
        <f>IF($C348="","",U348-V348)</f>
        <v/>
      </c>
      <c r="X348" s="7">
        <f>IF($C348="","",W348-N348)</f>
        <v/>
      </c>
      <c r="AA348">
        <f>IF($C348="","",IF($AN348=1,0,IF($AM348=1,Settings!$C$6,Settings!$C$7))*100)</f>
        <v/>
      </c>
      <c r="AE348" s="7" t="n"/>
      <c r="AH348" s="11" t="n"/>
      <c r="AJ348">
        <f>IF($C348="","",$C348&amp;"|"&amp;$D348&amp;"")</f>
        <v/>
      </c>
      <c r="AK348">
        <f>IF($C348="","",IF(COUNTIF($AJ$2:$AJ348,$AJ348)=1,1,0))</f>
        <v/>
      </c>
      <c r="AL348">
        <f>IF($AK348=1,SUMPRODUCT(--($AO$2:$AO$1501&lt;$AO348))+1,"")</f>
        <v/>
      </c>
      <c r="AM348">
        <f>IF($C348="","",IF(OR($Q348=TRUE(),$Q348="TRUE"),1,0))</f>
        <v/>
      </c>
      <c r="AN348">
        <f>IF($C348="","",IF($Z348="Yes",1,0))</f>
        <v/>
      </c>
      <c r="AO348">
        <f>IF($AK348=1,IFERROR(IF(VALUE($C348)&lt;100000000,VALUE($C348),1000000000),IFERROR(IF(VALUE(MID($C348,2,20))&lt;100000000,VALUE(MID($C348,2,20)),1000000000),1000000000))+ROW()/100000,"")</f>
        <v/>
      </c>
    </row>
    <row r="349">
      <c r="F349" s="11" t="n"/>
      <c r="N349" s="7">
        <f>IF($C349="","",M349*U349/100)</f>
        <v/>
      </c>
      <c r="T349" s="7" t="n"/>
      <c r="U349" s="7" t="n"/>
      <c r="V349" s="7">
        <f>IF($C349="","",U349*AA349/100)</f>
        <v/>
      </c>
      <c r="W349" s="7">
        <f>IF($C349="","",U349-V349)</f>
        <v/>
      </c>
      <c r="X349" s="7">
        <f>IF($C349="","",W349-N349)</f>
        <v/>
      </c>
      <c r="AA349">
        <f>IF($C349="","",IF($AN349=1,0,IF($AM349=1,Settings!$C$6,Settings!$C$7))*100)</f>
        <v/>
      </c>
      <c r="AE349" s="7" t="n"/>
      <c r="AH349" s="11" t="n"/>
      <c r="AJ349">
        <f>IF($C349="","",$C349&amp;"|"&amp;$D349&amp;"")</f>
        <v/>
      </c>
      <c r="AK349">
        <f>IF($C349="","",IF(COUNTIF($AJ$2:$AJ349,$AJ349)=1,1,0))</f>
        <v/>
      </c>
      <c r="AL349">
        <f>IF($AK349=1,SUMPRODUCT(--($AO$2:$AO$1501&lt;$AO349))+1,"")</f>
        <v/>
      </c>
      <c r="AM349">
        <f>IF($C349="","",IF(OR($Q349=TRUE(),$Q349="TRUE"),1,0))</f>
        <v/>
      </c>
      <c r="AN349">
        <f>IF($C349="","",IF($Z349="Yes",1,0))</f>
        <v/>
      </c>
      <c r="AO349">
        <f>IF($AK349=1,IFERROR(IF(VALUE($C349)&lt;100000000,VALUE($C349),1000000000),IFERROR(IF(VALUE(MID($C349,2,20))&lt;100000000,VALUE(MID($C349,2,20)),1000000000),1000000000))+ROW()/100000,"")</f>
        <v/>
      </c>
    </row>
    <row r="350">
      <c r="F350" s="11" t="n"/>
      <c r="N350" s="7">
        <f>IF($C350="","",M350*U350/100)</f>
        <v/>
      </c>
      <c r="T350" s="7" t="n"/>
      <c r="U350" s="7" t="n"/>
      <c r="V350" s="7">
        <f>IF($C350="","",U350*AA350/100)</f>
        <v/>
      </c>
      <c r="W350" s="7">
        <f>IF($C350="","",U350-V350)</f>
        <v/>
      </c>
      <c r="X350" s="7">
        <f>IF($C350="","",W350-N350)</f>
        <v/>
      </c>
      <c r="AA350">
        <f>IF($C350="","",IF($AN350=1,0,IF($AM350=1,Settings!$C$6,Settings!$C$7))*100)</f>
        <v/>
      </c>
      <c r="AE350" s="7" t="n"/>
      <c r="AH350" s="11" t="n"/>
      <c r="AJ350">
        <f>IF($C350="","",$C350&amp;"|"&amp;$D350&amp;"")</f>
        <v/>
      </c>
      <c r="AK350">
        <f>IF($C350="","",IF(COUNTIF($AJ$2:$AJ350,$AJ350)=1,1,0))</f>
        <v/>
      </c>
      <c r="AL350">
        <f>IF($AK350=1,SUMPRODUCT(--($AO$2:$AO$1501&lt;$AO350))+1,"")</f>
        <v/>
      </c>
      <c r="AM350">
        <f>IF($C350="","",IF(OR($Q350=TRUE(),$Q350="TRUE"),1,0))</f>
        <v/>
      </c>
      <c r="AN350">
        <f>IF($C350="","",IF($Z350="Yes",1,0))</f>
        <v/>
      </c>
      <c r="AO350">
        <f>IF($AK350=1,IFERROR(IF(VALUE($C350)&lt;100000000,VALUE($C350),1000000000),IFERROR(IF(VALUE(MID($C350,2,20))&lt;100000000,VALUE(MID($C350,2,20)),1000000000),1000000000))+ROW()/100000,"")</f>
        <v/>
      </c>
    </row>
    <row r="351">
      <c r="F351" s="11" t="n"/>
      <c r="N351" s="7">
        <f>IF($C351="","",M351*U351/100)</f>
        <v/>
      </c>
      <c r="T351" s="7" t="n"/>
      <c r="U351" s="7" t="n"/>
      <c r="V351" s="7">
        <f>IF($C351="","",U351*AA351/100)</f>
        <v/>
      </c>
      <c r="W351" s="7">
        <f>IF($C351="","",U351-V351)</f>
        <v/>
      </c>
      <c r="X351" s="7">
        <f>IF($C351="","",W351-N351)</f>
        <v/>
      </c>
      <c r="AA351">
        <f>IF($C351="","",IF($AN351=1,0,IF($AM351=1,Settings!$C$6,Settings!$C$7))*100)</f>
        <v/>
      </c>
      <c r="AE351" s="7" t="n"/>
      <c r="AH351" s="11" t="n"/>
      <c r="AJ351">
        <f>IF($C351="","",$C351&amp;"|"&amp;$D351&amp;"")</f>
        <v/>
      </c>
      <c r="AK351">
        <f>IF($C351="","",IF(COUNTIF($AJ$2:$AJ351,$AJ351)=1,1,0))</f>
        <v/>
      </c>
      <c r="AL351">
        <f>IF($AK351=1,SUMPRODUCT(--($AO$2:$AO$1501&lt;$AO351))+1,"")</f>
        <v/>
      </c>
      <c r="AM351">
        <f>IF($C351="","",IF(OR($Q351=TRUE(),$Q351="TRUE"),1,0))</f>
        <v/>
      </c>
      <c r="AN351">
        <f>IF($C351="","",IF($Z351="Yes",1,0))</f>
        <v/>
      </c>
      <c r="AO351">
        <f>IF($AK351=1,IFERROR(IF(VALUE($C351)&lt;100000000,VALUE($C351),1000000000),IFERROR(IF(VALUE(MID($C351,2,20))&lt;100000000,VALUE(MID($C351,2,20)),1000000000),1000000000))+ROW()/100000,"")</f>
        <v/>
      </c>
    </row>
    <row r="352">
      <c r="F352" s="11" t="n"/>
      <c r="N352" s="7">
        <f>IF($C352="","",M352*U352/100)</f>
        <v/>
      </c>
      <c r="T352" s="7" t="n"/>
      <c r="U352" s="7" t="n"/>
      <c r="V352" s="7">
        <f>IF($C352="","",U352*AA352/100)</f>
        <v/>
      </c>
      <c r="W352" s="7">
        <f>IF($C352="","",U352-V352)</f>
        <v/>
      </c>
      <c r="X352" s="7">
        <f>IF($C352="","",W352-N352)</f>
        <v/>
      </c>
      <c r="AA352">
        <f>IF($C352="","",IF($AN352=1,0,IF($AM352=1,Settings!$C$6,Settings!$C$7))*100)</f>
        <v/>
      </c>
      <c r="AE352" s="7" t="n"/>
      <c r="AH352" s="11" t="n"/>
      <c r="AJ352">
        <f>IF($C352="","",$C352&amp;"|"&amp;$D352&amp;"")</f>
        <v/>
      </c>
      <c r="AK352">
        <f>IF($C352="","",IF(COUNTIF($AJ$2:$AJ352,$AJ352)=1,1,0))</f>
        <v/>
      </c>
      <c r="AL352">
        <f>IF($AK352=1,SUMPRODUCT(--($AO$2:$AO$1501&lt;$AO352))+1,"")</f>
        <v/>
      </c>
      <c r="AM352">
        <f>IF($C352="","",IF(OR($Q352=TRUE(),$Q352="TRUE"),1,0))</f>
        <v/>
      </c>
      <c r="AN352">
        <f>IF($C352="","",IF($Z352="Yes",1,0))</f>
        <v/>
      </c>
      <c r="AO352">
        <f>IF($AK352=1,IFERROR(IF(VALUE($C352)&lt;100000000,VALUE($C352),1000000000),IFERROR(IF(VALUE(MID($C352,2,20))&lt;100000000,VALUE(MID($C352,2,20)),1000000000),1000000000))+ROW()/100000,"")</f>
        <v/>
      </c>
    </row>
    <row r="353">
      <c r="F353" s="11" t="n"/>
      <c r="N353" s="7">
        <f>IF($C353="","",M353*U353/100)</f>
        <v/>
      </c>
      <c r="T353" s="7" t="n"/>
      <c r="U353" s="7" t="n"/>
      <c r="V353" s="7">
        <f>IF($C353="","",U353*AA353/100)</f>
        <v/>
      </c>
      <c r="W353" s="7">
        <f>IF($C353="","",U353-V353)</f>
        <v/>
      </c>
      <c r="X353" s="7">
        <f>IF($C353="","",W353-N353)</f>
        <v/>
      </c>
      <c r="AA353">
        <f>IF($C353="","",IF($AN353=1,0,IF($AM353=1,Settings!$C$6,Settings!$C$7))*100)</f>
        <v/>
      </c>
      <c r="AE353" s="7" t="n"/>
      <c r="AH353" s="11" t="n"/>
      <c r="AJ353">
        <f>IF($C353="","",$C353&amp;"|"&amp;$D353&amp;"")</f>
        <v/>
      </c>
      <c r="AK353">
        <f>IF($C353="","",IF(COUNTIF($AJ$2:$AJ353,$AJ353)=1,1,0))</f>
        <v/>
      </c>
      <c r="AL353">
        <f>IF($AK353=1,SUMPRODUCT(--($AO$2:$AO$1501&lt;$AO353))+1,"")</f>
        <v/>
      </c>
      <c r="AM353">
        <f>IF($C353="","",IF(OR($Q353=TRUE(),$Q353="TRUE"),1,0))</f>
        <v/>
      </c>
      <c r="AN353">
        <f>IF($C353="","",IF($Z353="Yes",1,0))</f>
        <v/>
      </c>
      <c r="AO353">
        <f>IF($AK353=1,IFERROR(IF(VALUE($C353)&lt;100000000,VALUE($C353),1000000000),IFERROR(IF(VALUE(MID($C353,2,20))&lt;100000000,VALUE(MID($C353,2,20)),1000000000),1000000000))+ROW()/100000,"")</f>
        <v/>
      </c>
    </row>
    <row r="354">
      <c r="F354" s="11" t="n"/>
      <c r="N354" s="7">
        <f>IF($C354="","",M354*U354/100)</f>
        <v/>
      </c>
      <c r="T354" s="7" t="n"/>
      <c r="U354" s="7" t="n"/>
      <c r="V354" s="7">
        <f>IF($C354="","",U354*AA354/100)</f>
        <v/>
      </c>
      <c r="W354" s="7">
        <f>IF($C354="","",U354-V354)</f>
        <v/>
      </c>
      <c r="X354" s="7">
        <f>IF($C354="","",W354-N354)</f>
        <v/>
      </c>
      <c r="AA354">
        <f>IF($C354="","",IF($AN354=1,0,IF($AM354=1,Settings!$C$6,Settings!$C$7))*100)</f>
        <v/>
      </c>
      <c r="AE354" s="7" t="n"/>
      <c r="AH354" s="11" t="n"/>
      <c r="AJ354">
        <f>IF($C354="","",$C354&amp;"|"&amp;$D354&amp;"")</f>
        <v/>
      </c>
      <c r="AK354">
        <f>IF($C354="","",IF(COUNTIF($AJ$2:$AJ354,$AJ354)=1,1,0))</f>
        <v/>
      </c>
      <c r="AL354">
        <f>IF($AK354=1,SUMPRODUCT(--($AO$2:$AO$1501&lt;$AO354))+1,"")</f>
        <v/>
      </c>
      <c r="AM354">
        <f>IF($C354="","",IF(OR($Q354=TRUE(),$Q354="TRUE"),1,0))</f>
        <v/>
      </c>
      <c r="AN354">
        <f>IF($C354="","",IF($Z354="Yes",1,0))</f>
        <v/>
      </c>
      <c r="AO354">
        <f>IF($AK354=1,IFERROR(IF(VALUE($C354)&lt;100000000,VALUE($C354),1000000000),IFERROR(IF(VALUE(MID($C354,2,20))&lt;100000000,VALUE(MID($C354,2,20)),1000000000),1000000000))+ROW()/100000,"")</f>
        <v/>
      </c>
    </row>
    <row r="355">
      <c r="F355" s="11" t="n"/>
      <c r="N355" s="7">
        <f>IF($C355="","",M355*U355/100)</f>
        <v/>
      </c>
      <c r="T355" s="7" t="n"/>
      <c r="U355" s="7" t="n"/>
      <c r="V355" s="7">
        <f>IF($C355="","",U355*AA355/100)</f>
        <v/>
      </c>
      <c r="W355" s="7">
        <f>IF($C355="","",U355-V355)</f>
        <v/>
      </c>
      <c r="X355" s="7">
        <f>IF($C355="","",W355-N355)</f>
        <v/>
      </c>
      <c r="AA355">
        <f>IF($C355="","",IF($AN355=1,0,IF($AM355=1,Settings!$C$6,Settings!$C$7))*100)</f>
        <v/>
      </c>
      <c r="AE355" s="7" t="n"/>
      <c r="AH355" s="11" t="n"/>
      <c r="AJ355">
        <f>IF($C355="","",$C355&amp;"|"&amp;$D355&amp;"")</f>
        <v/>
      </c>
      <c r="AK355">
        <f>IF($C355="","",IF(COUNTIF($AJ$2:$AJ355,$AJ355)=1,1,0))</f>
        <v/>
      </c>
      <c r="AL355">
        <f>IF($AK355=1,SUMPRODUCT(--($AO$2:$AO$1501&lt;$AO355))+1,"")</f>
        <v/>
      </c>
      <c r="AM355">
        <f>IF($C355="","",IF(OR($Q355=TRUE(),$Q355="TRUE"),1,0))</f>
        <v/>
      </c>
      <c r="AN355">
        <f>IF($C355="","",IF($Z355="Yes",1,0))</f>
        <v/>
      </c>
      <c r="AO355">
        <f>IF($AK355=1,IFERROR(IF(VALUE($C355)&lt;100000000,VALUE($C355),1000000000),IFERROR(IF(VALUE(MID($C355,2,20))&lt;100000000,VALUE(MID($C355,2,20)),1000000000),1000000000))+ROW()/100000,"")</f>
        <v/>
      </c>
    </row>
    <row r="356">
      <c r="F356" s="11" t="n"/>
      <c r="N356" s="7">
        <f>IF($C356="","",M356*U356/100)</f>
        <v/>
      </c>
      <c r="T356" s="7" t="n"/>
      <c r="U356" s="7" t="n"/>
      <c r="V356" s="7">
        <f>IF($C356="","",U356*AA356/100)</f>
        <v/>
      </c>
      <c r="W356" s="7">
        <f>IF($C356="","",U356-V356)</f>
        <v/>
      </c>
      <c r="X356" s="7">
        <f>IF($C356="","",W356-N356)</f>
        <v/>
      </c>
      <c r="AA356">
        <f>IF($C356="","",IF($AN356=1,0,IF($AM356=1,Settings!$C$6,Settings!$C$7))*100)</f>
        <v/>
      </c>
      <c r="AE356" s="7" t="n"/>
      <c r="AH356" s="11" t="n"/>
      <c r="AJ356">
        <f>IF($C356="","",$C356&amp;"|"&amp;$D356&amp;"")</f>
        <v/>
      </c>
      <c r="AK356">
        <f>IF($C356="","",IF(COUNTIF($AJ$2:$AJ356,$AJ356)=1,1,0))</f>
        <v/>
      </c>
      <c r="AL356">
        <f>IF($AK356=1,SUMPRODUCT(--($AO$2:$AO$1501&lt;$AO356))+1,"")</f>
        <v/>
      </c>
      <c r="AM356">
        <f>IF($C356="","",IF(OR($Q356=TRUE(),$Q356="TRUE"),1,0))</f>
        <v/>
      </c>
      <c r="AN356">
        <f>IF($C356="","",IF($Z356="Yes",1,0))</f>
        <v/>
      </c>
      <c r="AO356">
        <f>IF($AK356=1,IFERROR(IF(VALUE($C356)&lt;100000000,VALUE($C356),1000000000),IFERROR(IF(VALUE(MID($C356,2,20))&lt;100000000,VALUE(MID($C356,2,20)),1000000000),1000000000))+ROW()/100000,"")</f>
        <v/>
      </c>
    </row>
    <row r="357">
      <c r="F357" s="11" t="n"/>
      <c r="N357" s="7">
        <f>IF($C357="","",M357*U357/100)</f>
        <v/>
      </c>
      <c r="T357" s="7" t="n"/>
      <c r="U357" s="7" t="n"/>
      <c r="V357" s="7">
        <f>IF($C357="","",U357*AA357/100)</f>
        <v/>
      </c>
      <c r="W357" s="7">
        <f>IF($C357="","",U357-V357)</f>
        <v/>
      </c>
      <c r="X357" s="7">
        <f>IF($C357="","",W357-N357)</f>
        <v/>
      </c>
      <c r="AA357">
        <f>IF($C357="","",IF($AN357=1,0,IF($AM357=1,Settings!$C$6,Settings!$C$7))*100)</f>
        <v/>
      </c>
      <c r="AE357" s="7" t="n"/>
      <c r="AH357" s="11" t="n"/>
      <c r="AJ357">
        <f>IF($C357="","",$C357&amp;"|"&amp;$D357&amp;"")</f>
        <v/>
      </c>
      <c r="AK357">
        <f>IF($C357="","",IF(COUNTIF($AJ$2:$AJ357,$AJ357)=1,1,0))</f>
        <v/>
      </c>
      <c r="AL357">
        <f>IF($AK357=1,SUMPRODUCT(--($AO$2:$AO$1501&lt;$AO357))+1,"")</f>
        <v/>
      </c>
      <c r="AM357">
        <f>IF($C357="","",IF(OR($Q357=TRUE(),$Q357="TRUE"),1,0))</f>
        <v/>
      </c>
      <c r="AN357">
        <f>IF($C357="","",IF($Z357="Yes",1,0))</f>
        <v/>
      </c>
      <c r="AO357">
        <f>IF($AK357=1,IFERROR(IF(VALUE($C357)&lt;100000000,VALUE($C357),1000000000),IFERROR(IF(VALUE(MID($C357,2,20))&lt;100000000,VALUE(MID($C357,2,20)),1000000000),1000000000))+ROW()/100000,"")</f>
        <v/>
      </c>
    </row>
    <row r="358">
      <c r="F358" s="11" t="n"/>
      <c r="N358" s="7">
        <f>IF($C358="","",M358*U358/100)</f>
        <v/>
      </c>
      <c r="T358" s="7" t="n"/>
      <c r="U358" s="7" t="n"/>
      <c r="V358" s="7">
        <f>IF($C358="","",U358*AA358/100)</f>
        <v/>
      </c>
      <c r="W358" s="7">
        <f>IF($C358="","",U358-V358)</f>
        <v/>
      </c>
      <c r="X358" s="7">
        <f>IF($C358="","",W358-N358)</f>
        <v/>
      </c>
      <c r="AA358">
        <f>IF($C358="","",IF($AN358=1,0,IF($AM358=1,Settings!$C$6,Settings!$C$7))*100)</f>
        <v/>
      </c>
      <c r="AE358" s="7" t="n"/>
      <c r="AH358" s="11" t="n"/>
      <c r="AJ358">
        <f>IF($C358="","",$C358&amp;"|"&amp;$D358&amp;"")</f>
        <v/>
      </c>
      <c r="AK358">
        <f>IF($C358="","",IF(COUNTIF($AJ$2:$AJ358,$AJ358)=1,1,0))</f>
        <v/>
      </c>
      <c r="AL358">
        <f>IF($AK358=1,SUMPRODUCT(--($AO$2:$AO$1501&lt;$AO358))+1,"")</f>
        <v/>
      </c>
      <c r="AM358">
        <f>IF($C358="","",IF(OR($Q358=TRUE(),$Q358="TRUE"),1,0))</f>
        <v/>
      </c>
      <c r="AN358">
        <f>IF($C358="","",IF($Z358="Yes",1,0))</f>
        <v/>
      </c>
      <c r="AO358">
        <f>IF($AK358=1,IFERROR(IF(VALUE($C358)&lt;100000000,VALUE($C358),1000000000),IFERROR(IF(VALUE(MID($C358,2,20))&lt;100000000,VALUE(MID($C358,2,20)),1000000000),1000000000))+ROW()/100000,"")</f>
        <v/>
      </c>
    </row>
    <row r="359">
      <c r="F359" s="11" t="n"/>
      <c r="N359" s="7">
        <f>IF($C359="","",M359*U359/100)</f>
        <v/>
      </c>
      <c r="T359" s="7" t="n"/>
      <c r="U359" s="7" t="n"/>
      <c r="V359" s="7">
        <f>IF($C359="","",U359*AA359/100)</f>
        <v/>
      </c>
      <c r="W359" s="7">
        <f>IF($C359="","",U359-V359)</f>
        <v/>
      </c>
      <c r="X359" s="7">
        <f>IF($C359="","",W359-N359)</f>
        <v/>
      </c>
      <c r="AA359">
        <f>IF($C359="","",IF($AN359=1,0,IF($AM359=1,Settings!$C$6,Settings!$C$7))*100)</f>
        <v/>
      </c>
      <c r="AE359" s="7" t="n"/>
      <c r="AH359" s="11" t="n"/>
      <c r="AJ359">
        <f>IF($C359="","",$C359&amp;"|"&amp;$D359&amp;"")</f>
        <v/>
      </c>
      <c r="AK359">
        <f>IF($C359="","",IF(COUNTIF($AJ$2:$AJ359,$AJ359)=1,1,0))</f>
        <v/>
      </c>
      <c r="AL359">
        <f>IF($AK359=1,SUMPRODUCT(--($AO$2:$AO$1501&lt;$AO359))+1,"")</f>
        <v/>
      </c>
      <c r="AM359">
        <f>IF($C359="","",IF(OR($Q359=TRUE(),$Q359="TRUE"),1,0))</f>
        <v/>
      </c>
      <c r="AN359">
        <f>IF($C359="","",IF($Z359="Yes",1,0))</f>
        <v/>
      </c>
      <c r="AO359">
        <f>IF($AK359=1,IFERROR(IF(VALUE($C359)&lt;100000000,VALUE($C359),1000000000),IFERROR(IF(VALUE(MID($C359,2,20))&lt;100000000,VALUE(MID($C359,2,20)),1000000000),1000000000))+ROW()/100000,"")</f>
        <v/>
      </c>
    </row>
    <row r="360">
      <c r="F360" s="11" t="n"/>
      <c r="N360" s="7">
        <f>IF($C360="","",M360*U360/100)</f>
        <v/>
      </c>
      <c r="T360" s="7" t="n"/>
      <c r="U360" s="7" t="n"/>
      <c r="V360" s="7">
        <f>IF($C360="","",U360*AA360/100)</f>
        <v/>
      </c>
      <c r="W360" s="7">
        <f>IF($C360="","",U360-V360)</f>
        <v/>
      </c>
      <c r="X360" s="7">
        <f>IF($C360="","",W360-N360)</f>
        <v/>
      </c>
      <c r="AA360">
        <f>IF($C360="","",IF($AN360=1,0,IF($AM360=1,Settings!$C$6,Settings!$C$7))*100)</f>
        <v/>
      </c>
      <c r="AE360" s="7" t="n"/>
      <c r="AH360" s="11" t="n"/>
      <c r="AJ360">
        <f>IF($C360="","",$C360&amp;"|"&amp;$D360&amp;"")</f>
        <v/>
      </c>
      <c r="AK360">
        <f>IF($C360="","",IF(COUNTIF($AJ$2:$AJ360,$AJ360)=1,1,0))</f>
        <v/>
      </c>
      <c r="AL360">
        <f>IF($AK360=1,SUMPRODUCT(--($AO$2:$AO$1501&lt;$AO360))+1,"")</f>
        <v/>
      </c>
      <c r="AM360">
        <f>IF($C360="","",IF(OR($Q360=TRUE(),$Q360="TRUE"),1,0))</f>
        <v/>
      </c>
      <c r="AN360">
        <f>IF($C360="","",IF($Z360="Yes",1,0))</f>
        <v/>
      </c>
      <c r="AO360">
        <f>IF($AK360=1,IFERROR(IF(VALUE($C360)&lt;100000000,VALUE($C360),1000000000),IFERROR(IF(VALUE(MID($C360,2,20))&lt;100000000,VALUE(MID($C360,2,20)),1000000000),1000000000))+ROW()/100000,"")</f>
        <v/>
      </c>
    </row>
    <row r="361">
      <c r="F361" s="11" t="n"/>
      <c r="N361" s="7">
        <f>IF($C361="","",M361*U361/100)</f>
        <v/>
      </c>
      <c r="T361" s="7" t="n"/>
      <c r="U361" s="7" t="n"/>
      <c r="V361" s="7">
        <f>IF($C361="","",U361*AA361/100)</f>
        <v/>
      </c>
      <c r="W361" s="7">
        <f>IF($C361="","",U361-V361)</f>
        <v/>
      </c>
      <c r="X361" s="7">
        <f>IF($C361="","",W361-N361)</f>
        <v/>
      </c>
      <c r="AA361">
        <f>IF($C361="","",IF($AN361=1,0,IF($AM361=1,Settings!$C$6,Settings!$C$7))*100)</f>
        <v/>
      </c>
      <c r="AE361" s="7" t="n"/>
      <c r="AH361" s="11" t="n"/>
      <c r="AJ361">
        <f>IF($C361="","",$C361&amp;"|"&amp;$D361&amp;"")</f>
        <v/>
      </c>
      <c r="AK361">
        <f>IF($C361="","",IF(COUNTIF($AJ$2:$AJ361,$AJ361)=1,1,0))</f>
        <v/>
      </c>
      <c r="AL361">
        <f>IF($AK361=1,SUMPRODUCT(--($AO$2:$AO$1501&lt;$AO361))+1,"")</f>
        <v/>
      </c>
      <c r="AM361">
        <f>IF($C361="","",IF(OR($Q361=TRUE(),$Q361="TRUE"),1,0))</f>
        <v/>
      </c>
      <c r="AN361">
        <f>IF($C361="","",IF($Z361="Yes",1,0))</f>
        <v/>
      </c>
      <c r="AO361">
        <f>IF($AK361=1,IFERROR(IF(VALUE($C361)&lt;100000000,VALUE($C361),1000000000),IFERROR(IF(VALUE(MID($C361,2,20))&lt;100000000,VALUE(MID($C361,2,20)),1000000000),1000000000))+ROW()/100000,"")</f>
        <v/>
      </c>
    </row>
    <row r="362">
      <c r="F362" s="11" t="n"/>
      <c r="N362" s="7">
        <f>IF($C362="","",M362*U362/100)</f>
        <v/>
      </c>
      <c r="T362" s="7" t="n"/>
      <c r="U362" s="7" t="n"/>
      <c r="V362" s="7">
        <f>IF($C362="","",U362*AA362/100)</f>
        <v/>
      </c>
      <c r="W362" s="7">
        <f>IF($C362="","",U362-V362)</f>
        <v/>
      </c>
      <c r="X362" s="7">
        <f>IF($C362="","",W362-N362)</f>
        <v/>
      </c>
      <c r="AA362">
        <f>IF($C362="","",IF($AN362=1,0,IF($AM362=1,Settings!$C$6,Settings!$C$7))*100)</f>
        <v/>
      </c>
      <c r="AE362" s="7" t="n"/>
      <c r="AH362" s="11" t="n"/>
      <c r="AJ362">
        <f>IF($C362="","",$C362&amp;"|"&amp;$D362&amp;"")</f>
        <v/>
      </c>
      <c r="AK362">
        <f>IF($C362="","",IF(COUNTIF($AJ$2:$AJ362,$AJ362)=1,1,0))</f>
        <v/>
      </c>
      <c r="AL362">
        <f>IF($AK362=1,SUMPRODUCT(--($AO$2:$AO$1501&lt;$AO362))+1,"")</f>
        <v/>
      </c>
      <c r="AM362">
        <f>IF($C362="","",IF(OR($Q362=TRUE(),$Q362="TRUE"),1,0))</f>
        <v/>
      </c>
      <c r="AN362">
        <f>IF($C362="","",IF($Z362="Yes",1,0))</f>
        <v/>
      </c>
      <c r="AO362">
        <f>IF($AK362=1,IFERROR(IF(VALUE($C362)&lt;100000000,VALUE($C362),1000000000),IFERROR(IF(VALUE(MID($C362,2,20))&lt;100000000,VALUE(MID($C362,2,20)),1000000000),1000000000))+ROW()/100000,"")</f>
        <v/>
      </c>
    </row>
    <row r="363">
      <c r="F363" s="11" t="n"/>
      <c r="N363" s="7">
        <f>IF($C363="","",M363*U363/100)</f>
        <v/>
      </c>
      <c r="T363" s="7" t="n"/>
      <c r="U363" s="7" t="n"/>
      <c r="V363" s="7">
        <f>IF($C363="","",U363*AA363/100)</f>
        <v/>
      </c>
      <c r="W363" s="7">
        <f>IF($C363="","",U363-V363)</f>
        <v/>
      </c>
      <c r="X363" s="7">
        <f>IF($C363="","",W363-N363)</f>
        <v/>
      </c>
      <c r="AA363">
        <f>IF($C363="","",IF($AN363=1,0,IF($AM363=1,Settings!$C$6,Settings!$C$7))*100)</f>
        <v/>
      </c>
      <c r="AE363" s="7" t="n"/>
      <c r="AH363" s="11" t="n"/>
      <c r="AJ363">
        <f>IF($C363="","",$C363&amp;"|"&amp;$D363&amp;"")</f>
        <v/>
      </c>
      <c r="AK363">
        <f>IF($C363="","",IF(COUNTIF($AJ$2:$AJ363,$AJ363)=1,1,0))</f>
        <v/>
      </c>
      <c r="AL363">
        <f>IF($AK363=1,SUMPRODUCT(--($AO$2:$AO$1501&lt;$AO363))+1,"")</f>
        <v/>
      </c>
      <c r="AM363">
        <f>IF($C363="","",IF(OR($Q363=TRUE(),$Q363="TRUE"),1,0))</f>
        <v/>
      </c>
      <c r="AN363">
        <f>IF($C363="","",IF($Z363="Yes",1,0))</f>
        <v/>
      </c>
      <c r="AO363">
        <f>IF($AK363=1,IFERROR(IF(VALUE($C363)&lt;100000000,VALUE($C363),1000000000),IFERROR(IF(VALUE(MID($C363,2,20))&lt;100000000,VALUE(MID($C363,2,20)),1000000000),1000000000))+ROW()/100000,"")</f>
        <v/>
      </c>
    </row>
    <row r="364">
      <c r="F364" s="11" t="n"/>
      <c r="N364" s="7">
        <f>IF($C364="","",M364*U364/100)</f>
        <v/>
      </c>
      <c r="T364" s="7" t="n"/>
      <c r="U364" s="7" t="n"/>
      <c r="V364" s="7">
        <f>IF($C364="","",U364*AA364/100)</f>
        <v/>
      </c>
      <c r="W364" s="7">
        <f>IF($C364="","",U364-V364)</f>
        <v/>
      </c>
      <c r="X364" s="7">
        <f>IF($C364="","",W364-N364)</f>
        <v/>
      </c>
      <c r="AA364">
        <f>IF($C364="","",IF($AN364=1,0,IF($AM364=1,Settings!$C$6,Settings!$C$7))*100)</f>
        <v/>
      </c>
      <c r="AE364" s="7" t="n"/>
      <c r="AH364" s="11" t="n"/>
      <c r="AJ364">
        <f>IF($C364="","",$C364&amp;"|"&amp;$D364&amp;"")</f>
        <v/>
      </c>
      <c r="AK364">
        <f>IF($C364="","",IF(COUNTIF($AJ$2:$AJ364,$AJ364)=1,1,0))</f>
        <v/>
      </c>
      <c r="AL364">
        <f>IF($AK364=1,SUMPRODUCT(--($AO$2:$AO$1501&lt;$AO364))+1,"")</f>
        <v/>
      </c>
      <c r="AM364">
        <f>IF($C364="","",IF(OR($Q364=TRUE(),$Q364="TRUE"),1,0))</f>
        <v/>
      </c>
      <c r="AN364">
        <f>IF($C364="","",IF($Z364="Yes",1,0))</f>
        <v/>
      </c>
      <c r="AO364">
        <f>IF($AK364=1,IFERROR(IF(VALUE($C364)&lt;100000000,VALUE($C364),1000000000),IFERROR(IF(VALUE(MID($C364,2,20))&lt;100000000,VALUE(MID($C364,2,20)),1000000000),1000000000))+ROW()/100000,"")</f>
        <v/>
      </c>
    </row>
    <row r="365">
      <c r="F365" s="11" t="n"/>
      <c r="N365" s="7">
        <f>IF($C365="","",M365*U365/100)</f>
        <v/>
      </c>
      <c r="T365" s="7" t="n"/>
      <c r="U365" s="7" t="n"/>
      <c r="V365" s="7">
        <f>IF($C365="","",U365*AA365/100)</f>
        <v/>
      </c>
      <c r="W365" s="7">
        <f>IF($C365="","",U365-V365)</f>
        <v/>
      </c>
      <c r="X365" s="7">
        <f>IF($C365="","",W365-N365)</f>
        <v/>
      </c>
      <c r="AA365">
        <f>IF($C365="","",IF($AN365=1,0,IF($AM365=1,Settings!$C$6,Settings!$C$7))*100)</f>
        <v/>
      </c>
      <c r="AE365" s="7" t="n"/>
      <c r="AH365" s="11" t="n"/>
      <c r="AJ365">
        <f>IF($C365="","",$C365&amp;"|"&amp;$D365&amp;"")</f>
        <v/>
      </c>
      <c r="AK365">
        <f>IF($C365="","",IF(COUNTIF($AJ$2:$AJ365,$AJ365)=1,1,0))</f>
        <v/>
      </c>
      <c r="AL365">
        <f>IF($AK365=1,SUMPRODUCT(--($AO$2:$AO$1501&lt;$AO365))+1,"")</f>
        <v/>
      </c>
      <c r="AM365">
        <f>IF($C365="","",IF(OR($Q365=TRUE(),$Q365="TRUE"),1,0))</f>
        <v/>
      </c>
      <c r="AN365">
        <f>IF($C365="","",IF($Z365="Yes",1,0))</f>
        <v/>
      </c>
      <c r="AO365">
        <f>IF($AK365=1,IFERROR(IF(VALUE($C365)&lt;100000000,VALUE($C365),1000000000),IFERROR(IF(VALUE(MID($C365,2,20))&lt;100000000,VALUE(MID($C365,2,20)),1000000000),1000000000))+ROW()/100000,"")</f>
        <v/>
      </c>
    </row>
    <row r="366">
      <c r="F366" s="11" t="n"/>
      <c r="N366" s="7">
        <f>IF($C366="","",M366*U366/100)</f>
        <v/>
      </c>
      <c r="T366" s="7" t="n"/>
      <c r="U366" s="7" t="n"/>
      <c r="V366" s="7">
        <f>IF($C366="","",U366*AA366/100)</f>
        <v/>
      </c>
      <c r="W366" s="7">
        <f>IF($C366="","",U366-V366)</f>
        <v/>
      </c>
      <c r="X366" s="7">
        <f>IF($C366="","",W366-N366)</f>
        <v/>
      </c>
      <c r="AA366">
        <f>IF($C366="","",IF($AN366=1,0,IF($AM366=1,Settings!$C$6,Settings!$C$7))*100)</f>
        <v/>
      </c>
      <c r="AE366" s="7" t="n"/>
      <c r="AH366" s="11" t="n"/>
      <c r="AJ366">
        <f>IF($C366="","",$C366&amp;"|"&amp;$D366&amp;"")</f>
        <v/>
      </c>
      <c r="AK366">
        <f>IF($C366="","",IF(COUNTIF($AJ$2:$AJ366,$AJ366)=1,1,0))</f>
        <v/>
      </c>
      <c r="AL366">
        <f>IF($AK366=1,SUMPRODUCT(--($AO$2:$AO$1501&lt;$AO366))+1,"")</f>
        <v/>
      </c>
      <c r="AM366">
        <f>IF($C366="","",IF(OR($Q366=TRUE(),$Q366="TRUE"),1,0))</f>
        <v/>
      </c>
      <c r="AN366">
        <f>IF($C366="","",IF($Z366="Yes",1,0))</f>
        <v/>
      </c>
      <c r="AO366">
        <f>IF($AK366=1,IFERROR(IF(VALUE($C366)&lt;100000000,VALUE($C366),1000000000),IFERROR(IF(VALUE(MID($C366,2,20))&lt;100000000,VALUE(MID($C366,2,20)),1000000000),1000000000))+ROW()/100000,"")</f>
        <v/>
      </c>
    </row>
    <row r="367">
      <c r="F367" s="11" t="n"/>
      <c r="N367" s="7">
        <f>IF($C367="","",M367*U367/100)</f>
        <v/>
      </c>
      <c r="T367" s="7" t="n"/>
      <c r="U367" s="7" t="n"/>
      <c r="V367" s="7">
        <f>IF($C367="","",U367*AA367/100)</f>
        <v/>
      </c>
      <c r="W367" s="7">
        <f>IF($C367="","",U367-V367)</f>
        <v/>
      </c>
      <c r="X367" s="7">
        <f>IF($C367="","",W367-N367)</f>
        <v/>
      </c>
      <c r="AA367">
        <f>IF($C367="","",IF($AN367=1,0,IF($AM367=1,Settings!$C$6,Settings!$C$7))*100)</f>
        <v/>
      </c>
      <c r="AE367" s="7" t="n"/>
      <c r="AH367" s="11" t="n"/>
      <c r="AJ367">
        <f>IF($C367="","",$C367&amp;"|"&amp;$D367&amp;"")</f>
        <v/>
      </c>
      <c r="AK367">
        <f>IF($C367="","",IF(COUNTIF($AJ$2:$AJ367,$AJ367)=1,1,0))</f>
        <v/>
      </c>
      <c r="AL367">
        <f>IF($AK367=1,SUMPRODUCT(--($AO$2:$AO$1501&lt;$AO367))+1,"")</f>
        <v/>
      </c>
      <c r="AM367">
        <f>IF($C367="","",IF(OR($Q367=TRUE(),$Q367="TRUE"),1,0))</f>
        <v/>
      </c>
      <c r="AN367">
        <f>IF($C367="","",IF($Z367="Yes",1,0))</f>
        <v/>
      </c>
      <c r="AO367">
        <f>IF($AK367=1,IFERROR(IF(VALUE($C367)&lt;100000000,VALUE($C367),1000000000),IFERROR(IF(VALUE(MID($C367,2,20))&lt;100000000,VALUE(MID($C367,2,20)),1000000000),1000000000))+ROW()/100000,"")</f>
        <v/>
      </c>
    </row>
    <row r="368">
      <c r="F368" s="11" t="n"/>
      <c r="N368" s="7">
        <f>IF($C368="","",M368*U368/100)</f>
        <v/>
      </c>
      <c r="T368" s="7" t="n"/>
      <c r="U368" s="7" t="n"/>
      <c r="V368" s="7">
        <f>IF($C368="","",U368*AA368/100)</f>
        <v/>
      </c>
      <c r="W368" s="7">
        <f>IF($C368="","",U368-V368)</f>
        <v/>
      </c>
      <c r="X368" s="7">
        <f>IF($C368="","",W368-N368)</f>
        <v/>
      </c>
      <c r="AA368">
        <f>IF($C368="","",IF($AN368=1,0,IF($AM368=1,Settings!$C$6,Settings!$C$7))*100)</f>
        <v/>
      </c>
      <c r="AE368" s="7" t="n"/>
      <c r="AH368" s="11" t="n"/>
      <c r="AJ368">
        <f>IF($C368="","",$C368&amp;"|"&amp;$D368&amp;"")</f>
        <v/>
      </c>
      <c r="AK368">
        <f>IF($C368="","",IF(COUNTIF($AJ$2:$AJ368,$AJ368)=1,1,0))</f>
        <v/>
      </c>
      <c r="AL368">
        <f>IF($AK368=1,SUMPRODUCT(--($AO$2:$AO$1501&lt;$AO368))+1,"")</f>
        <v/>
      </c>
      <c r="AM368">
        <f>IF($C368="","",IF(OR($Q368=TRUE(),$Q368="TRUE"),1,0))</f>
        <v/>
      </c>
      <c r="AN368">
        <f>IF($C368="","",IF($Z368="Yes",1,0))</f>
        <v/>
      </c>
      <c r="AO368">
        <f>IF($AK368=1,IFERROR(IF(VALUE($C368)&lt;100000000,VALUE($C368),1000000000),IFERROR(IF(VALUE(MID($C368,2,20))&lt;100000000,VALUE(MID($C368,2,20)),1000000000),1000000000))+ROW()/100000,"")</f>
        <v/>
      </c>
    </row>
    <row r="369">
      <c r="F369" s="11" t="n"/>
      <c r="N369" s="7">
        <f>IF($C369="","",M369*U369/100)</f>
        <v/>
      </c>
      <c r="T369" s="7" t="n"/>
      <c r="U369" s="7" t="n"/>
      <c r="V369" s="7">
        <f>IF($C369="","",U369*AA369/100)</f>
        <v/>
      </c>
      <c r="W369" s="7">
        <f>IF($C369="","",U369-V369)</f>
        <v/>
      </c>
      <c r="X369" s="7">
        <f>IF($C369="","",W369-N369)</f>
        <v/>
      </c>
      <c r="AA369">
        <f>IF($C369="","",IF($AN369=1,0,IF($AM369=1,Settings!$C$6,Settings!$C$7))*100)</f>
        <v/>
      </c>
      <c r="AE369" s="7" t="n"/>
      <c r="AH369" s="11" t="n"/>
      <c r="AJ369">
        <f>IF($C369="","",$C369&amp;"|"&amp;$D369&amp;"")</f>
        <v/>
      </c>
      <c r="AK369">
        <f>IF($C369="","",IF(COUNTIF($AJ$2:$AJ369,$AJ369)=1,1,0))</f>
        <v/>
      </c>
      <c r="AL369">
        <f>IF($AK369=1,SUMPRODUCT(--($AO$2:$AO$1501&lt;$AO369))+1,"")</f>
        <v/>
      </c>
      <c r="AM369">
        <f>IF($C369="","",IF(OR($Q369=TRUE(),$Q369="TRUE"),1,0))</f>
        <v/>
      </c>
      <c r="AN369">
        <f>IF($C369="","",IF($Z369="Yes",1,0))</f>
        <v/>
      </c>
      <c r="AO369">
        <f>IF($AK369=1,IFERROR(IF(VALUE($C369)&lt;100000000,VALUE($C369),1000000000),IFERROR(IF(VALUE(MID($C369,2,20))&lt;100000000,VALUE(MID($C369,2,20)),1000000000),1000000000))+ROW()/100000,"")</f>
        <v/>
      </c>
    </row>
    <row r="370">
      <c r="F370" s="11" t="n"/>
      <c r="N370" s="7">
        <f>IF($C370="","",M370*U370/100)</f>
        <v/>
      </c>
      <c r="T370" s="7" t="n"/>
      <c r="U370" s="7" t="n"/>
      <c r="V370" s="7">
        <f>IF($C370="","",U370*AA370/100)</f>
        <v/>
      </c>
      <c r="W370" s="7">
        <f>IF($C370="","",U370-V370)</f>
        <v/>
      </c>
      <c r="X370" s="7">
        <f>IF($C370="","",W370-N370)</f>
        <v/>
      </c>
      <c r="AA370">
        <f>IF($C370="","",IF($AN370=1,0,IF($AM370=1,Settings!$C$6,Settings!$C$7))*100)</f>
        <v/>
      </c>
      <c r="AE370" s="7" t="n"/>
      <c r="AH370" s="11" t="n"/>
      <c r="AJ370">
        <f>IF($C370="","",$C370&amp;"|"&amp;$D370&amp;"")</f>
        <v/>
      </c>
      <c r="AK370">
        <f>IF($C370="","",IF(COUNTIF($AJ$2:$AJ370,$AJ370)=1,1,0))</f>
        <v/>
      </c>
      <c r="AL370">
        <f>IF($AK370=1,SUMPRODUCT(--($AO$2:$AO$1501&lt;$AO370))+1,"")</f>
        <v/>
      </c>
      <c r="AM370">
        <f>IF($C370="","",IF(OR($Q370=TRUE(),$Q370="TRUE"),1,0))</f>
        <v/>
      </c>
      <c r="AN370">
        <f>IF($C370="","",IF($Z370="Yes",1,0))</f>
        <v/>
      </c>
      <c r="AO370">
        <f>IF($AK370=1,IFERROR(IF(VALUE($C370)&lt;100000000,VALUE($C370),1000000000),IFERROR(IF(VALUE(MID($C370,2,20))&lt;100000000,VALUE(MID($C370,2,20)),1000000000),1000000000))+ROW()/100000,"")</f>
        <v/>
      </c>
    </row>
    <row r="371">
      <c r="F371" s="11" t="n"/>
      <c r="N371" s="7">
        <f>IF($C371="","",M371*U371/100)</f>
        <v/>
      </c>
      <c r="T371" s="7" t="n"/>
      <c r="U371" s="7" t="n"/>
      <c r="V371" s="7">
        <f>IF($C371="","",U371*AA371/100)</f>
        <v/>
      </c>
      <c r="W371" s="7">
        <f>IF($C371="","",U371-V371)</f>
        <v/>
      </c>
      <c r="X371" s="7">
        <f>IF($C371="","",W371-N371)</f>
        <v/>
      </c>
      <c r="AA371">
        <f>IF($C371="","",IF($AN371=1,0,IF($AM371=1,Settings!$C$6,Settings!$C$7))*100)</f>
        <v/>
      </c>
      <c r="AE371" s="7" t="n"/>
      <c r="AH371" s="11" t="n"/>
      <c r="AJ371">
        <f>IF($C371="","",$C371&amp;"|"&amp;$D371&amp;"")</f>
        <v/>
      </c>
      <c r="AK371">
        <f>IF($C371="","",IF(COUNTIF($AJ$2:$AJ371,$AJ371)=1,1,0))</f>
        <v/>
      </c>
      <c r="AL371">
        <f>IF($AK371=1,SUMPRODUCT(--($AO$2:$AO$1501&lt;$AO371))+1,"")</f>
        <v/>
      </c>
      <c r="AM371">
        <f>IF($C371="","",IF(OR($Q371=TRUE(),$Q371="TRUE"),1,0))</f>
        <v/>
      </c>
      <c r="AN371">
        <f>IF($C371="","",IF($Z371="Yes",1,0))</f>
        <v/>
      </c>
      <c r="AO371">
        <f>IF($AK371=1,IFERROR(IF(VALUE($C371)&lt;100000000,VALUE($C371),1000000000),IFERROR(IF(VALUE(MID($C371,2,20))&lt;100000000,VALUE(MID($C371,2,20)),1000000000),1000000000))+ROW()/100000,"")</f>
        <v/>
      </c>
    </row>
    <row r="372">
      <c r="F372" s="11" t="n"/>
      <c r="N372" s="7">
        <f>IF($C372="","",M372*U372/100)</f>
        <v/>
      </c>
      <c r="T372" s="7" t="n"/>
      <c r="U372" s="7" t="n"/>
      <c r="V372" s="7">
        <f>IF($C372="","",U372*AA372/100)</f>
        <v/>
      </c>
      <c r="W372" s="7">
        <f>IF($C372="","",U372-V372)</f>
        <v/>
      </c>
      <c r="X372" s="7">
        <f>IF($C372="","",W372-N372)</f>
        <v/>
      </c>
      <c r="AA372">
        <f>IF($C372="","",IF($AN372=1,0,IF($AM372=1,Settings!$C$6,Settings!$C$7))*100)</f>
        <v/>
      </c>
      <c r="AE372" s="7" t="n"/>
      <c r="AH372" s="11" t="n"/>
      <c r="AJ372">
        <f>IF($C372="","",$C372&amp;"|"&amp;$D372&amp;"")</f>
        <v/>
      </c>
      <c r="AK372">
        <f>IF($C372="","",IF(COUNTIF($AJ$2:$AJ372,$AJ372)=1,1,0))</f>
        <v/>
      </c>
      <c r="AL372">
        <f>IF($AK372=1,SUMPRODUCT(--($AO$2:$AO$1501&lt;$AO372))+1,"")</f>
        <v/>
      </c>
      <c r="AM372">
        <f>IF($C372="","",IF(OR($Q372=TRUE(),$Q372="TRUE"),1,0))</f>
        <v/>
      </c>
      <c r="AN372">
        <f>IF($C372="","",IF($Z372="Yes",1,0))</f>
        <v/>
      </c>
      <c r="AO372">
        <f>IF($AK372=1,IFERROR(IF(VALUE($C372)&lt;100000000,VALUE($C372),1000000000),IFERROR(IF(VALUE(MID($C372,2,20))&lt;100000000,VALUE(MID($C372,2,20)),1000000000),1000000000))+ROW()/100000,"")</f>
        <v/>
      </c>
    </row>
    <row r="373">
      <c r="F373" s="11" t="n"/>
      <c r="N373" s="7">
        <f>IF($C373="","",M373*U373/100)</f>
        <v/>
      </c>
      <c r="T373" s="7" t="n"/>
      <c r="U373" s="7" t="n"/>
      <c r="V373" s="7">
        <f>IF($C373="","",U373*AA373/100)</f>
        <v/>
      </c>
      <c r="W373" s="7">
        <f>IF($C373="","",U373-V373)</f>
        <v/>
      </c>
      <c r="X373" s="7">
        <f>IF($C373="","",W373-N373)</f>
        <v/>
      </c>
      <c r="AA373">
        <f>IF($C373="","",IF($AN373=1,0,IF($AM373=1,Settings!$C$6,Settings!$C$7))*100)</f>
        <v/>
      </c>
      <c r="AE373" s="7" t="n"/>
      <c r="AH373" s="11" t="n"/>
      <c r="AJ373">
        <f>IF($C373="","",$C373&amp;"|"&amp;$D373&amp;"")</f>
        <v/>
      </c>
      <c r="AK373">
        <f>IF($C373="","",IF(COUNTIF($AJ$2:$AJ373,$AJ373)=1,1,0))</f>
        <v/>
      </c>
      <c r="AL373">
        <f>IF($AK373=1,SUMPRODUCT(--($AO$2:$AO$1501&lt;$AO373))+1,"")</f>
        <v/>
      </c>
      <c r="AM373">
        <f>IF($C373="","",IF(OR($Q373=TRUE(),$Q373="TRUE"),1,0))</f>
        <v/>
      </c>
      <c r="AN373">
        <f>IF($C373="","",IF($Z373="Yes",1,0))</f>
        <v/>
      </c>
      <c r="AO373">
        <f>IF($AK373=1,IFERROR(IF(VALUE($C373)&lt;100000000,VALUE($C373),1000000000),IFERROR(IF(VALUE(MID($C373,2,20))&lt;100000000,VALUE(MID($C373,2,20)),1000000000),1000000000))+ROW()/100000,"")</f>
        <v/>
      </c>
    </row>
    <row r="374">
      <c r="F374" s="11" t="n"/>
      <c r="N374" s="7">
        <f>IF($C374="","",M374*U374/100)</f>
        <v/>
      </c>
      <c r="T374" s="7" t="n"/>
      <c r="U374" s="7" t="n"/>
      <c r="V374" s="7">
        <f>IF($C374="","",U374*AA374/100)</f>
        <v/>
      </c>
      <c r="W374" s="7">
        <f>IF($C374="","",U374-V374)</f>
        <v/>
      </c>
      <c r="X374" s="7">
        <f>IF($C374="","",W374-N374)</f>
        <v/>
      </c>
      <c r="AA374">
        <f>IF($C374="","",IF($AN374=1,0,IF($AM374=1,Settings!$C$6,Settings!$C$7))*100)</f>
        <v/>
      </c>
      <c r="AE374" s="7" t="n"/>
      <c r="AH374" s="11" t="n"/>
      <c r="AJ374">
        <f>IF($C374="","",$C374&amp;"|"&amp;$D374&amp;"")</f>
        <v/>
      </c>
      <c r="AK374">
        <f>IF($C374="","",IF(COUNTIF($AJ$2:$AJ374,$AJ374)=1,1,0))</f>
        <v/>
      </c>
      <c r="AL374">
        <f>IF($AK374=1,SUMPRODUCT(--($AO$2:$AO$1501&lt;$AO374))+1,"")</f>
        <v/>
      </c>
      <c r="AM374">
        <f>IF($C374="","",IF(OR($Q374=TRUE(),$Q374="TRUE"),1,0))</f>
        <v/>
      </c>
      <c r="AN374">
        <f>IF($C374="","",IF($Z374="Yes",1,0))</f>
        <v/>
      </c>
      <c r="AO374">
        <f>IF($AK374=1,IFERROR(IF(VALUE($C374)&lt;100000000,VALUE($C374),1000000000),IFERROR(IF(VALUE(MID($C374,2,20))&lt;100000000,VALUE(MID($C374,2,20)),1000000000),1000000000))+ROW()/100000,"")</f>
        <v/>
      </c>
    </row>
    <row r="375">
      <c r="F375" s="11" t="n"/>
      <c r="N375" s="7">
        <f>IF($C375="","",M375*U375/100)</f>
        <v/>
      </c>
      <c r="T375" s="7" t="n"/>
      <c r="U375" s="7" t="n"/>
      <c r="V375" s="7">
        <f>IF($C375="","",U375*AA375/100)</f>
        <v/>
      </c>
      <c r="W375" s="7">
        <f>IF($C375="","",U375-V375)</f>
        <v/>
      </c>
      <c r="X375" s="7">
        <f>IF($C375="","",W375-N375)</f>
        <v/>
      </c>
      <c r="AA375">
        <f>IF($C375="","",IF($AN375=1,0,IF($AM375=1,Settings!$C$6,Settings!$C$7))*100)</f>
        <v/>
      </c>
      <c r="AE375" s="7" t="n"/>
      <c r="AH375" s="11" t="n"/>
      <c r="AJ375">
        <f>IF($C375="","",$C375&amp;"|"&amp;$D375&amp;"")</f>
        <v/>
      </c>
      <c r="AK375">
        <f>IF($C375="","",IF(COUNTIF($AJ$2:$AJ375,$AJ375)=1,1,0))</f>
        <v/>
      </c>
      <c r="AL375">
        <f>IF($AK375=1,SUMPRODUCT(--($AO$2:$AO$1501&lt;$AO375))+1,"")</f>
        <v/>
      </c>
      <c r="AM375">
        <f>IF($C375="","",IF(OR($Q375=TRUE(),$Q375="TRUE"),1,0))</f>
        <v/>
      </c>
      <c r="AN375">
        <f>IF($C375="","",IF($Z375="Yes",1,0))</f>
        <v/>
      </c>
      <c r="AO375">
        <f>IF($AK375=1,IFERROR(IF(VALUE($C375)&lt;100000000,VALUE($C375),1000000000),IFERROR(IF(VALUE(MID($C375,2,20))&lt;100000000,VALUE(MID($C375,2,20)),1000000000),1000000000))+ROW()/100000,"")</f>
        <v/>
      </c>
    </row>
    <row r="376">
      <c r="F376" s="11" t="n"/>
      <c r="N376" s="7">
        <f>IF($C376="","",M376*U376/100)</f>
        <v/>
      </c>
      <c r="T376" s="7" t="n"/>
      <c r="U376" s="7" t="n"/>
      <c r="V376" s="7">
        <f>IF($C376="","",U376*AA376/100)</f>
        <v/>
      </c>
      <c r="W376" s="7">
        <f>IF($C376="","",U376-V376)</f>
        <v/>
      </c>
      <c r="X376" s="7">
        <f>IF($C376="","",W376-N376)</f>
        <v/>
      </c>
      <c r="AA376">
        <f>IF($C376="","",IF($AN376=1,0,IF($AM376=1,Settings!$C$6,Settings!$C$7))*100)</f>
        <v/>
      </c>
      <c r="AE376" s="7" t="n"/>
      <c r="AH376" s="11" t="n"/>
      <c r="AJ376">
        <f>IF($C376="","",$C376&amp;"|"&amp;$D376&amp;"")</f>
        <v/>
      </c>
      <c r="AK376">
        <f>IF($C376="","",IF(COUNTIF($AJ$2:$AJ376,$AJ376)=1,1,0))</f>
        <v/>
      </c>
      <c r="AL376">
        <f>IF($AK376=1,SUMPRODUCT(--($AO$2:$AO$1501&lt;$AO376))+1,"")</f>
        <v/>
      </c>
      <c r="AM376">
        <f>IF($C376="","",IF(OR($Q376=TRUE(),$Q376="TRUE"),1,0))</f>
        <v/>
      </c>
      <c r="AN376">
        <f>IF($C376="","",IF($Z376="Yes",1,0))</f>
        <v/>
      </c>
      <c r="AO376">
        <f>IF($AK376=1,IFERROR(IF(VALUE($C376)&lt;100000000,VALUE($C376),1000000000),IFERROR(IF(VALUE(MID($C376,2,20))&lt;100000000,VALUE(MID($C376,2,20)),1000000000),1000000000))+ROW()/100000,"")</f>
        <v/>
      </c>
    </row>
    <row r="377">
      <c r="F377" s="11" t="n"/>
      <c r="N377" s="7">
        <f>IF($C377="","",M377*U377/100)</f>
        <v/>
      </c>
      <c r="T377" s="7" t="n"/>
      <c r="U377" s="7" t="n"/>
      <c r="V377" s="7">
        <f>IF($C377="","",U377*AA377/100)</f>
        <v/>
      </c>
      <c r="W377" s="7">
        <f>IF($C377="","",U377-V377)</f>
        <v/>
      </c>
      <c r="X377" s="7">
        <f>IF($C377="","",W377-N377)</f>
        <v/>
      </c>
      <c r="AA377">
        <f>IF($C377="","",IF($AN377=1,0,IF($AM377=1,Settings!$C$6,Settings!$C$7))*100)</f>
        <v/>
      </c>
      <c r="AE377" s="7" t="n"/>
      <c r="AH377" s="11" t="n"/>
      <c r="AJ377">
        <f>IF($C377="","",$C377&amp;"|"&amp;$D377&amp;"")</f>
        <v/>
      </c>
      <c r="AK377">
        <f>IF($C377="","",IF(COUNTIF($AJ$2:$AJ377,$AJ377)=1,1,0))</f>
        <v/>
      </c>
      <c r="AL377">
        <f>IF($AK377=1,SUMPRODUCT(--($AO$2:$AO$1501&lt;$AO377))+1,"")</f>
        <v/>
      </c>
      <c r="AM377">
        <f>IF($C377="","",IF(OR($Q377=TRUE(),$Q377="TRUE"),1,0))</f>
        <v/>
      </c>
      <c r="AN377">
        <f>IF($C377="","",IF($Z377="Yes",1,0))</f>
        <v/>
      </c>
      <c r="AO377">
        <f>IF($AK377=1,IFERROR(IF(VALUE($C377)&lt;100000000,VALUE($C377),1000000000),IFERROR(IF(VALUE(MID($C377,2,20))&lt;100000000,VALUE(MID($C377,2,20)),1000000000),1000000000))+ROW()/100000,"")</f>
        <v/>
      </c>
    </row>
    <row r="378">
      <c r="F378" s="11" t="n"/>
      <c r="N378" s="7">
        <f>IF($C378="","",M378*U378/100)</f>
        <v/>
      </c>
      <c r="T378" s="7" t="n"/>
      <c r="U378" s="7" t="n"/>
      <c r="V378" s="7">
        <f>IF($C378="","",U378*AA378/100)</f>
        <v/>
      </c>
      <c r="W378" s="7">
        <f>IF($C378="","",U378-V378)</f>
        <v/>
      </c>
      <c r="X378" s="7">
        <f>IF($C378="","",W378-N378)</f>
        <v/>
      </c>
      <c r="AA378">
        <f>IF($C378="","",IF($AN378=1,0,IF($AM378=1,Settings!$C$6,Settings!$C$7))*100)</f>
        <v/>
      </c>
      <c r="AE378" s="7" t="n"/>
      <c r="AH378" s="11" t="n"/>
      <c r="AJ378">
        <f>IF($C378="","",$C378&amp;"|"&amp;$D378&amp;"")</f>
        <v/>
      </c>
      <c r="AK378">
        <f>IF($C378="","",IF(COUNTIF($AJ$2:$AJ378,$AJ378)=1,1,0))</f>
        <v/>
      </c>
      <c r="AL378">
        <f>IF($AK378=1,SUMPRODUCT(--($AO$2:$AO$1501&lt;$AO378))+1,"")</f>
        <v/>
      </c>
      <c r="AM378">
        <f>IF($C378="","",IF(OR($Q378=TRUE(),$Q378="TRUE"),1,0))</f>
        <v/>
      </c>
      <c r="AN378">
        <f>IF($C378="","",IF($Z378="Yes",1,0))</f>
        <v/>
      </c>
      <c r="AO378">
        <f>IF($AK378=1,IFERROR(IF(VALUE($C378)&lt;100000000,VALUE($C378),1000000000),IFERROR(IF(VALUE(MID($C378,2,20))&lt;100000000,VALUE(MID($C378,2,20)),1000000000),1000000000))+ROW()/100000,"")</f>
        <v/>
      </c>
    </row>
    <row r="379">
      <c r="F379" s="11" t="n"/>
      <c r="N379" s="7">
        <f>IF($C379="","",M379*U379/100)</f>
        <v/>
      </c>
      <c r="T379" s="7" t="n"/>
      <c r="U379" s="7" t="n"/>
      <c r="V379" s="7">
        <f>IF($C379="","",U379*AA379/100)</f>
        <v/>
      </c>
      <c r="W379" s="7">
        <f>IF($C379="","",U379-V379)</f>
        <v/>
      </c>
      <c r="X379" s="7">
        <f>IF($C379="","",W379-N379)</f>
        <v/>
      </c>
      <c r="AA379">
        <f>IF($C379="","",IF($AN379=1,0,IF($AM379=1,Settings!$C$6,Settings!$C$7))*100)</f>
        <v/>
      </c>
      <c r="AE379" s="7" t="n"/>
      <c r="AH379" s="11" t="n"/>
      <c r="AJ379">
        <f>IF($C379="","",$C379&amp;"|"&amp;$D379&amp;"")</f>
        <v/>
      </c>
      <c r="AK379">
        <f>IF($C379="","",IF(COUNTIF($AJ$2:$AJ379,$AJ379)=1,1,0))</f>
        <v/>
      </c>
      <c r="AL379">
        <f>IF($AK379=1,SUMPRODUCT(--($AO$2:$AO$1501&lt;$AO379))+1,"")</f>
        <v/>
      </c>
      <c r="AM379">
        <f>IF($C379="","",IF(OR($Q379=TRUE(),$Q379="TRUE"),1,0))</f>
        <v/>
      </c>
      <c r="AN379">
        <f>IF($C379="","",IF($Z379="Yes",1,0))</f>
        <v/>
      </c>
      <c r="AO379">
        <f>IF($AK379=1,IFERROR(IF(VALUE($C379)&lt;100000000,VALUE($C379),1000000000),IFERROR(IF(VALUE(MID($C379,2,20))&lt;100000000,VALUE(MID($C379,2,20)),1000000000),1000000000))+ROW()/100000,"")</f>
        <v/>
      </c>
    </row>
    <row r="380">
      <c r="F380" s="11" t="n"/>
      <c r="N380" s="7">
        <f>IF($C380="","",M380*U380/100)</f>
        <v/>
      </c>
      <c r="T380" s="7" t="n"/>
      <c r="U380" s="7" t="n"/>
      <c r="V380" s="7">
        <f>IF($C380="","",U380*AA380/100)</f>
        <v/>
      </c>
      <c r="W380" s="7">
        <f>IF($C380="","",U380-V380)</f>
        <v/>
      </c>
      <c r="X380" s="7">
        <f>IF($C380="","",W380-N380)</f>
        <v/>
      </c>
      <c r="AA380">
        <f>IF($C380="","",IF($AN380=1,0,IF($AM380=1,Settings!$C$6,Settings!$C$7))*100)</f>
        <v/>
      </c>
      <c r="AE380" s="7" t="n"/>
      <c r="AH380" s="11" t="n"/>
      <c r="AJ380">
        <f>IF($C380="","",$C380&amp;"|"&amp;$D380&amp;"")</f>
        <v/>
      </c>
      <c r="AK380">
        <f>IF($C380="","",IF(COUNTIF($AJ$2:$AJ380,$AJ380)=1,1,0))</f>
        <v/>
      </c>
      <c r="AL380">
        <f>IF($AK380=1,SUMPRODUCT(--($AO$2:$AO$1501&lt;$AO380))+1,"")</f>
        <v/>
      </c>
      <c r="AM380">
        <f>IF($C380="","",IF(OR($Q380=TRUE(),$Q380="TRUE"),1,0))</f>
        <v/>
      </c>
      <c r="AN380">
        <f>IF($C380="","",IF($Z380="Yes",1,0))</f>
        <v/>
      </c>
      <c r="AO380">
        <f>IF($AK380=1,IFERROR(IF(VALUE($C380)&lt;100000000,VALUE($C380),1000000000),IFERROR(IF(VALUE(MID($C380,2,20))&lt;100000000,VALUE(MID($C380,2,20)),1000000000),1000000000))+ROW()/100000,"")</f>
        <v/>
      </c>
    </row>
    <row r="381">
      <c r="F381" s="11" t="n"/>
      <c r="N381" s="7">
        <f>IF($C381="","",M381*U381/100)</f>
        <v/>
      </c>
      <c r="T381" s="7" t="n"/>
      <c r="U381" s="7" t="n"/>
      <c r="V381" s="7">
        <f>IF($C381="","",U381*AA381/100)</f>
        <v/>
      </c>
      <c r="W381" s="7">
        <f>IF($C381="","",U381-V381)</f>
        <v/>
      </c>
      <c r="X381" s="7">
        <f>IF($C381="","",W381-N381)</f>
        <v/>
      </c>
      <c r="AA381">
        <f>IF($C381="","",IF($AN381=1,0,IF($AM381=1,Settings!$C$6,Settings!$C$7))*100)</f>
        <v/>
      </c>
      <c r="AE381" s="7" t="n"/>
      <c r="AH381" s="11" t="n"/>
      <c r="AJ381">
        <f>IF($C381="","",$C381&amp;"|"&amp;$D381&amp;"")</f>
        <v/>
      </c>
      <c r="AK381">
        <f>IF($C381="","",IF(COUNTIF($AJ$2:$AJ381,$AJ381)=1,1,0))</f>
        <v/>
      </c>
      <c r="AL381">
        <f>IF($AK381=1,SUMPRODUCT(--($AO$2:$AO$1501&lt;$AO381))+1,"")</f>
        <v/>
      </c>
      <c r="AM381">
        <f>IF($C381="","",IF(OR($Q381=TRUE(),$Q381="TRUE"),1,0))</f>
        <v/>
      </c>
      <c r="AN381">
        <f>IF($C381="","",IF($Z381="Yes",1,0))</f>
        <v/>
      </c>
      <c r="AO381">
        <f>IF($AK381=1,IFERROR(IF(VALUE($C381)&lt;100000000,VALUE($C381),1000000000),IFERROR(IF(VALUE(MID($C381,2,20))&lt;100000000,VALUE(MID($C381,2,20)),1000000000),1000000000))+ROW()/100000,"")</f>
        <v/>
      </c>
    </row>
    <row r="382">
      <c r="F382" s="11" t="n"/>
      <c r="N382" s="7">
        <f>IF($C382="","",M382*U382/100)</f>
        <v/>
      </c>
      <c r="T382" s="7" t="n"/>
      <c r="U382" s="7" t="n"/>
      <c r="V382" s="7">
        <f>IF($C382="","",U382*AA382/100)</f>
        <v/>
      </c>
      <c r="W382" s="7">
        <f>IF($C382="","",U382-V382)</f>
        <v/>
      </c>
      <c r="X382" s="7">
        <f>IF($C382="","",W382-N382)</f>
        <v/>
      </c>
      <c r="AA382">
        <f>IF($C382="","",IF($AN382=1,0,IF($AM382=1,Settings!$C$6,Settings!$C$7))*100)</f>
        <v/>
      </c>
      <c r="AE382" s="7" t="n"/>
      <c r="AH382" s="11" t="n"/>
      <c r="AJ382">
        <f>IF($C382="","",$C382&amp;"|"&amp;$D382&amp;"")</f>
        <v/>
      </c>
      <c r="AK382">
        <f>IF($C382="","",IF(COUNTIF($AJ$2:$AJ382,$AJ382)=1,1,0))</f>
        <v/>
      </c>
      <c r="AL382">
        <f>IF($AK382=1,SUMPRODUCT(--($AO$2:$AO$1501&lt;$AO382))+1,"")</f>
        <v/>
      </c>
      <c r="AM382">
        <f>IF($C382="","",IF(OR($Q382=TRUE(),$Q382="TRUE"),1,0))</f>
        <v/>
      </c>
      <c r="AN382">
        <f>IF($C382="","",IF($Z382="Yes",1,0))</f>
        <v/>
      </c>
      <c r="AO382">
        <f>IF($AK382=1,IFERROR(IF(VALUE($C382)&lt;100000000,VALUE($C382),1000000000),IFERROR(IF(VALUE(MID($C382,2,20))&lt;100000000,VALUE(MID($C382,2,20)),1000000000),1000000000))+ROW()/100000,"")</f>
        <v/>
      </c>
    </row>
    <row r="383">
      <c r="F383" s="11" t="n"/>
      <c r="N383" s="7">
        <f>IF($C383="","",M383*U383/100)</f>
        <v/>
      </c>
      <c r="T383" s="7" t="n"/>
      <c r="U383" s="7" t="n"/>
      <c r="V383" s="7">
        <f>IF($C383="","",U383*AA383/100)</f>
        <v/>
      </c>
      <c r="W383" s="7">
        <f>IF($C383="","",U383-V383)</f>
        <v/>
      </c>
      <c r="X383" s="7">
        <f>IF($C383="","",W383-N383)</f>
        <v/>
      </c>
      <c r="AA383">
        <f>IF($C383="","",IF($AN383=1,0,IF($AM383=1,Settings!$C$6,Settings!$C$7))*100)</f>
        <v/>
      </c>
      <c r="AE383" s="7" t="n"/>
      <c r="AH383" s="11" t="n"/>
      <c r="AJ383">
        <f>IF($C383="","",$C383&amp;"|"&amp;$D383&amp;"")</f>
        <v/>
      </c>
      <c r="AK383">
        <f>IF($C383="","",IF(COUNTIF($AJ$2:$AJ383,$AJ383)=1,1,0))</f>
        <v/>
      </c>
      <c r="AL383">
        <f>IF($AK383=1,SUMPRODUCT(--($AO$2:$AO$1501&lt;$AO383))+1,"")</f>
        <v/>
      </c>
      <c r="AM383">
        <f>IF($C383="","",IF(OR($Q383=TRUE(),$Q383="TRUE"),1,0))</f>
        <v/>
      </c>
      <c r="AN383">
        <f>IF($C383="","",IF($Z383="Yes",1,0))</f>
        <v/>
      </c>
      <c r="AO383">
        <f>IF($AK383=1,IFERROR(IF(VALUE($C383)&lt;100000000,VALUE($C383),1000000000),IFERROR(IF(VALUE(MID($C383,2,20))&lt;100000000,VALUE(MID($C383,2,20)),1000000000),1000000000))+ROW()/100000,"")</f>
        <v/>
      </c>
    </row>
    <row r="384">
      <c r="F384" s="11" t="n"/>
      <c r="N384" s="7">
        <f>IF($C384="","",M384*U384/100)</f>
        <v/>
      </c>
      <c r="T384" s="7" t="n"/>
      <c r="U384" s="7" t="n"/>
      <c r="V384" s="7">
        <f>IF($C384="","",U384*AA384/100)</f>
        <v/>
      </c>
      <c r="W384" s="7">
        <f>IF($C384="","",U384-V384)</f>
        <v/>
      </c>
      <c r="X384" s="7">
        <f>IF($C384="","",W384-N384)</f>
        <v/>
      </c>
      <c r="AA384">
        <f>IF($C384="","",IF($AN384=1,0,IF($AM384=1,Settings!$C$6,Settings!$C$7))*100)</f>
        <v/>
      </c>
      <c r="AE384" s="7" t="n"/>
      <c r="AH384" s="11" t="n"/>
      <c r="AJ384">
        <f>IF($C384="","",$C384&amp;"|"&amp;$D384&amp;"")</f>
        <v/>
      </c>
      <c r="AK384">
        <f>IF($C384="","",IF(COUNTIF($AJ$2:$AJ384,$AJ384)=1,1,0))</f>
        <v/>
      </c>
      <c r="AL384">
        <f>IF($AK384=1,SUMPRODUCT(--($AO$2:$AO$1501&lt;$AO384))+1,"")</f>
        <v/>
      </c>
      <c r="AM384">
        <f>IF($C384="","",IF(OR($Q384=TRUE(),$Q384="TRUE"),1,0))</f>
        <v/>
      </c>
      <c r="AN384">
        <f>IF($C384="","",IF($Z384="Yes",1,0))</f>
        <v/>
      </c>
      <c r="AO384">
        <f>IF($AK384=1,IFERROR(IF(VALUE($C384)&lt;100000000,VALUE($C384),1000000000),IFERROR(IF(VALUE(MID($C384,2,20))&lt;100000000,VALUE(MID($C384,2,20)),1000000000),1000000000))+ROW()/100000,"")</f>
        <v/>
      </c>
    </row>
    <row r="385">
      <c r="F385" s="11" t="n"/>
      <c r="N385" s="7">
        <f>IF($C385="","",M385*U385/100)</f>
        <v/>
      </c>
      <c r="T385" s="7" t="n"/>
      <c r="U385" s="7" t="n"/>
      <c r="V385" s="7">
        <f>IF($C385="","",U385*AA385/100)</f>
        <v/>
      </c>
      <c r="W385" s="7">
        <f>IF($C385="","",U385-V385)</f>
        <v/>
      </c>
      <c r="X385" s="7">
        <f>IF($C385="","",W385-N385)</f>
        <v/>
      </c>
      <c r="AA385">
        <f>IF($C385="","",IF($AN385=1,0,IF($AM385=1,Settings!$C$6,Settings!$C$7))*100)</f>
        <v/>
      </c>
      <c r="AE385" s="7" t="n"/>
      <c r="AH385" s="11" t="n"/>
      <c r="AJ385">
        <f>IF($C385="","",$C385&amp;"|"&amp;$D385&amp;"")</f>
        <v/>
      </c>
      <c r="AK385">
        <f>IF($C385="","",IF(COUNTIF($AJ$2:$AJ385,$AJ385)=1,1,0))</f>
        <v/>
      </c>
      <c r="AL385">
        <f>IF($AK385=1,SUMPRODUCT(--($AO$2:$AO$1501&lt;$AO385))+1,"")</f>
        <v/>
      </c>
      <c r="AM385">
        <f>IF($C385="","",IF(OR($Q385=TRUE(),$Q385="TRUE"),1,0))</f>
        <v/>
      </c>
      <c r="AN385">
        <f>IF($C385="","",IF($Z385="Yes",1,0))</f>
        <v/>
      </c>
      <c r="AO385">
        <f>IF($AK385=1,IFERROR(IF(VALUE($C385)&lt;100000000,VALUE($C385),1000000000),IFERROR(IF(VALUE(MID($C385,2,20))&lt;100000000,VALUE(MID($C385,2,20)),1000000000),1000000000))+ROW()/100000,"")</f>
        <v/>
      </c>
    </row>
    <row r="386">
      <c r="F386" s="11" t="n"/>
      <c r="N386" s="7">
        <f>IF($C386="","",M386*U386/100)</f>
        <v/>
      </c>
      <c r="T386" s="7" t="n"/>
      <c r="U386" s="7" t="n"/>
      <c r="V386" s="7">
        <f>IF($C386="","",U386*AA386/100)</f>
        <v/>
      </c>
      <c r="W386" s="7">
        <f>IF($C386="","",U386-V386)</f>
        <v/>
      </c>
      <c r="X386" s="7">
        <f>IF($C386="","",W386-N386)</f>
        <v/>
      </c>
      <c r="AA386">
        <f>IF($C386="","",IF($AN386=1,0,IF($AM386=1,Settings!$C$6,Settings!$C$7))*100)</f>
        <v/>
      </c>
      <c r="AE386" s="7" t="n"/>
      <c r="AH386" s="11" t="n"/>
      <c r="AJ386">
        <f>IF($C386="","",$C386&amp;"|"&amp;$D386&amp;"")</f>
        <v/>
      </c>
      <c r="AK386">
        <f>IF($C386="","",IF(COUNTIF($AJ$2:$AJ386,$AJ386)=1,1,0))</f>
        <v/>
      </c>
      <c r="AL386">
        <f>IF($AK386=1,SUMPRODUCT(--($AO$2:$AO$1501&lt;$AO386))+1,"")</f>
        <v/>
      </c>
      <c r="AM386">
        <f>IF($C386="","",IF(OR($Q386=TRUE(),$Q386="TRUE"),1,0))</f>
        <v/>
      </c>
      <c r="AN386">
        <f>IF($C386="","",IF($Z386="Yes",1,0))</f>
        <v/>
      </c>
      <c r="AO386">
        <f>IF($AK386=1,IFERROR(IF(VALUE($C386)&lt;100000000,VALUE($C386),1000000000),IFERROR(IF(VALUE(MID($C386,2,20))&lt;100000000,VALUE(MID($C386,2,20)),1000000000),1000000000))+ROW()/100000,"")</f>
        <v/>
      </c>
    </row>
    <row r="387">
      <c r="F387" s="11" t="n"/>
      <c r="N387" s="7">
        <f>IF($C387="","",M387*U387/100)</f>
        <v/>
      </c>
      <c r="T387" s="7" t="n"/>
      <c r="U387" s="7" t="n"/>
      <c r="V387" s="7">
        <f>IF($C387="","",U387*AA387/100)</f>
        <v/>
      </c>
      <c r="W387" s="7">
        <f>IF($C387="","",U387-V387)</f>
        <v/>
      </c>
      <c r="X387" s="7">
        <f>IF($C387="","",W387-N387)</f>
        <v/>
      </c>
      <c r="AA387">
        <f>IF($C387="","",IF($AN387=1,0,IF($AM387=1,Settings!$C$6,Settings!$C$7))*100)</f>
        <v/>
      </c>
      <c r="AE387" s="7" t="n"/>
      <c r="AH387" s="11" t="n"/>
      <c r="AJ387">
        <f>IF($C387="","",$C387&amp;"|"&amp;$D387&amp;"")</f>
        <v/>
      </c>
      <c r="AK387">
        <f>IF($C387="","",IF(COUNTIF($AJ$2:$AJ387,$AJ387)=1,1,0))</f>
        <v/>
      </c>
      <c r="AL387">
        <f>IF($AK387=1,SUMPRODUCT(--($AO$2:$AO$1501&lt;$AO387))+1,"")</f>
        <v/>
      </c>
      <c r="AM387">
        <f>IF($C387="","",IF(OR($Q387=TRUE(),$Q387="TRUE"),1,0))</f>
        <v/>
      </c>
      <c r="AN387">
        <f>IF($C387="","",IF($Z387="Yes",1,0))</f>
        <v/>
      </c>
      <c r="AO387">
        <f>IF($AK387=1,IFERROR(IF(VALUE($C387)&lt;100000000,VALUE($C387),1000000000),IFERROR(IF(VALUE(MID($C387,2,20))&lt;100000000,VALUE(MID($C387,2,20)),1000000000),1000000000))+ROW()/100000,"")</f>
        <v/>
      </c>
    </row>
    <row r="388">
      <c r="F388" s="11" t="n"/>
      <c r="N388" s="7">
        <f>IF($C388="","",M388*U388/100)</f>
        <v/>
      </c>
      <c r="T388" s="7" t="n"/>
      <c r="U388" s="7" t="n"/>
      <c r="V388" s="7">
        <f>IF($C388="","",U388*AA388/100)</f>
        <v/>
      </c>
      <c r="W388" s="7">
        <f>IF($C388="","",U388-V388)</f>
        <v/>
      </c>
      <c r="X388" s="7">
        <f>IF($C388="","",W388-N388)</f>
        <v/>
      </c>
      <c r="AA388">
        <f>IF($C388="","",IF($AN388=1,0,IF($AM388=1,Settings!$C$6,Settings!$C$7))*100)</f>
        <v/>
      </c>
      <c r="AE388" s="7" t="n"/>
      <c r="AH388" s="11" t="n"/>
      <c r="AJ388">
        <f>IF($C388="","",$C388&amp;"|"&amp;$D388&amp;"")</f>
        <v/>
      </c>
      <c r="AK388">
        <f>IF($C388="","",IF(COUNTIF($AJ$2:$AJ388,$AJ388)=1,1,0))</f>
        <v/>
      </c>
      <c r="AL388">
        <f>IF($AK388=1,SUMPRODUCT(--($AO$2:$AO$1501&lt;$AO388))+1,"")</f>
        <v/>
      </c>
      <c r="AM388">
        <f>IF($C388="","",IF(OR($Q388=TRUE(),$Q388="TRUE"),1,0))</f>
        <v/>
      </c>
      <c r="AN388">
        <f>IF($C388="","",IF($Z388="Yes",1,0))</f>
        <v/>
      </c>
      <c r="AO388">
        <f>IF($AK388=1,IFERROR(IF(VALUE($C388)&lt;100000000,VALUE($C388),1000000000),IFERROR(IF(VALUE(MID($C388,2,20))&lt;100000000,VALUE(MID($C388,2,20)),1000000000),1000000000))+ROW()/100000,"")</f>
        <v/>
      </c>
    </row>
    <row r="389">
      <c r="F389" s="11" t="n"/>
      <c r="N389" s="7">
        <f>IF($C389="","",M389*U389/100)</f>
        <v/>
      </c>
      <c r="T389" s="7" t="n"/>
      <c r="U389" s="7" t="n"/>
      <c r="V389" s="7">
        <f>IF($C389="","",U389*AA389/100)</f>
        <v/>
      </c>
      <c r="W389" s="7">
        <f>IF($C389="","",U389-V389)</f>
        <v/>
      </c>
      <c r="X389" s="7">
        <f>IF($C389="","",W389-N389)</f>
        <v/>
      </c>
      <c r="AA389">
        <f>IF($C389="","",IF($AN389=1,0,IF($AM389=1,Settings!$C$6,Settings!$C$7))*100)</f>
        <v/>
      </c>
      <c r="AE389" s="7" t="n"/>
      <c r="AH389" s="11" t="n"/>
      <c r="AJ389">
        <f>IF($C389="","",$C389&amp;"|"&amp;$D389&amp;"")</f>
        <v/>
      </c>
      <c r="AK389">
        <f>IF($C389="","",IF(COUNTIF($AJ$2:$AJ389,$AJ389)=1,1,0))</f>
        <v/>
      </c>
      <c r="AL389">
        <f>IF($AK389=1,SUMPRODUCT(--($AO$2:$AO$1501&lt;$AO389))+1,"")</f>
        <v/>
      </c>
      <c r="AM389">
        <f>IF($C389="","",IF(OR($Q389=TRUE(),$Q389="TRUE"),1,0))</f>
        <v/>
      </c>
      <c r="AN389">
        <f>IF($C389="","",IF($Z389="Yes",1,0))</f>
        <v/>
      </c>
      <c r="AO389">
        <f>IF($AK389=1,IFERROR(IF(VALUE($C389)&lt;100000000,VALUE($C389),1000000000),IFERROR(IF(VALUE(MID($C389,2,20))&lt;100000000,VALUE(MID($C389,2,20)),1000000000),1000000000))+ROW()/100000,"")</f>
        <v/>
      </c>
    </row>
    <row r="390">
      <c r="F390" s="11" t="n"/>
      <c r="N390" s="7">
        <f>IF($C390="","",M390*U390/100)</f>
        <v/>
      </c>
      <c r="T390" s="7" t="n"/>
      <c r="U390" s="7" t="n"/>
      <c r="V390" s="7">
        <f>IF($C390="","",U390*AA390/100)</f>
        <v/>
      </c>
      <c r="W390" s="7">
        <f>IF($C390="","",U390-V390)</f>
        <v/>
      </c>
      <c r="X390" s="7">
        <f>IF($C390="","",W390-N390)</f>
        <v/>
      </c>
      <c r="AA390">
        <f>IF($C390="","",IF($AN390=1,0,IF($AM390=1,Settings!$C$6,Settings!$C$7))*100)</f>
        <v/>
      </c>
      <c r="AE390" s="7" t="n"/>
      <c r="AH390" s="11" t="n"/>
      <c r="AJ390">
        <f>IF($C390="","",$C390&amp;"|"&amp;$D390&amp;"")</f>
        <v/>
      </c>
      <c r="AK390">
        <f>IF($C390="","",IF(COUNTIF($AJ$2:$AJ390,$AJ390)=1,1,0))</f>
        <v/>
      </c>
      <c r="AL390">
        <f>IF($AK390=1,SUMPRODUCT(--($AO$2:$AO$1501&lt;$AO390))+1,"")</f>
        <v/>
      </c>
      <c r="AM390">
        <f>IF($C390="","",IF(OR($Q390=TRUE(),$Q390="TRUE"),1,0))</f>
        <v/>
      </c>
      <c r="AN390">
        <f>IF($C390="","",IF($Z390="Yes",1,0))</f>
        <v/>
      </c>
      <c r="AO390">
        <f>IF($AK390=1,IFERROR(IF(VALUE($C390)&lt;100000000,VALUE($C390),1000000000),IFERROR(IF(VALUE(MID($C390,2,20))&lt;100000000,VALUE(MID($C390,2,20)),1000000000),1000000000))+ROW()/100000,"")</f>
        <v/>
      </c>
    </row>
    <row r="391">
      <c r="F391" s="11" t="n"/>
      <c r="N391" s="7">
        <f>IF($C391="","",M391*U391/100)</f>
        <v/>
      </c>
      <c r="T391" s="7" t="n"/>
      <c r="U391" s="7" t="n"/>
      <c r="V391" s="7">
        <f>IF($C391="","",U391*AA391/100)</f>
        <v/>
      </c>
      <c r="W391" s="7">
        <f>IF($C391="","",U391-V391)</f>
        <v/>
      </c>
      <c r="X391" s="7">
        <f>IF($C391="","",W391-N391)</f>
        <v/>
      </c>
      <c r="AA391">
        <f>IF($C391="","",IF($AN391=1,0,IF($AM391=1,Settings!$C$6,Settings!$C$7))*100)</f>
        <v/>
      </c>
      <c r="AE391" s="7" t="n"/>
      <c r="AH391" s="11" t="n"/>
      <c r="AJ391">
        <f>IF($C391="","",$C391&amp;"|"&amp;$D391&amp;"")</f>
        <v/>
      </c>
      <c r="AK391">
        <f>IF($C391="","",IF(COUNTIF($AJ$2:$AJ391,$AJ391)=1,1,0))</f>
        <v/>
      </c>
      <c r="AL391">
        <f>IF($AK391=1,SUMPRODUCT(--($AO$2:$AO$1501&lt;$AO391))+1,"")</f>
        <v/>
      </c>
      <c r="AM391">
        <f>IF($C391="","",IF(OR($Q391=TRUE(),$Q391="TRUE"),1,0))</f>
        <v/>
      </c>
      <c r="AN391">
        <f>IF($C391="","",IF($Z391="Yes",1,0))</f>
        <v/>
      </c>
      <c r="AO391">
        <f>IF($AK391=1,IFERROR(IF(VALUE($C391)&lt;100000000,VALUE($C391),1000000000),IFERROR(IF(VALUE(MID($C391,2,20))&lt;100000000,VALUE(MID($C391,2,20)),1000000000),1000000000))+ROW()/100000,"")</f>
        <v/>
      </c>
    </row>
    <row r="392">
      <c r="F392" s="11" t="n"/>
      <c r="N392" s="7">
        <f>IF($C392="","",M392*U392/100)</f>
        <v/>
      </c>
      <c r="T392" s="7" t="n"/>
      <c r="U392" s="7" t="n"/>
      <c r="V392" s="7">
        <f>IF($C392="","",U392*AA392/100)</f>
        <v/>
      </c>
      <c r="W392" s="7">
        <f>IF($C392="","",U392-V392)</f>
        <v/>
      </c>
      <c r="X392" s="7">
        <f>IF($C392="","",W392-N392)</f>
        <v/>
      </c>
      <c r="AA392">
        <f>IF($C392="","",IF($AN392=1,0,IF($AM392=1,Settings!$C$6,Settings!$C$7))*100)</f>
        <v/>
      </c>
      <c r="AE392" s="7" t="n"/>
      <c r="AH392" s="11" t="n"/>
      <c r="AJ392">
        <f>IF($C392="","",$C392&amp;"|"&amp;$D392&amp;"")</f>
        <v/>
      </c>
      <c r="AK392">
        <f>IF($C392="","",IF(COUNTIF($AJ$2:$AJ392,$AJ392)=1,1,0))</f>
        <v/>
      </c>
      <c r="AL392">
        <f>IF($AK392=1,SUMPRODUCT(--($AO$2:$AO$1501&lt;$AO392))+1,"")</f>
        <v/>
      </c>
      <c r="AM392">
        <f>IF($C392="","",IF(OR($Q392=TRUE(),$Q392="TRUE"),1,0))</f>
        <v/>
      </c>
      <c r="AN392">
        <f>IF($C392="","",IF($Z392="Yes",1,0))</f>
        <v/>
      </c>
      <c r="AO392">
        <f>IF($AK392=1,IFERROR(IF(VALUE($C392)&lt;100000000,VALUE($C392),1000000000),IFERROR(IF(VALUE(MID($C392,2,20))&lt;100000000,VALUE(MID($C392,2,20)),1000000000),1000000000))+ROW()/100000,"")</f>
        <v/>
      </c>
    </row>
    <row r="393">
      <c r="F393" s="11" t="n"/>
      <c r="N393" s="7">
        <f>IF($C393="","",M393*U393/100)</f>
        <v/>
      </c>
      <c r="T393" s="7" t="n"/>
      <c r="U393" s="7" t="n"/>
      <c r="V393" s="7">
        <f>IF($C393="","",U393*AA393/100)</f>
        <v/>
      </c>
      <c r="W393" s="7">
        <f>IF($C393="","",U393-V393)</f>
        <v/>
      </c>
      <c r="X393" s="7">
        <f>IF($C393="","",W393-N393)</f>
        <v/>
      </c>
      <c r="AA393">
        <f>IF($C393="","",IF($AN393=1,0,IF($AM393=1,Settings!$C$6,Settings!$C$7))*100)</f>
        <v/>
      </c>
      <c r="AE393" s="7" t="n"/>
      <c r="AH393" s="11" t="n"/>
      <c r="AJ393">
        <f>IF($C393="","",$C393&amp;"|"&amp;$D393&amp;"")</f>
        <v/>
      </c>
      <c r="AK393">
        <f>IF($C393="","",IF(COUNTIF($AJ$2:$AJ393,$AJ393)=1,1,0))</f>
        <v/>
      </c>
      <c r="AL393">
        <f>IF($AK393=1,SUMPRODUCT(--($AO$2:$AO$1501&lt;$AO393))+1,"")</f>
        <v/>
      </c>
      <c r="AM393">
        <f>IF($C393="","",IF(OR($Q393=TRUE(),$Q393="TRUE"),1,0))</f>
        <v/>
      </c>
      <c r="AN393">
        <f>IF($C393="","",IF($Z393="Yes",1,0))</f>
        <v/>
      </c>
      <c r="AO393">
        <f>IF($AK393=1,IFERROR(IF(VALUE($C393)&lt;100000000,VALUE($C393),1000000000),IFERROR(IF(VALUE(MID($C393,2,20))&lt;100000000,VALUE(MID($C393,2,20)),1000000000),1000000000))+ROW()/100000,"")</f>
        <v/>
      </c>
    </row>
    <row r="394">
      <c r="F394" s="11" t="n"/>
      <c r="N394" s="7">
        <f>IF($C394="","",M394*U394/100)</f>
        <v/>
      </c>
      <c r="T394" s="7" t="n"/>
      <c r="U394" s="7" t="n"/>
      <c r="V394" s="7">
        <f>IF($C394="","",U394*AA394/100)</f>
        <v/>
      </c>
      <c r="W394" s="7">
        <f>IF($C394="","",U394-V394)</f>
        <v/>
      </c>
      <c r="X394" s="7">
        <f>IF($C394="","",W394-N394)</f>
        <v/>
      </c>
      <c r="AA394">
        <f>IF($C394="","",IF($AN394=1,0,IF($AM394=1,Settings!$C$6,Settings!$C$7))*100)</f>
        <v/>
      </c>
      <c r="AE394" s="7" t="n"/>
      <c r="AH394" s="11" t="n"/>
      <c r="AJ394">
        <f>IF($C394="","",$C394&amp;"|"&amp;$D394&amp;"")</f>
        <v/>
      </c>
      <c r="AK394">
        <f>IF($C394="","",IF(COUNTIF($AJ$2:$AJ394,$AJ394)=1,1,0))</f>
        <v/>
      </c>
      <c r="AL394">
        <f>IF($AK394=1,SUMPRODUCT(--($AO$2:$AO$1501&lt;$AO394))+1,"")</f>
        <v/>
      </c>
      <c r="AM394">
        <f>IF($C394="","",IF(OR($Q394=TRUE(),$Q394="TRUE"),1,0))</f>
        <v/>
      </c>
      <c r="AN394">
        <f>IF($C394="","",IF($Z394="Yes",1,0))</f>
        <v/>
      </c>
      <c r="AO394">
        <f>IF($AK394=1,IFERROR(IF(VALUE($C394)&lt;100000000,VALUE($C394),1000000000),IFERROR(IF(VALUE(MID($C394,2,20))&lt;100000000,VALUE(MID($C394,2,20)),1000000000),1000000000))+ROW()/100000,"")</f>
        <v/>
      </c>
    </row>
    <row r="395">
      <c r="F395" s="11" t="n"/>
      <c r="N395" s="7">
        <f>IF($C395="","",M395*U395/100)</f>
        <v/>
      </c>
      <c r="T395" s="7" t="n"/>
      <c r="U395" s="7" t="n"/>
      <c r="V395" s="7">
        <f>IF($C395="","",U395*AA395/100)</f>
        <v/>
      </c>
      <c r="W395" s="7">
        <f>IF($C395="","",U395-V395)</f>
        <v/>
      </c>
      <c r="X395" s="7">
        <f>IF($C395="","",W395-N395)</f>
        <v/>
      </c>
      <c r="AA395">
        <f>IF($C395="","",IF($AN395=1,0,IF($AM395=1,Settings!$C$6,Settings!$C$7))*100)</f>
        <v/>
      </c>
      <c r="AE395" s="7" t="n"/>
      <c r="AH395" s="11" t="n"/>
      <c r="AJ395">
        <f>IF($C395="","",$C395&amp;"|"&amp;$D395&amp;"")</f>
        <v/>
      </c>
      <c r="AK395">
        <f>IF($C395="","",IF(COUNTIF($AJ$2:$AJ395,$AJ395)=1,1,0))</f>
        <v/>
      </c>
      <c r="AL395">
        <f>IF($AK395=1,SUMPRODUCT(--($AO$2:$AO$1501&lt;$AO395))+1,"")</f>
        <v/>
      </c>
      <c r="AM395">
        <f>IF($C395="","",IF(OR($Q395=TRUE(),$Q395="TRUE"),1,0))</f>
        <v/>
      </c>
      <c r="AN395">
        <f>IF($C395="","",IF($Z395="Yes",1,0))</f>
        <v/>
      </c>
      <c r="AO395">
        <f>IF($AK395=1,IFERROR(IF(VALUE($C395)&lt;100000000,VALUE($C395),1000000000),IFERROR(IF(VALUE(MID($C395,2,20))&lt;100000000,VALUE(MID($C395,2,20)),1000000000),1000000000))+ROW()/100000,"")</f>
        <v/>
      </c>
    </row>
    <row r="396">
      <c r="F396" s="11" t="n"/>
      <c r="N396" s="7">
        <f>IF($C396="","",M396*U396/100)</f>
        <v/>
      </c>
      <c r="T396" s="7" t="n"/>
      <c r="U396" s="7" t="n"/>
      <c r="V396" s="7">
        <f>IF($C396="","",U396*AA396/100)</f>
        <v/>
      </c>
      <c r="W396" s="7">
        <f>IF($C396="","",U396-V396)</f>
        <v/>
      </c>
      <c r="X396" s="7">
        <f>IF($C396="","",W396-N396)</f>
        <v/>
      </c>
      <c r="AA396">
        <f>IF($C396="","",IF($AN396=1,0,IF($AM396=1,Settings!$C$6,Settings!$C$7))*100)</f>
        <v/>
      </c>
      <c r="AE396" s="7" t="n"/>
      <c r="AH396" s="11" t="n"/>
      <c r="AJ396">
        <f>IF($C396="","",$C396&amp;"|"&amp;$D396&amp;"")</f>
        <v/>
      </c>
      <c r="AK396">
        <f>IF($C396="","",IF(COUNTIF($AJ$2:$AJ396,$AJ396)=1,1,0))</f>
        <v/>
      </c>
      <c r="AL396">
        <f>IF($AK396=1,SUMPRODUCT(--($AO$2:$AO$1501&lt;$AO396))+1,"")</f>
        <v/>
      </c>
      <c r="AM396">
        <f>IF($C396="","",IF(OR($Q396=TRUE(),$Q396="TRUE"),1,0))</f>
        <v/>
      </c>
      <c r="AN396">
        <f>IF($C396="","",IF($Z396="Yes",1,0))</f>
        <v/>
      </c>
      <c r="AO396">
        <f>IF($AK396=1,IFERROR(IF(VALUE($C396)&lt;100000000,VALUE($C396),1000000000),IFERROR(IF(VALUE(MID($C396,2,20))&lt;100000000,VALUE(MID($C396,2,20)),1000000000),1000000000))+ROW()/100000,"")</f>
        <v/>
      </c>
    </row>
    <row r="397">
      <c r="F397" s="11" t="n"/>
      <c r="N397" s="7">
        <f>IF($C397="","",M397*U397/100)</f>
        <v/>
      </c>
      <c r="T397" s="7" t="n"/>
      <c r="U397" s="7" t="n"/>
      <c r="V397" s="7">
        <f>IF($C397="","",U397*AA397/100)</f>
        <v/>
      </c>
      <c r="W397" s="7">
        <f>IF($C397="","",U397-V397)</f>
        <v/>
      </c>
      <c r="X397" s="7">
        <f>IF($C397="","",W397-N397)</f>
        <v/>
      </c>
      <c r="AA397">
        <f>IF($C397="","",IF($AN397=1,0,IF($AM397=1,Settings!$C$6,Settings!$C$7))*100)</f>
        <v/>
      </c>
      <c r="AE397" s="7" t="n"/>
      <c r="AH397" s="11" t="n"/>
      <c r="AJ397">
        <f>IF($C397="","",$C397&amp;"|"&amp;$D397&amp;"")</f>
        <v/>
      </c>
      <c r="AK397">
        <f>IF($C397="","",IF(COUNTIF($AJ$2:$AJ397,$AJ397)=1,1,0))</f>
        <v/>
      </c>
      <c r="AL397">
        <f>IF($AK397=1,SUMPRODUCT(--($AO$2:$AO$1501&lt;$AO397))+1,"")</f>
        <v/>
      </c>
      <c r="AM397">
        <f>IF($C397="","",IF(OR($Q397=TRUE(),$Q397="TRUE"),1,0))</f>
        <v/>
      </c>
      <c r="AN397">
        <f>IF($C397="","",IF($Z397="Yes",1,0))</f>
        <v/>
      </c>
      <c r="AO397">
        <f>IF($AK397=1,IFERROR(IF(VALUE($C397)&lt;100000000,VALUE($C397),1000000000),IFERROR(IF(VALUE(MID($C397,2,20))&lt;100000000,VALUE(MID($C397,2,20)),1000000000),1000000000))+ROW()/100000,"")</f>
        <v/>
      </c>
    </row>
    <row r="398">
      <c r="F398" s="11" t="n"/>
      <c r="N398" s="7">
        <f>IF($C398="","",M398*U398/100)</f>
        <v/>
      </c>
      <c r="T398" s="7" t="n"/>
      <c r="U398" s="7" t="n"/>
      <c r="V398" s="7">
        <f>IF($C398="","",U398*AA398/100)</f>
        <v/>
      </c>
      <c r="W398" s="7">
        <f>IF($C398="","",U398-V398)</f>
        <v/>
      </c>
      <c r="X398" s="7">
        <f>IF($C398="","",W398-N398)</f>
        <v/>
      </c>
      <c r="AA398">
        <f>IF($C398="","",IF($AN398=1,0,IF($AM398=1,Settings!$C$6,Settings!$C$7))*100)</f>
        <v/>
      </c>
      <c r="AE398" s="7" t="n"/>
      <c r="AH398" s="11" t="n"/>
      <c r="AJ398">
        <f>IF($C398="","",$C398&amp;"|"&amp;$D398&amp;"")</f>
        <v/>
      </c>
      <c r="AK398">
        <f>IF($C398="","",IF(COUNTIF($AJ$2:$AJ398,$AJ398)=1,1,0))</f>
        <v/>
      </c>
      <c r="AL398">
        <f>IF($AK398=1,SUMPRODUCT(--($AO$2:$AO$1501&lt;$AO398))+1,"")</f>
        <v/>
      </c>
      <c r="AM398">
        <f>IF($C398="","",IF(OR($Q398=TRUE(),$Q398="TRUE"),1,0))</f>
        <v/>
      </c>
      <c r="AN398">
        <f>IF($C398="","",IF($Z398="Yes",1,0))</f>
        <v/>
      </c>
      <c r="AO398">
        <f>IF($AK398=1,IFERROR(IF(VALUE($C398)&lt;100000000,VALUE($C398),1000000000),IFERROR(IF(VALUE(MID($C398,2,20))&lt;100000000,VALUE(MID($C398,2,20)),1000000000),1000000000))+ROW()/100000,"")</f>
        <v/>
      </c>
    </row>
    <row r="399">
      <c r="F399" s="11" t="n"/>
      <c r="N399" s="7">
        <f>IF($C399="","",M399*U399/100)</f>
        <v/>
      </c>
      <c r="T399" s="7" t="n"/>
      <c r="U399" s="7" t="n"/>
      <c r="V399" s="7">
        <f>IF($C399="","",U399*AA399/100)</f>
        <v/>
      </c>
      <c r="W399" s="7">
        <f>IF($C399="","",U399-V399)</f>
        <v/>
      </c>
      <c r="X399" s="7">
        <f>IF($C399="","",W399-N399)</f>
        <v/>
      </c>
      <c r="AA399">
        <f>IF($C399="","",IF($AN399=1,0,IF($AM399=1,Settings!$C$6,Settings!$C$7))*100)</f>
        <v/>
      </c>
      <c r="AE399" s="7" t="n"/>
      <c r="AH399" s="11" t="n"/>
      <c r="AJ399">
        <f>IF($C399="","",$C399&amp;"|"&amp;$D399&amp;"")</f>
        <v/>
      </c>
      <c r="AK399">
        <f>IF($C399="","",IF(COUNTIF($AJ$2:$AJ399,$AJ399)=1,1,0))</f>
        <v/>
      </c>
      <c r="AL399">
        <f>IF($AK399=1,SUMPRODUCT(--($AO$2:$AO$1501&lt;$AO399))+1,"")</f>
        <v/>
      </c>
      <c r="AM399">
        <f>IF($C399="","",IF(OR($Q399=TRUE(),$Q399="TRUE"),1,0))</f>
        <v/>
      </c>
      <c r="AN399">
        <f>IF($C399="","",IF($Z399="Yes",1,0))</f>
        <v/>
      </c>
      <c r="AO399">
        <f>IF($AK399=1,IFERROR(IF(VALUE($C399)&lt;100000000,VALUE($C399),1000000000),IFERROR(IF(VALUE(MID($C399,2,20))&lt;100000000,VALUE(MID($C399,2,20)),1000000000),1000000000))+ROW()/100000,"")</f>
        <v/>
      </c>
    </row>
    <row r="400">
      <c r="F400" s="11" t="n"/>
      <c r="N400" s="7">
        <f>IF($C400="","",M400*U400/100)</f>
        <v/>
      </c>
      <c r="T400" s="7" t="n"/>
      <c r="U400" s="7" t="n"/>
      <c r="V400" s="7">
        <f>IF($C400="","",U400*AA400/100)</f>
        <v/>
      </c>
      <c r="W400" s="7">
        <f>IF($C400="","",U400-V400)</f>
        <v/>
      </c>
      <c r="X400" s="7">
        <f>IF($C400="","",W400-N400)</f>
        <v/>
      </c>
      <c r="AA400">
        <f>IF($C400="","",IF($AN400=1,0,IF($AM400=1,Settings!$C$6,Settings!$C$7))*100)</f>
        <v/>
      </c>
      <c r="AE400" s="7" t="n"/>
      <c r="AH400" s="11" t="n"/>
      <c r="AJ400">
        <f>IF($C400="","",$C400&amp;"|"&amp;$D400&amp;"")</f>
        <v/>
      </c>
      <c r="AK400">
        <f>IF($C400="","",IF(COUNTIF($AJ$2:$AJ400,$AJ400)=1,1,0))</f>
        <v/>
      </c>
      <c r="AL400">
        <f>IF($AK400=1,SUMPRODUCT(--($AO$2:$AO$1501&lt;$AO400))+1,"")</f>
        <v/>
      </c>
      <c r="AM400">
        <f>IF($C400="","",IF(OR($Q400=TRUE(),$Q400="TRUE"),1,0))</f>
        <v/>
      </c>
      <c r="AN400">
        <f>IF($C400="","",IF($Z400="Yes",1,0))</f>
        <v/>
      </c>
      <c r="AO400">
        <f>IF($AK400=1,IFERROR(IF(VALUE($C400)&lt;100000000,VALUE($C400),1000000000),IFERROR(IF(VALUE(MID($C400,2,20))&lt;100000000,VALUE(MID($C400,2,20)),1000000000),1000000000))+ROW()/100000,"")</f>
        <v/>
      </c>
    </row>
    <row r="401">
      <c r="F401" s="11" t="n"/>
      <c r="N401" s="7">
        <f>IF($C401="","",M401*U401/100)</f>
        <v/>
      </c>
      <c r="T401" s="7" t="n"/>
      <c r="U401" s="7" t="n"/>
      <c r="V401" s="7">
        <f>IF($C401="","",U401*AA401/100)</f>
        <v/>
      </c>
      <c r="W401" s="7">
        <f>IF($C401="","",U401-V401)</f>
        <v/>
      </c>
      <c r="X401" s="7">
        <f>IF($C401="","",W401-N401)</f>
        <v/>
      </c>
      <c r="AA401">
        <f>IF($C401="","",IF($AN401=1,0,IF($AM401=1,Settings!$C$6,Settings!$C$7))*100)</f>
        <v/>
      </c>
      <c r="AE401" s="7" t="n"/>
      <c r="AH401" s="11" t="n"/>
      <c r="AJ401">
        <f>IF($C401="","",$C401&amp;"|"&amp;$D401&amp;"")</f>
        <v/>
      </c>
      <c r="AK401">
        <f>IF($C401="","",IF(COUNTIF($AJ$2:$AJ401,$AJ401)=1,1,0))</f>
        <v/>
      </c>
      <c r="AL401">
        <f>IF($AK401=1,SUMPRODUCT(--($AO$2:$AO$1501&lt;$AO401))+1,"")</f>
        <v/>
      </c>
      <c r="AM401">
        <f>IF($C401="","",IF(OR($Q401=TRUE(),$Q401="TRUE"),1,0))</f>
        <v/>
      </c>
      <c r="AN401">
        <f>IF($C401="","",IF($Z401="Yes",1,0))</f>
        <v/>
      </c>
      <c r="AO401">
        <f>IF($AK401=1,IFERROR(IF(VALUE($C401)&lt;100000000,VALUE($C401),1000000000),IFERROR(IF(VALUE(MID($C401,2,20))&lt;100000000,VALUE(MID($C401,2,20)),1000000000),1000000000))+ROW()/100000,"")</f>
        <v/>
      </c>
    </row>
    <row r="402">
      <c r="F402" s="11" t="n"/>
      <c r="N402" s="7">
        <f>IF($C402="","",M402*U402/100)</f>
        <v/>
      </c>
      <c r="T402" s="7" t="n"/>
      <c r="U402" s="7" t="n"/>
      <c r="V402" s="7">
        <f>IF($C402="","",U402*AA402/100)</f>
        <v/>
      </c>
      <c r="W402" s="7">
        <f>IF($C402="","",U402-V402)</f>
        <v/>
      </c>
      <c r="X402" s="7">
        <f>IF($C402="","",W402-N402)</f>
        <v/>
      </c>
      <c r="AA402">
        <f>IF($C402="","",IF($AN402=1,0,IF($AM402=1,Settings!$C$6,Settings!$C$7))*100)</f>
        <v/>
      </c>
      <c r="AE402" s="7" t="n"/>
      <c r="AH402" s="11" t="n"/>
      <c r="AJ402">
        <f>IF($C402="","",$C402&amp;"|"&amp;$D402&amp;"")</f>
        <v/>
      </c>
      <c r="AK402">
        <f>IF($C402="","",IF(COUNTIF($AJ$2:$AJ402,$AJ402)=1,1,0))</f>
        <v/>
      </c>
      <c r="AL402">
        <f>IF($AK402=1,SUMPRODUCT(--($AO$2:$AO$1501&lt;$AO402))+1,"")</f>
        <v/>
      </c>
      <c r="AM402">
        <f>IF($C402="","",IF(OR($Q402=TRUE(),$Q402="TRUE"),1,0))</f>
        <v/>
      </c>
      <c r="AN402">
        <f>IF($C402="","",IF($Z402="Yes",1,0))</f>
        <v/>
      </c>
      <c r="AO402">
        <f>IF($AK402=1,IFERROR(IF(VALUE($C402)&lt;100000000,VALUE($C402),1000000000),IFERROR(IF(VALUE(MID($C402,2,20))&lt;100000000,VALUE(MID($C402,2,20)),1000000000),1000000000))+ROW()/100000,"")</f>
        <v/>
      </c>
    </row>
    <row r="403">
      <c r="F403" s="11" t="n"/>
      <c r="N403" s="7">
        <f>IF($C403="","",M403*U403/100)</f>
        <v/>
      </c>
      <c r="T403" s="7" t="n"/>
      <c r="U403" s="7" t="n"/>
      <c r="V403" s="7">
        <f>IF($C403="","",U403*AA403/100)</f>
        <v/>
      </c>
      <c r="W403" s="7">
        <f>IF($C403="","",U403-V403)</f>
        <v/>
      </c>
      <c r="X403" s="7">
        <f>IF($C403="","",W403-N403)</f>
        <v/>
      </c>
      <c r="AA403">
        <f>IF($C403="","",IF($AN403=1,0,IF($AM403=1,Settings!$C$6,Settings!$C$7))*100)</f>
        <v/>
      </c>
      <c r="AE403" s="7" t="n"/>
      <c r="AH403" s="11" t="n"/>
      <c r="AJ403">
        <f>IF($C403="","",$C403&amp;"|"&amp;$D403&amp;"")</f>
        <v/>
      </c>
      <c r="AK403">
        <f>IF($C403="","",IF(COUNTIF($AJ$2:$AJ403,$AJ403)=1,1,0))</f>
        <v/>
      </c>
      <c r="AL403">
        <f>IF($AK403=1,SUMPRODUCT(--($AO$2:$AO$1501&lt;$AO403))+1,"")</f>
        <v/>
      </c>
      <c r="AM403">
        <f>IF($C403="","",IF(OR($Q403=TRUE(),$Q403="TRUE"),1,0))</f>
        <v/>
      </c>
      <c r="AN403">
        <f>IF($C403="","",IF($Z403="Yes",1,0))</f>
        <v/>
      </c>
      <c r="AO403">
        <f>IF($AK403=1,IFERROR(IF(VALUE($C403)&lt;100000000,VALUE($C403),1000000000),IFERROR(IF(VALUE(MID($C403,2,20))&lt;100000000,VALUE(MID($C403,2,20)),1000000000),1000000000))+ROW()/100000,"")</f>
        <v/>
      </c>
    </row>
    <row r="404">
      <c r="F404" s="11" t="n"/>
      <c r="N404" s="7">
        <f>IF($C404="","",M404*U404/100)</f>
        <v/>
      </c>
      <c r="T404" s="7" t="n"/>
      <c r="U404" s="7" t="n"/>
      <c r="V404" s="7">
        <f>IF($C404="","",U404*AA404/100)</f>
        <v/>
      </c>
      <c r="W404" s="7">
        <f>IF($C404="","",U404-V404)</f>
        <v/>
      </c>
      <c r="X404" s="7">
        <f>IF($C404="","",W404-N404)</f>
        <v/>
      </c>
      <c r="AA404">
        <f>IF($C404="","",IF($AN404=1,0,IF($AM404=1,Settings!$C$6,Settings!$C$7))*100)</f>
        <v/>
      </c>
      <c r="AE404" s="7" t="n"/>
      <c r="AH404" s="11" t="n"/>
      <c r="AJ404">
        <f>IF($C404="","",$C404&amp;"|"&amp;$D404&amp;"")</f>
        <v/>
      </c>
      <c r="AK404">
        <f>IF($C404="","",IF(COUNTIF($AJ$2:$AJ404,$AJ404)=1,1,0))</f>
        <v/>
      </c>
      <c r="AL404">
        <f>IF($AK404=1,SUMPRODUCT(--($AO$2:$AO$1501&lt;$AO404))+1,"")</f>
        <v/>
      </c>
      <c r="AM404">
        <f>IF($C404="","",IF(OR($Q404=TRUE(),$Q404="TRUE"),1,0))</f>
        <v/>
      </c>
      <c r="AN404">
        <f>IF($C404="","",IF($Z404="Yes",1,0))</f>
        <v/>
      </c>
      <c r="AO404">
        <f>IF($AK404=1,IFERROR(IF(VALUE($C404)&lt;100000000,VALUE($C404),1000000000),IFERROR(IF(VALUE(MID($C404,2,20))&lt;100000000,VALUE(MID($C404,2,20)),1000000000),1000000000))+ROW()/100000,"")</f>
        <v/>
      </c>
    </row>
    <row r="405">
      <c r="F405" s="11" t="n"/>
      <c r="N405" s="7">
        <f>IF($C405="","",M405*U405/100)</f>
        <v/>
      </c>
      <c r="T405" s="7" t="n"/>
      <c r="U405" s="7" t="n"/>
      <c r="V405" s="7">
        <f>IF($C405="","",U405*AA405/100)</f>
        <v/>
      </c>
      <c r="W405" s="7">
        <f>IF($C405="","",U405-V405)</f>
        <v/>
      </c>
      <c r="X405" s="7">
        <f>IF($C405="","",W405-N405)</f>
        <v/>
      </c>
      <c r="AA405">
        <f>IF($C405="","",IF($AN405=1,0,IF($AM405=1,Settings!$C$6,Settings!$C$7))*100)</f>
        <v/>
      </c>
      <c r="AE405" s="7" t="n"/>
      <c r="AH405" s="11" t="n"/>
      <c r="AJ405">
        <f>IF($C405="","",$C405&amp;"|"&amp;$D405&amp;"")</f>
        <v/>
      </c>
      <c r="AK405">
        <f>IF($C405="","",IF(COUNTIF($AJ$2:$AJ405,$AJ405)=1,1,0))</f>
        <v/>
      </c>
      <c r="AL405">
        <f>IF($AK405=1,SUMPRODUCT(--($AO$2:$AO$1501&lt;$AO405))+1,"")</f>
        <v/>
      </c>
      <c r="AM405">
        <f>IF($C405="","",IF(OR($Q405=TRUE(),$Q405="TRUE"),1,0))</f>
        <v/>
      </c>
      <c r="AN405">
        <f>IF($C405="","",IF($Z405="Yes",1,0))</f>
        <v/>
      </c>
      <c r="AO405">
        <f>IF($AK405=1,IFERROR(IF(VALUE($C405)&lt;100000000,VALUE($C405),1000000000),IFERROR(IF(VALUE(MID($C405,2,20))&lt;100000000,VALUE(MID($C405,2,20)),1000000000),1000000000))+ROW()/100000,"")</f>
        <v/>
      </c>
    </row>
    <row r="406">
      <c r="F406" s="11" t="n"/>
      <c r="N406" s="7">
        <f>IF($C406="","",M406*U406/100)</f>
        <v/>
      </c>
      <c r="T406" s="7" t="n"/>
      <c r="U406" s="7" t="n"/>
      <c r="V406" s="7">
        <f>IF($C406="","",U406*AA406/100)</f>
        <v/>
      </c>
      <c r="W406" s="7">
        <f>IF($C406="","",U406-V406)</f>
        <v/>
      </c>
      <c r="X406" s="7">
        <f>IF($C406="","",W406-N406)</f>
        <v/>
      </c>
      <c r="AA406">
        <f>IF($C406="","",IF($AN406=1,0,IF($AM406=1,Settings!$C$6,Settings!$C$7))*100)</f>
        <v/>
      </c>
      <c r="AE406" s="7" t="n"/>
      <c r="AH406" s="11" t="n"/>
      <c r="AJ406">
        <f>IF($C406="","",$C406&amp;"|"&amp;$D406&amp;"")</f>
        <v/>
      </c>
      <c r="AK406">
        <f>IF($C406="","",IF(COUNTIF($AJ$2:$AJ406,$AJ406)=1,1,0))</f>
        <v/>
      </c>
      <c r="AL406">
        <f>IF($AK406=1,SUMPRODUCT(--($AO$2:$AO$1501&lt;$AO406))+1,"")</f>
        <v/>
      </c>
      <c r="AM406">
        <f>IF($C406="","",IF(OR($Q406=TRUE(),$Q406="TRUE"),1,0))</f>
        <v/>
      </c>
      <c r="AN406">
        <f>IF($C406="","",IF($Z406="Yes",1,0))</f>
        <v/>
      </c>
      <c r="AO406">
        <f>IF($AK406=1,IFERROR(IF(VALUE($C406)&lt;100000000,VALUE($C406),1000000000),IFERROR(IF(VALUE(MID($C406,2,20))&lt;100000000,VALUE(MID($C406,2,20)),1000000000),1000000000))+ROW()/100000,"")</f>
        <v/>
      </c>
    </row>
    <row r="407">
      <c r="F407" s="11" t="n"/>
      <c r="N407" s="7">
        <f>IF($C407="","",M407*U407/100)</f>
        <v/>
      </c>
      <c r="T407" s="7" t="n"/>
      <c r="U407" s="7" t="n"/>
      <c r="V407" s="7">
        <f>IF($C407="","",U407*AA407/100)</f>
        <v/>
      </c>
      <c r="W407" s="7">
        <f>IF($C407="","",U407-V407)</f>
        <v/>
      </c>
      <c r="X407" s="7">
        <f>IF($C407="","",W407-N407)</f>
        <v/>
      </c>
      <c r="AA407">
        <f>IF($C407="","",IF($AN407=1,0,IF($AM407=1,Settings!$C$6,Settings!$C$7))*100)</f>
        <v/>
      </c>
      <c r="AE407" s="7" t="n"/>
      <c r="AH407" s="11" t="n"/>
      <c r="AJ407">
        <f>IF($C407="","",$C407&amp;"|"&amp;$D407&amp;"")</f>
        <v/>
      </c>
      <c r="AK407">
        <f>IF($C407="","",IF(COUNTIF($AJ$2:$AJ407,$AJ407)=1,1,0))</f>
        <v/>
      </c>
      <c r="AL407">
        <f>IF($AK407=1,SUMPRODUCT(--($AO$2:$AO$1501&lt;$AO407))+1,"")</f>
        <v/>
      </c>
      <c r="AM407">
        <f>IF($C407="","",IF(OR($Q407=TRUE(),$Q407="TRUE"),1,0))</f>
        <v/>
      </c>
      <c r="AN407">
        <f>IF($C407="","",IF($Z407="Yes",1,0))</f>
        <v/>
      </c>
      <c r="AO407">
        <f>IF($AK407=1,IFERROR(IF(VALUE($C407)&lt;100000000,VALUE($C407),1000000000),IFERROR(IF(VALUE(MID($C407,2,20))&lt;100000000,VALUE(MID($C407,2,20)),1000000000),1000000000))+ROW()/100000,"")</f>
        <v/>
      </c>
    </row>
    <row r="408">
      <c r="F408" s="11" t="n"/>
      <c r="N408" s="7">
        <f>IF($C408="","",M408*U408/100)</f>
        <v/>
      </c>
      <c r="T408" s="7" t="n"/>
      <c r="U408" s="7" t="n"/>
      <c r="V408" s="7">
        <f>IF($C408="","",U408*AA408/100)</f>
        <v/>
      </c>
      <c r="W408" s="7">
        <f>IF($C408="","",U408-V408)</f>
        <v/>
      </c>
      <c r="X408" s="7">
        <f>IF($C408="","",W408-N408)</f>
        <v/>
      </c>
      <c r="AA408">
        <f>IF($C408="","",IF($AN408=1,0,IF($AM408=1,Settings!$C$6,Settings!$C$7))*100)</f>
        <v/>
      </c>
      <c r="AE408" s="7" t="n"/>
      <c r="AH408" s="11" t="n"/>
      <c r="AJ408">
        <f>IF($C408="","",$C408&amp;"|"&amp;$D408&amp;"")</f>
        <v/>
      </c>
      <c r="AK408">
        <f>IF($C408="","",IF(COUNTIF($AJ$2:$AJ408,$AJ408)=1,1,0))</f>
        <v/>
      </c>
      <c r="AL408">
        <f>IF($AK408=1,SUMPRODUCT(--($AO$2:$AO$1501&lt;$AO408))+1,"")</f>
        <v/>
      </c>
      <c r="AM408">
        <f>IF($C408="","",IF(OR($Q408=TRUE(),$Q408="TRUE"),1,0))</f>
        <v/>
      </c>
      <c r="AN408">
        <f>IF($C408="","",IF($Z408="Yes",1,0))</f>
        <v/>
      </c>
      <c r="AO408">
        <f>IF($AK408=1,IFERROR(IF(VALUE($C408)&lt;100000000,VALUE($C408),1000000000),IFERROR(IF(VALUE(MID($C408,2,20))&lt;100000000,VALUE(MID($C408,2,20)),1000000000),1000000000))+ROW()/100000,"")</f>
        <v/>
      </c>
    </row>
    <row r="409">
      <c r="F409" s="11" t="n"/>
      <c r="N409" s="7">
        <f>IF($C409="","",M409*U409/100)</f>
        <v/>
      </c>
      <c r="T409" s="7" t="n"/>
      <c r="U409" s="7" t="n"/>
      <c r="V409" s="7">
        <f>IF($C409="","",U409*AA409/100)</f>
        <v/>
      </c>
      <c r="W409" s="7">
        <f>IF($C409="","",U409-V409)</f>
        <v/>
      </c>
      <c r="X409" s="7">
        <f>IF($C409="","",W409-N409)</f>
        <v/>
      </c>
      <c r="AA409">
        <f>IF($C409="","",IF($AN409=1,0,IF($AM409=1,Settings!$C$6,Settings!$C$7))*100)</f>
        <v/>
      </c>
      <c r="AE409" s="7" t="n"/>
      <c r="AH409" s="11" t="n"/>
      <c r="AJ409">
        <f>IF($C409="","",$C409&amp;"|"&amp;$D409&amp;"")</f>
        <v/>
      </c>
      <c r="AK409">
        <f>IF($C409="","",IF(COUNTIF($AJ$2:$AJ409,$AJ409)=1,1,0))</f>
        <v/>
      </c>
      <c r="AL409">
        <f>IF($AK409=1,SUMPRODUCT(--($AO$2:$AO$1501&lt;$AO409))+1,"")</f>
        <v/>
      </c>
      <c r="AM409">
        <f>IF($C409="","",IF(OR($Q409=TRUE(),$Q409="TRUE"),1,0))</f>
        <v/>
      </c>
      <c r="AN409">
        <f>IF($C409="","",IF($Z409="Yes",1,0))</f>
        <v/>
      </c>
      <c r="AO409">
        <f>IF($AK409=1,IFERROR(IF(VALUE($C409)&lt;100000000,VALUE($C409),1000000000),IFERROR(IF(VALUE(MID($C409,2,20))&lt;100000000,VALUE(MID($C409,2,20)),1000000000),1000000000))+ROW()/100000,"")</f>
        <v/>
      </c>
    </row>
    <row r="410">
      <c r="F410" s="11" t="n"/>
      <c r="N410" s="7">
        <f>IF($C410="","",M410*U410/100)</f>
        <v/>
      </c>
      <c r="T410" s="7" t="n"/>
      <c r="U410" s="7" t="n"/>
      <c r="V410" s="7">
        <f>IF($C410="","",U410*AA410/100)</f>
        <v/>
      </c>
      <c r="W410" s="7">
        <f>IF($C410="","",U410-V410)</f>
        <v/>
      </c>
      <c r="X410" s="7">
        <f>IF($C410="","",W410-N410)</f>
        <v/>
      </c>
      <c r="AA410">
        <f>IF($C410="","",IF($AN410=1,0,IF($AM410=1,Settings!$C$6,Settings!$C$7))*100)</f>
        <v/>
      </c>
      <c r="AE410" s="7" t="n"/>
      <c r="AH410" s="11" t="n"/>
      <c r="AJ410">
        <f>IF($C410="","",$C410&amp;"|"&amp;$D410&amp;"")</f>
        <v/>
      </c>
      <c r="AK410">
        <f>IF($C410="","",IF(COUNTIF($AJ$2:$AJ410,$AJ410)=1,1,0))</f>
        <v/>
      </c>
      <c r="AL410">
        <f>IF($AK410=1,SUMPRODUCT(--($AO$2:$AO$1501&lt;$AO410))+1,"")</f>
        <v/>
      </c>
      <c r="AM410">
        <f>IF($C410="","",IF(OR($Q410=TRUE(),$Q410="TRUE"),1,0))</f>
        <v/>
      </c>
      <c r="AN410">
        <f>IF($C410="","",IF($Z410="Yes",1,0))</f>
        <v/>
      </c>
      <c r="AO410">
        <f>IF($AK410=1,IFERROR(IF(VALUE($C410)&lt;100000000,VALUE($C410),1000000000),IFERROR(IF(VALUE(MID($C410,2,20))&lt;100000000,VALUE(MID($C410,2,20)),1000000000),1000000000))+ROW()/100000,"")</f>
        <v/>
      </c>
    </row>
    <row r="411">
      <c r="F411" s="11" t="n"/>
      <c r="N411" s="7">
        <f>IF($C411="","",M411*U411/100)</f>
        <v/>
      </c>
      <c r="T411" s="7" t="n"/>
      <c r="U411" s="7" t="n"/>
      <c r="V411" s="7">
        <f>IF($C411="","",U411*AA411/100)</f>
        <v/>
      </c>
      <c r="W411" s="7">
        <f>IF($C411="","",U411-V411)</f>
        <v/>
      </c>
      <c r="X411" s="7">
        <f>IF($C411="","",W411-N411)</f>
        <v/>
      </c>
      <c r="AA411">
        <f>IF($C411="","",IF($AN411=1,0,IF($AM411=1,Settings!$C$6,Settings!$C$7))*100)</f>
        <v/>
      </c>
      <c r="AE411" s="7" t="n"/>
      <c r="AH411" s="11" t="n"/>
      <c r="AJ411">
        <f>IF($C411="","",$C411&amp;"|"&amp;$D411&amp;"")</f>
        <v/>
      </c>
      <c r="AK411">
        <f>IF($C411="","",IF(COUNTIF($AJ$2:$AJ411,$AJ411)=1,1,0))</f>
        <v/>
      </c>
      <c r="AL411">
        <f>IF($AK411=1,SUMPRODUCT(--($AO$2:$AO$1501&lt;$AO411))+1,"")</f>
        <v/>
      </c>
      <c r="AM411">
        <f>IF($C411="","",IF(OR($Q411=TRUE(),$Q411="TRUE"),1,0))</f>
        <v/>
      </c>
      <c r="AN411">
        <f>IF($C411="","",IF($Z411="Yes",1,0))</f>
        <v/>
      </c>
      <c r="AO411">
        <f>IF($AK411=1,IFERROR(IF(VALUE($C411)&lt;100000000,VALUE($C411),1000000000),IFERROR(IF(VALUE(MID($C411,2,20))&lt;100000000,VALUE(MID($C411,2,20)),1000000000),1000000000))+ROW()/100000,"")</f>
        <v/>
      </c>
    </row>
    <row r="412">
      <c r="F412" s="11" t="n"/>
      <c r="N412" s="7">
        <f>IF($C412="","",M412*U412/100)</f>
        <v/>
      </c>
      <c r="T412" s="7" t="n"/>
      <c r="U412" s="7" t="n"/>
      <c r="V412" s="7">
        <f>IF($C412="","",U412*AA412/100)</f>
        <v/>
      </c>
      <c r="W412" s="7">
        <f>IF($C412="","",U412-V412)</f>
        <v/>
      </c>
      <c r="X412" s="7">
        <f>IF($C412="","",W412-N412)</f>
        <v/>
      </c>
      <c r="AA412">
        <f>IF($C412="","",IF($AN412=1,0,IF($AM412=1,Settings!$C$6,Settings!$C$7))*100)</f>
        <v/>
      </c>
      <c r="AE412" s="7" t="n"/>
      <c r="AH412" s="11" t="n"/>
      <c r="AJ412">
        <f>IF($C412="","",$C412&amp;"|"&amp;$D412&amp;"")</f>
        <v/>
      </c>
      <c r="AK412">
        <f>IF($C412="","",IF(COUNTIF($AJ$2:$AJ412,$AJ412)=1,1,0))</f>
        <v/>
      </c>
      <c r="AL412">
        <f>IF($AK412=1,SUMPRODUCT(--($AO$2:$AO$1501&lt;$AO412))+1,"")</f>
        <v/>
      </c>
      <c r="AM412">
        <f>IF($C412="","",IF(OR($Q412=TRUE(),$Q412="TRUE"),1,0))</f>
        <v/>
      </c>
      <c r="AN412">
        <f>IF($C412="","",IF($Z412="Yes",1,0))</f>
        <v/>
      </c>
      <c r="AO412">
        <f>IF($AK412=1,IFERROR(IF(VALUE($C412)&lt;100000000,VALUE($C412),1000000000),IFERROR(IF(VALUE(MID($C412,2,20))&lt;100000000,VALUE(MID($C412,2,20)),1000000000),1000000000))+ROW()/100000,"")</f>
        <v/>
      </c>
    </row>
    <row r="413">
      <c r="F413" s="11" t="n"/>
      <c r="N413" s="7">
        <f>IF($C413="","",M413*U413/100)</f>
        <v/>
      </c>
      <c r="T413" s="7" t="n"/>
      <c r="U413" s="7" t="n"/>
      <c r="V413" s="7">
        <f>IF($C413="","",U413*AA413/100)</f>
        <v/>
      </c>
      <c r="W413" s="7">
        <f>IF($C413="","",U413-V413)</f>
        <v/>
      </c>
      <c r="X413" s="7">
        <f>IF($C413="","",W413-N413)</f>
        <v/>
      </c>
      <c r="AA413">
        <f>IF($C413="","",IF($AN413=1,0,IF($AM413=1,Settings!$C$6,Settings!$C$7))*100)</f>
        <v/>
      </c>
      <c r="AE413" s="7" t="n"/>
      <c r="AH413" s="11" t="n"/>
      <c r="AJ413">
        <f>IF($C413="","",$C413&amp;"|"&amp;$D413&amp;"")</f>
        <v/>
      </c>
      <c r="AK413">
        <f>IF($C413="","",IF(COUNTIF($AJ$2:$AJ413,$AJ413)=1,1,0))</f>
        <v/>
      </c>
      <c r="AL413">
        <f>IF($AK413=1,SUMPRODUCT(--($AO$2:$AO$1501&lt;$AO413))+1,"")</f>
        <v/>
      </c>
      <c r="AM413">
        <f>IF($C413="","",IF(OR($Q413=TRUE(),$Q413="TRUE"),1,0))</f>
        <v/>
      </c>
      <c r="AN413">
        <f>IF($C413="","",IF($Z413="Yes",1,0))</f>
        <v/>
      </c>
      <c r="AO413">
        <f>IF($AK413=1,IFERROR(IF(VALUE($C413)&lt;100000000,VALUE($C413),1000000000),IFERROR(IF(VALUE(MID($C413,2,20))&lt;100000000,VALUE(MID($C413,2,20)),1000000000),1000000000))+ROW()/100000,"")</f>
        <v/>
      </c>
    </row>
    <row r="414">
      <c r="F414" s="11" t="n"/>
      <c r="N414" s="7">
        <f>IF($C414="","",M414*U414/100)</f>
        <v/>
      </c>
      <c r="T414" s="7" t="n"/>
      <c r="U414" s="7" t="n"/>
      <c r="V414" s="7">
        <f>IF($C414="","",U414*AA414/100)</f>
        <v/>
      </c>
      <c r="W414" s="7">
        <f>IF($C414="","",U414-V414)</f>
        <v/>
      </c>
      <c r="X414" s="7">
        <f>IF($C414="","",W414-N414)</f>
        <v/>
      </c>
      <c r="AA414">
        <f>IF($C414="","",IF($AN414=1,0,IF($AM414=1,Settings!$C$6,Settings!$C$7))*100)</f>
        <v/>
      </c>
      <c r="AE414" s="7" t="n"/>
      <c r="AH414" s="11" t="n"/>
      <c r="AJ414">
        <f>IF($C414="","",$C414&amp;"|"&amp;$D414&amp;"")</f>
        <v/>
      </c>
      <c r="AK414">
        <f>IF($C414="","",IF(COUNTIF($AJ$2:$AJ414,$AJ414)=1,1,0))</f>
        <v/>
      </c>
      <c r="AL414">
        <f>IF($AK414=1,SUMPRODUCT(--($AO$2:$AO$1501&lt;$AO414))+1,"")</f>
        <v/>
      </c>
      <c r="AM414">
        <f>IF($C414="","",IF(OR($Q414=TRUE(),$Q414="TRUE"),1,0))</f>
        <v/>
      </c>
      <c r="AN414">
        <f>IF($C414="","",IF($Z414="Yes",1,0))</f>
        <v/>
      </c>
      <c r="AO414">
        <f>IF($AK414=1,IFERROR(IF(VALUE($C414)&lt;100000000,VALUE($C414),1000000000),IFERROR(IF(VALUE(MID($C414,2,20))&lt;100000000,VALUE(MID($C414,2,20)),1000000000),1000000000))+ROW()/100000,"")</f>
        <v/>
      </c>
    </row>
    <row r="415">
      <c r="F415" s="11" t="n"/>
      <c r="N415" s="7">
        <f>IF($C415="","",M415*U415/100)</f>
        <v/>
      </c>
      <c r="T415" s="7" t="n"/>
      <c r="U415" s="7" t="n"/>
      <c r="V415" s="7">
        <f>IF($C415="","",U415*AA415/100)</f>
        <v/>
      </c>
      <c r="W415" s="7">
        <f>IF($C415="","",U415-V415)</f>
        <v/>
      </c>
      <c r="X415" s="7">
        <f>IF($C415="","",W415-N415)</f>
        <v/>
      </c>
      <c r="AA415">
        <f>IF($C415="","",IF($AN415=1,0,IF($AM415=1,Settings!$C$6,Settings!$C$7))*100)</f>
        <v/>
      </c>
      <c r="AE415" s="7" t="n"/>
      <c r="AH415" s="11" t="n"/>
      <c r="AJ415">
        <f>IF($C415="","",$C415&amp;"|"&amp;$D415&amp;"")</f>
        <v/>
      </c>
      <c r="AK415">
        <f>IF($C415="","",IF(COUNTIF($AJ$2:$AJ415,$AJ415)=1,1,0))</f>
        <v/>
      </c>
      <c r="AL415">
        <f>IF($AK415=1,SUMPRODUCT(--($AO$2:$AO$1501&lt;$AO415))+1,"")</f>
        <v/>
      </c>
      <c r="AM415">
        <f>IF($C415="","",IF(OR($Q415=TRUE(),$Q415="TRUE"),1,0))</f>
        <v/>
      </c>
      <c r="AN415">
        <f>IF($C415="","",IF($Z415="Yes",1,0))</f>
        <v/>
      </c>
      <c r="AO415">
        <f>IF($AK415=1,IFERROR(IF(VALUE($C415)&lt;100000000,VALUE($C415),1000000000),IFERROR(IF(VALUE(MID($C415,2,20))&lt;100000000,VALUE(MID($C415,2,20)),1000000000),1000000000))+ROW()/100000,"")</f>
        <v/>
      </c>
    </row>
    <row r="416">
      <c r="F416" s="11" t="n"/>
      <c r="N416" s="7">
        <f>IF($C416="","",M416*U416/100)</f>
        <v/>
      </c>
      <c r="T416" s="7" t="n"/>
      <c r="U416" s="7" t="n"/>
      <c r="V416" s="7">
        <f>IF($C416="","",U416*AA416/100)</f>
        <v/>
      </c>
      <c r="W416" s="7">
        <f>IF($C416="","",U416-V416)</f>
        <v/>
      </c>
      <c r="X416" s="7">
        <f>IF($C416="","",W416-N416)</f>
        <v/>
      </c>
      <c r="AA416">
        <f>IF($C416="","",IF($AN416=1,0,IF($AM416=1,Settings!$C$6,Settings!$C$7))*100)</f>
        <v/>
      </c>
      <c r="AE416" s="7" t="n"/>
      <c r="AH416" s="11" t="n"/>
      <c r="AJ416">
        <f>IF($C416="","",$C416&amp;"|"&amp;$D416&amp;"")</f>
        <v/>
      </c>
      <c r="AK416">
        <f>IF($C416="","",IF(COUNTIF($AJ$2:$AJ416,$AJ416)=1,1,0))</f>
        <v/>
      </c>
      <c r="AL416">
        <f>IF($AK416=1,SUMPRODUCT(--($AO$2:$AO$1501&lt;$AO416))+1,"")</f>
        <v/>
      </c>
      <c r="AM416">
        <f>IF($C416="","",IF(OR($Q416=TRUE(),$Q416="TRUE"),1,0))</f>
        <v/>
      </c>
      <c r="AN416">
        <f>IF($C416="","",IF($Z416="Yes",1,0))</f>
        <v/>
      </c>
      <c r="AO416">
        <f>IF($AK416=1,IFERROR(IF(VALUE($C416)&lt;100000000,VALUE($C416),1000000000),IFERROR(IF(VALUE(MID($C416,2,20))&lt;100000000,VALUE(MID($C416,2,20)),1000000000),1000000000))+ROW()/100000,"")</f>
        <v/>
      </c>
    </row>
    <row r="417">
      <c r="F417" s="11" t="n"/>
      <c r="N417" s="7">
        <f>IF($C417="","",M417*U417/100)</f>
        <v/>
      </c>
      <c r="T417" s="7" t="n"/>
      <c r="U417" s="7" t="n"/>
      <c r="V417" s="7">
        <f>IF($C417="","",U417*AA417/100)</f>
        <v/>
      </c>
      <c r="W417" s="7">
        <f>IF($C417="","",U417-V417)</f>
        <v/>
      </c>
      <c r="X417" s="7">
        <f>IF($C417="","",W417-N417)</f>
        <v/>
      </c>
      <c r="AA417">
        <f>IF($C417="","",IF($AN417=1,0,IF($AM417=1,Settings!$C$6,Settings!$C$7))*100)</f>
        <v/>
      </c>
      <c r="AE417" s="7" t="n"/>
      <c r="AH417" s="11" t="n"/>
      <c r="AJ417">
        <f>IF($C417="","",$C417&amp;"|"&amp;$D417&amp;"")</f>
        <v/>
      </c>
      <c r="AK417">
        <f>IF($C417="","",IF(COUNTIF($AJ$2:$AJ417,$AJ417)=1,1,0))</f>
        <v/>
      </c>
      <c r="AL417">
        <f>IF($AK417=1,SUMPRODUCT(--($AO$2:$AO$1501&lt;$AO417))+1,"")</f>
        <v/>
      </c>
      <c r="AM417">
        <f>IF($C417="","",IF(OR($Q417=TRUE(),$Q417="TRUE"),1,0))</f>
        <v/>
      </c>
      <c r="AN417">
        <f>IF($C417="","",IF($Z417="Yes",1,0))</f>
        <v/>
      </c>
      <c r="AO417">
        <f>IF($AK417=1,IFERROR(IF(VALUE($C417)&lt;100000000,VALUE($C417),1000000000),IFERROR(IF(VALUE(MID($C417,2,20))&lt;100000000,VALUE(MID($C417,2,20)),1000000000),1000000000))+ROW()/100000,"")</f>
        <v/>
      </c>
    </row>
    <row r="418">
      <c r="F418" s="11" t="n"/>
      <c r="N418" s="7">
        <f>IF($C418="","",M418*U418/100)</f>
        <v/>
      </c>
      <c r="T418" s="7" t="n"/>
      <c r="U418" s="7" t="n"/>
      <c r="V418" s="7">
        <f>IF($C418="","",U418*AA418/100)</f>
        <v/>
      </c>
      <c r="W418" s="7">
        <f>IF($C418="","",U418-V418)</f>
        <v/>
      </c>
      <c r="X418" s="7">
        <f>IF($C418="","",W418-N418)</f>
        <v/>
      </c>
      <c r="AA418">
        <f>IF($C418="","",IF($AN418=1,0,IF($AM418=1,Settings!$C$6,Settings!$C$7))*100)</f>
        <v/>
      </c>
      <c r="AE418" s="7" t="n"/>
      <c r="AH418" s="11" t="n"/>
      <c r="AJ418">
        <f>IF($C418="","",$C418&amp;"|"&amp;$D418&amp;"")</f>
        <v/>
      </c>
      <c r="AK418">
        <f>IF($C418="","",IF(COUNTIF($AJ$2:$AJ418,$AJ418)=1,1,0))</f>
        <v/>
      </c>
      <c r="AL418">
        <f>IF($AK418=1,SUMPRODUCT(--($AO$2:$AO$1501&lt;$AO418))+1,"")</f>
        <v/>
      </c>
      <c r="AM418">
        <f>IF($C418="","",IF(OR($Q418=TRUE(),$Q418="TRUE"),1,0))</f>
        <v/>
      </c>
      <c r="AN418">
        <f>IF($C418="","",IF($Z418="Yes",1,0))</f>
        <v/>
      </c>
      <c r="AO418">
        <f>IF($AK418=1,IFERROR(IF(VALUE($C418)&lt;100000000,VALUE($C418),1000000000),IFERROR(IF(VALUE(MID($C418,2,20))&lt;100000000,VALUE(MID($C418,2,20)),1000000000),1000000000))+ROW()/100000,"")</f>
        <v/>
      </c>
    </row>
    <row r="419">
      <c r="F419" s="11" t="n"/>
      <c r="N419" s="7">
        <f>IF($C419="","",M419*U419/100)</f>
        <v/>
      </c>
      <c r="T419" s="7" t="n"/>
      <c r="U419" s="7" t="n"/>
      <c r="V419" s="7">
        <f>IF($C419="","",U419*AA419/100)</f>
        <v/>
      </c>
      <c r="W419" s="7">
        <f>IF($C419="","",U419-V419)</f>
        <v/>
      </c>
      <c r="X419" s="7">
        <f>IF($C419="","",W419-N419)</f>
        <v/>
      </c>
      <c r="AA419">
        <f>IF($C419="","",IF($AN419=1,0,IF($AM419=1,Settings!$C$6,Settings!$C$7))*100)</f>
        <v/>
      </c>
      <c r="AE419" s="7" t="n"/>
      <c r="AH419" s="11" t="n"/>
      <c r="AJ419">
        <f>IF($C419="","",$C419&amp;"|"&amp;$D419&amp;"")</f>
        <v/>
      </c>
      <c r="AK419">
        <f>IF($C419="","",IF(COUNTIF($AJ$2:$AJ419,$AJ419)=1,1,0))</f>
        <v/>
      </c>
      <c r="AL419">
        <f>IF($AK419=1,SUMPRODUCT(--($AO$2:$AO$1501&lt;$AO419))+1,"")</f>
        <v/>
      </c>
      <c r="AM419">
        <f>IF($C419="","",IF(OR($Q419=TRUE(),$Q419="TRUE"),1,0))</f>
        <v/>
      </c>
      <c r="AN419">
        <f>IF($C419="","",IF($Z419="Yes",1,0))</f>
        <v/>
      </c>
      <c r="AO419">
        <f>IF($AK419=1,IFERROR(IF(VALUE($C419)&lt;100000000,VALUE($C419),1000000000),IFERROR(IF(VALUE(MID($C419,2,20))&lt;100000000,VALUE(MID($C419,2,20)),1000000000),1000000000))+ROW()/100000,"")</f>
        <v/>
      </c>
    </row>
    <row r="420">
      <c r="F420" s="11" t="n"/>
      <c r="N420" s="7">
        <f>IF($C420="","",M420*U420/100)</f>
        <v/>
      </c>
      <c r="T420" s="7" t="n"/>
      <c r="U420" s="7" t="n"/>
      <c r="V420" s="7">
        <f>IF($C420="","",U420*AA420/100)</f>
        <v/>
      </c>
      <c r="W420" s="7">
        <f>IF($C420="","",U420-V420)</f>
        <v/>
      </c>
      <c r="X420" s="7">
        <f>IF($C420="","",W420-N420)</f>
        <v/>
      </c>
      <c r="AA420">
        <f>IF($C420="","",IF($AN420=1,0,IF($AM420=1,Settings!$C$6,Settings!$C$7))*100)</f>
        <v/>
      </c>
      <c r="AE420" s="7" t="n"/>
      <c r="AH420" s="11" t="n"/>
      <c r="AJ420">
        <f>IF($C420="","",$C420&amp;"|"&amp;$D420&amp;"")</f>
        <v/>
      </c>
      <c r="AK420">
        <f>IF($C420="","",IF(COUNTIF($AJ$2:$AJ420,$AJ420)=1,1,0))</f>
        <v/>
      </c>
      <c r="AL420">
        <f>IF($AK420=1,SUMPRODUCT(--($AO$2:$AO$1501&lt;$AO420))+1,"")</f>
        <v/>
      </c>
      <c r="AM420">
        <f>IF($C420="","",IF(OR($Q420=TRUE(),$Q420="TRUE"),1,0))</f>
        <v/>
      </c>
      <c r="AN420">
        <f>IF($C420="","",IF($Z420="Yes",1,0))</f>
        <v/>
      </c>
      <c r="AO420">
        <f>IF($AK420=1,IFERROR(IF(VALUE($C420)&lt;100000000,VALUE($C420),1000000000),IFERROR(IF(VALUE(MID($C420,2,20))&lt;100000000,VALUE(MID($C420,2,20)),1000000000),1000000000))+ROW()/100000,"")</f>
        <v/>
      </c>
    </row>
    <row r="421">
      <c r="F421" s="11" t="n"/>
      <c r="N421" s="7">
        <f>IF($C421="","",M421*U421/100)</f>
        <v/>
      </c>
      <c r="T421" s="7" t="n"/>
      <c r="U421" s="7" t="n"/>
      <c r="V421" s="7">
        <f>IF($C421="","",U421*AA421/100)</f>
        <v/>
      </c>
      <c r="W421" s="7">
        <f>IF($C421="","",U421-V421)</f>
        <v/>
      </c>
      <c r="X421" s="7">
        <f>IF($C421="","",W421-N421)</f>
        <v/>
      </c>
      <c r="AA421">
        <f>IF($C421="","",IF($AN421=1,0,IF($AM421=1,Settings!$C$6,Settings!$C$7))*100)</f>
        <v/>
      </c>
      <c r="AE421" s="7" t="n"/>
      <c r="AH421" s="11" t="n"/>
      <c r="AJ421">
        <f>IF($C421="","",$C421&amp;"|"&amp;$D421&amp;"")</f>
        <v/>
      </c>
      <c r="AK421">
        <f>IF($C421="","",IF(COUNTIF($AJ$2:$AJ421,$AJ421)=1,1,0))</f>
        <v/>
      </c>
      <c r="AL421">
        <f>IF($AK421=1,SUMPRODUCT(--($AO$2:$AO$1501&lt;$AO421))+1,"")</f>
        <v/>
      </c>
      <c r="AM421">
        <f>IF($C421="","",IF(OR($Q421=TRUE(),$Q421="TRUE"),1,0))</f>
        <v/>
      </c>
      <c r="AN421">
        <f>IF($C421="","",IF($Z421="Yes",1,0))</f>
        <v/>
      </c>
      <c r="AO421">
        <f>IF($AK421=1,IFERROR(IF(VALUE($C421)&lt;100000000,VALUE($C421),1000000000),IFERROR(IF(VALUE(MID($C421,2,20))&lt;100000000,VALUE(MID($C421,2,20)),1000000000),1000000000))+ROW()/100000,"")</f>
        <v/>
      </c>
    </row>
    <row r="422">
      <c r="F422" s="11" t="n"/>
      <c r="N422" s="7">
        <f>IF($C422="","",M422*U422/100)</f>
        <v/>
      </c>
      <c r="T422" s="7" t="n"/>
      <c r="U422" s="7" t="n"/>
      <c r="V422" s="7">
        <f>IF($C422="","",U422*AA422/100)</f>
        <v/>
      </c>
      <c r="W422" s="7">
        <f>IF($C422="","",U422-V422)</f>
        <v/>
      </c>
      <c r="X422" s="7">
        <f>IF($C422="","",W422-N422)</f>
        <v/>
      </c>
      <c r="AA422">
        <f>IF($C422="","",IF($AN422=1,0,IF($AM422=1,Settings!$C$6,Settings!$C$7))*100)</f>
        <v/>
      </c>
      <c r="AE422" s="7" t="n"/>
      <c r="AH422" s="11" t="n"/>
      <c r="AJ422">
        <f>IF($C422="","",$C422&amp;"|"&amp;$D422&amp;"")</f>
        <v/>
      </c>
      <c r="AK422">
        <f>IF($C422="","",IF(COUNTIF($AJ$2:$AJ422,$AJ422)=1,1,0))</f>
        <v/>
      </c>
      <c r="AL422">
        <f>IF($AK422=1,SUMPRODUCT(--($AO$2:$AO$1501&lt;$AO422))+1,"")</f>
        <v/>
      </c>
      <c r="AM422">
        <f>IF($C422="","",IF(OR($Q422=TRUE(),$Q422="TRUE"),1,0))</f>
        <v/>
      </c>
      <c r="AN422">
        <f>IF($C422="","",IF($Z422="Yes",1,0))</f>
        <v/>
      </c>
      <c r="AO422">
        <f>IF($AK422=1,IFERROR(IF(VALUE($C422)&lt;100000000,VALUE($C422),1000000000),IFERROR(IF(VALUE(MID($C422,2,20))&lt;100000000,VALUE(MID($C422,2,20)),1000000000),1000000000))+ROW()/100000,"")</f>
        <v/>
      </c>
    </row>
    <row r="423">
      <c r="F423" s="11" t="n"/>
      <c r="N423" s="7">
        <f>IF($C423="","",M423*U423/100)</f>
        <v/>
      </c>
      <c r="T423" s="7" t="n"/>
      <c r="U423" s="7" t="n"/>
      <c r="V423" s="7">
        <f>IF($C423="","",U423*AA423/100)</f>
        <v/>
      </c>
      <c r="W423" s="7">
        <f>IF($C423="","",U423-V423)</f>
        <v/>
      </c>
      <c r="X423" s="7">
        <f>IF($C423="","",W423-N423)</f>
        <v/>
      </c>
      <c r="AA423">
        <f>IF($C423="","",IF($AN423=1,0,IF($AM423=1,Settings!$C$6,Settings!$C$7))*100)</f>
        <v/>
      </c>
      <c r="AE423" s="7" t="n"/>
      <c r="AH423" s="11" t="n"/>
      <c r="AJ423">
        <f>IF($C423="","",$C423&amp;"|"&amp;$D423&amp;"")</f>
        <v/>
      </c>
      <c r="AK423">
        <f>IF($C423="","",IF(COUNTIF($AJ$2:$AJ423,$AJ423)=1,1,0))</f>
        <v/>
      </c>
      <c r="AL423">
        <f>IF($AK423=1,SUMPRODUCT(--($AO$2:$AO$1501&lt;$AO423))+1,"")</f>
        <v/>
      </c>
      <c r="AM423">
        <f>IF($C423="","",IF(OR($Q423=TRUE(),$Q423="TRUE"),1,0))</f>
        <v/>
      </c>
      <c r="AN423">
        <f>IF($C423="","",IF($Z423="Yes",1,0))</f>
        <v/>
      </c>
      <c r="AO423">
        <f>IF($AK423=1,IFERROR(IF(VALUE($C423)&lt;100000000,VALUE($C423),1000000000),IFERROR(IF(VALUE(MID($C423,2,20))&lt;100000000,VALUE(MID($C423,2,20)),1000000000),1000000000))+ROW()/100000,"")</f>
        <v/>
      </c>
    </row>
    <row r="424">
      <c r="F424" s="11" t="n"/>
      <c r="N424" s="7">
        <f>IF($C424="","",M424*U424/100)</f>
        <v/>
      </c>
      <c r="T424" s="7" t="n"/>
      <c r="U424" s="7" t="n"/>
      <c r="V424" s="7">
        <f>IF($C424="","",U424*AA424/100)</f>
        <v/>
      </c>
      <c r="W424" s="7">
        <f>IF($C424="","",U424-V424)</f>
        <v/>
      </c>
      <c r="X424" s="7">
        <f>IF($C424="","",W424-N424)</f>
        <v/>
      </c>
      <c r="AA424">
        <f>IF($C424="","",IF($AN424=1,0,IF($AM424=1,Settings!$C$6,Settings!$C$7))*100)</f>
        <v/>
      </c>
      <c r="AE424" s="7" t="n"/>
      <c r="AH424" s="11" t="n"/>
      <c r="AJ424">
        <f>IF($C424="","",$C424&amp;"|"&amp;$D424&amp;"")</f>
        <v/>
      </c>
      <c r="AK424">
        <f>IF($C424="","",IF(COUNTIF($AJ$2:$AJ424,$AJ424)=1,1,0))</f>
        <v/>
      </c>
      <c r="AL424">
        <f>IF($AK424=1,SUMPRODUCT(--($AO$2:$AO$1501&lt;$AO424))+1,"")</f>
        <v/>
      </c>
      <c r="AM424">
        <f>IF($C424="","",IF(OR($Q424=TRUE(),$Q424="TRUE"),1,0))</f>
        <v/>
      </c>
      <c r="AN424">
        <f>IF($C424="","",IF($Z424="Yes",1,0))</f>
        <v/>
      </c>
      <c r="AO424">
        <f>IF($AK424=1,IFERROR(IF(VALUE($C424)&lt;100000000,VALUE($C424),1000000000),IFERROR(IF(VALUE(MID($C424,2,20))&lt;100000000,VALUE(MID($C424,2,20)),1000000000),1000000000))+ROW()/100000,"")</f>
        <v/>
      </c>
    </row>
    <row r="425">
      <c r="F425" s="11" t="n"/>
      <c r="N425" s="7">
        <f>IF($C425="","",M425*U425/100)</f>
        <v/>
      </c>
      <c r="T425" s="7" t="n"/>
      <c r="U425" s="7" t="n"/>
      <c r="V425" s="7">
        <f>IF($C425="","",U425*AA425/100)</f>
        <v/>
      </c>
      <c r="W425" s="7">
        <f>IF($C425="","",U425-V425)</f>
        <v/>
      </c>
      <c r="X425" s="7">
        <f>IF($C425="","",W425-N425)</f>
        <v/>
      </c>
      <c r="AA425">
        <f>IF($C425="","",IF($AN425=1,0,IF($AM425=1,Settings!$C$6,Settings!$C$7))*100)</f>
        <v/>
      </c>
      <c r="AE425" s="7" t="n"/>
      <c r="AH425" s="11" t="n"/>
      <c r="AJ425">
        <f>IF($C425="","",$C425&amp;"|"&amp;$D425&amp;"")</f>
        <v/>
      </c>
      <c r="AK425">
        <f>IF($C425="","",IF(COUNTIF($AJ$2:$AJ425,$AJ425)=1,1,0))</f>
        <v/>
      </c>
      <c r="AL425">
        <f>IF($AK425=1,SUMPRODUCT(--($AO$2:$AO$1501&lt;$AO425))+1,"")</f>
        <v/>
      </c>
      <c r="AM425">
        <f>IF($C425="","",IF(OR($Q425=TRUE(),$Q425="TRUE"),1,0))</f>
        <v/>
      </c>
      <c r="AN425">
        <f>IF($C425="","",IF($Z425="Yes",1,0))</f>
        <v/>
      </c>
      <c r="AO425">
        <f>IF($AK425=1,IFERROR(IF(VALUE($C425)&lt;100000000,VALUE($C425),1000000000),IFERROR(IF(VALUE(MID($C425,2,20))&lt;100000000,VALUE(MID($C425,2,20)),1000000000),1000000000))+ROW()/100000,"")</f>
        <v/>
      </c>
    </row>
    <row r="426">
      <c r="F426" s="11" t="n"/>
      <c r="N426" s="7">
        <f>IF($C426="","",M426*U426/100)</f>
        <v/>
      </c>
      <c r="T426" s="7" t="n"/>
      <c r="U426" s="7" t="n"/>
      <c r="V426" s="7">
        <f>IF($C426="","",U426*AA426/100)</f>
        <v/>
      </c>
      <c r="W426" s="7">
        <f>IF($C426="","",U426-V426)</f>
        <v/>
      </c>
      <c r="X426" s="7">
        <f>IF($C426="","",W426-N426)</f>
        <v/>
      </c>
      <c r="AA426">
        <f>IF($C426="","",IF($AN426=1,0,IF($AM426=1,Settings!$C$6,Settings!$C$7))*100)</f>
        <v/>
      </c>
      <c r="AE426" s="7" t="n"/>
      <c r="AH426" s="11" t="n"/>
      <c r="AJ426">
        <f>IF($C426="","",$C426&amp;"|"&amp;$D426&amp;"")</f>
        <v/>
      </c>
      <c r="AK426">
        <f>IF($C426="","",IF(COUNTIF($AJ$2:$AJ426,$AJ426)=1,1,0))</f>
        <v/>
      </c>
      <c r="AL426">
        <f>IF($AK426=1,SUMPRODUCT(--($AO$2:$AO$1501&lt;$AO426))+1,"")</f>
        <v/>
      </c>
      <c r="AM426">
        <f>IF($C426="","",IF(OR($Q426=TRUE(),$Q426="TRUE"),1,0))</f>
        <v/>
      </c>
      <c r="AN426">
        <f>IF($C426="","",IF($Z426="Yes",1,0))</f>
        <v/>
      </c>
      <c r="AO426">
        <f>IF($AK426=1,IFERROR(IF(VALUE($C426)&lt;100000000,VALUE($C426),1000000000),IFERROR(IF(VALUE(MID($C426,2,20))&lt;100000000,VALUE(MID($C426,2,20)),1000000000),1000000000))+ROW()/100000,"")</f>
        <v/>
      </c>
    </row>
    <row r="427">
      <c r="F427" s="11" t="n"/>
      <c r="N427" s="7">
        <f>IF($C427="","",M427*U427/100)</f>
        <v/>
      </c>
      <c r="T427" s="7" t="n"/>
      <c r="U427" s="7" t="n"/>
      <c r="V427" s="7">
        <f>IF($C427="","",U427*AA427/100)</f>
        <v/>
      </c>
      <c r="W427" s="7">
        <f>IF($C427="","",U427-V427)</f>
        <v/>
      </c>
      <c r="X427" s="7">
        <f>IF($C427="","",W427-N427)</f>
        <v/>
      </c>
      <c r="AA427">
        <f>IF($C427="","",IF($AN427=1,0,IF($AM427=1,Settings!$C$6,Settings!$C$7))*100)</f>
        <v/>
      </c>
      <c r="AE427" s="7" t="n"/>
      <c r="AH427" s="11" t="n"/>
      <c r="AJ427">
        <f>IF($C427="","",$C427&amp;"|"&amp;$D427&amp;"")</f>
        <v/>
      </c>
      <c r="AK427">
        <f>IF($C427="","",IF(COUNTIF($AJ$2:$AJ427,$AJ427)=1,1,0))</f>
        <v/>
      </c>
      <c r="AL427">
        <f>IF($AK427=1,SUMPRODUCT(--($AO$2:$AO$1501&lt;$AO427))+1,"")</f>
        <v/>
      </c>
      <c r="AM427">
        <f>IF($C427="","",IF(OR($Q427=TRUE(),$Q427="TRUE"),1,0))</f>
        <v/>
      </c>
      <c r="AN427">
        <f>IF($C427="","",IF($Z427="Yes",1,0))</f>
        <v/>
      </c>
      <c r="AO427">
        <f>IF($AK427=1,IFERROR(IF(VALUE($C427)&lt;100000000,VALUE($C427),1000000000),IFERROR(IF(VALUE(MID($C427,2,20))&lt;100000000,VALUE(MID($C427,2,20)),1000000000),1000000000))+ROW()/100000,"")</f>
        <v/>
      </c>
    </row>
    <row r="428">
      <c r="F428" s="11" t="n"/>
      <c r="N428" s="7">
        <f>IF($C428="","",M428*U428/100)</f>
        <v/>
      </c>
      <c r="T428" s="7" t="n"/>
      <c r="U428" s="7" t="n"/>
      <c r="V428" s="7">
        <f>IF($C428="","",U428*AA428/100)</f>
        <v/>
      </c>
      <c r="W428" s="7">
        <f>IF($C428="","",U428-V428)</f>
        <v/>
      </c>
      <c r="X428" s="7">
        <f>IF($C428="","",W428-N428)</f>
        <v/>
      </c>
      <c r="AA428">
        <f>IF($C428="","",IF($AN428=1,0,IF($AM428=1,Settings!$C$6,Settings!$C$7))*100)</f>
        <v/>
      </c>
      <c r="AE428" s="7" t="n"/>
      <c r="AH428" s="11" t="n"/>
      <c r="AJ428">
        <f>IF($C428="","",$C428&amp;"|"&amp;$D428&amp;"")</f>
        <v/>
      </c>
      <c r="AK428">
        <f>IF($C428="","",IF(COUNTIF($AJ$2:$AJ428,$AJ428)=1,1,0))</f>
        <v/>
      </c>
      <c r="AL428">
        <f>IF($AK428=1,SUMPRODUCT(--($AO$2:$AO$1501&lt;$AO428))+1,"")</f>
        <v/>
      </c>
      <c r="AM428">
        <f>IF($C428="","",IF(OR($Q428=TRUE(),$Q428="TRUE"),1,0))</f>
        <v/>
      </c>
      <c r="AN428">
        <f>IF($C428="","",IF($Z428="Yes",1,0))</f>
        <v/>
      </c>
      <c r="AO428">
        <f>IF($AK428=1,IFERROR(IF(VALUE($C428)&lt;100000000,VALUE($C428),1000000000),IFERROR(IF(VALUE(MID($C428,2,20))&lt;100000000,VALUE(MID($C428,2,20)),1000000000),1000000000))+ROW()/100000,"")</f>
        <v/>
      </c>
    </row>
    <row r="429">
      <c r="F429" s="11" t="n"/>
      <c r="N429" s="7">
        <f>IF($C429="","",M429*U429/100)</f>
        <v/>
      </c>
      <c r="T429" s="7" t="n"/>
      <c r="U429" s="7" t="n"/>
      <c r="V429" s="7">
        <f>IF($C429="","",U429*AA429/100)</f>
        <v/>
      </c>
      <c r="W429" s="7">
        <f>IF($C429="","",U429-V429)</f>
        <v/>
      </c>
      <c r="X429" s="7">
        <f>IF($C429="","",W429-N429)</f>
        <v/>
      </c>
      <c r="AA429">
        <f>IF($C429="","",IF($AN429=1,0,IF($AM429=1,Settings!$C$6,Settings!$C$7))*100)</f>
        <v/>
      </c>
      <c r="AE429" s="7" t="n"/>
      <c r="AH429" s="11" t="n"/>
      <c r="AJ429">
        <f>IF($C429="","",$C429&amp;"|"&amp;$D429&amp;"")</f>
        <v/>
      </c>
      <c r="AK429">
        <f>IF($C429="","",IF(COUNTIF($AJ$2:$AJ429,$AJ429)=1,1,0))</f>
        <v/>
      </c>
      <c r="AL429">
        <f>IF($AK429=1,SUMPRODUCT(--($AO$2:$AO$1501&lt;$AO429))+1,"")</f>
        <v/>
      </c>
      <c r="AM429">
        <f>IF($C429="","",IF(OR($Q429=TRUE(),$Q429="TRUE"),1,0))</f>
        <v/>
      </c>
      <c r="AN429">
        <f>IF($C429="","",IF($Z429="Yes",1,0))</f>
        <v/>
      </c>
      <c r="AO429">
        <f>IF($AK429=1,IFERROR(IF(VALUE($C429)&lt;100000000,VALUE($C429),1000000000),IFERROR(IF(VALUE(MID($C429,2,20))&lt;100000000,VALUE(MID($C429,2,20)),1000000000),1000000000))+ROW()/100000,"")</f>
        <v/>
      </c>
    </row>
    <row r="430">
      <c r="F430" s="11" t="n"/>
      <c r="N430" s="7">
        <f>IF($C430="","",M430*U430/100)</f>
        <v/>
      </c>
      <c r="T430" s="7" t="n"/>
      <c r="U430" s="7" t="n"/>
      <c r="V430" s="7">
        <f>IF($C430="","",U430*AA430/100)</f>
        <v/>
      </c>
      <c r="W430" s="7">
        <f>IF($C430="","",U430-V430)</f>
        <v/>
      </c>
      <c r="X430" s="7">
        <f>IF($C430="","",W430-N430)</f>
        <v/>
      </c>
      <c r="AA430">
        <f>IF($C430="","",IF($AN430=1,0,IF($AM430=1,Settings!$C$6,Settings!$C$7))*100)</f>
        <v/>
      </c>
      <c r="AE430" s="7" t="n"/>
      <c r="AH430" s="11" t="n"/>
      <c r="AJ430">
        <f>IF($C430="","",$C430&amp;"|"&amp;$D430&amp;"")</f>
        <v/>
      </c>
      <c r="AK430">
        <f>IF($C430="","",IF(COUNTIF($AJ$2:$AJ430,$AJ430)=1,1,0))</f>
        <v/>
      </c>
      <c r="AL430">
        <f>IF($AK430=1,SUMPRODUCT(--($AO$2:$AO$1501&lt;$AO430))+1,"")</f>
        <v/>
      </c>
      <c r="AM430">
        <f>IF($C430="","",IF(OR($Q430=TRUE(),$Q430="TRUE"),1,0))</f>
        <v/>
      </c>
      <c r="AN430">
        <f>IF($C430="","",IF($Z430="Yes",1,0))</f>
        <v/>
      </c>
      <c r="AO430">
        <f>IF($AK430=1,IFERROR(IF(VALUE($C430)&lt;100000000,VALUE($C430),1000000000),IFERROR(IF(VALUE(MID($C430,2,20))&lt;100000000,VALUE(MID($C430,2,20)),1000000000),1000000000))+ROW()/100000,"")</f>
        <v/>
      </c>
    </row>
    <row r="431">
      <c r="F431" s="11" t="n"/>
      <c r="N431" s="7">
        <f>IF($C431="","",M431*U431/100)</f>
        <v/>
      </c>
      <c r="T431" s="7" t="n"/>
      <c r="U431" s="7" t="n"/>
      <c r="V431" s="7">
        <f>IF($C431="","",U431*AA431/100)</f>
        <v/>
      </c>
      <c r="W431" s="7">
        <f>IF($C431="","",U431-V431)</f>
        <v/>
      </c>
      <c r="X431" s="7">
        <f>IF($C431="","",W431-N431)</f>
        <v/>
      </c>
      <c r="AA431">
        <f>IF($C431="","",IF($AN431=1,0,IF($AM431=1,Settings!$C$6,Settings!$C$7))*100)</f>
        <v/>
      </c>
      <c r="AE431" s="7" t="n"/>
      <c r="AH431" s="11" t="n"/>
      <c r="AJ431">
        <f>IF($C431="","",$C431&amp;"|"&amp;$D431&amp;"")</f>
        <v/>
      </c>
      <c r="AK431">
        <f>IF($C431="","",IF(COUNTIF($AJ$2:$AJ431,$AJ431)=1,1,0))</f>
        <v/>
      </c>
      <c r="AL431">
        <f>IF($AK431=1,SUMPRODUCT(--($AO$2:$AO$1501&lt;$AO431))+1,"")</f>
        <v/>
      </c>
      <c r="AM431">
        <f>IF($C431="","",IF(OR($Q431=TRUE(),$Q431="TRUE"),1,0))</f>
        <v/>
      </c>
      <c r="AN431">
        <f>IF($C431="","",IF($Z431="Yes",1,0))</f>
        <v/>
      </c>
      <c r="AO431">
        <f>IF($AK431=1,IFERROR(IF(VALUE($C431)&lt;100000000,VALUE($C431),1000000000),IFERROR(IF(VALUE(MID($C431,2,20))&lt;100000000,VALUE(MID($C431,2,20)),1000000000),1000000000))+ROW()/100000,"")</f>
        <v/>
      </c>
    </row>
    <row r="432">
      <c r="F432" s="11" t="n"/>
      <c r="N432" s="7">
        <f>IF($C432="","",M432*U432/100)</f>
        <v/>
      </c>
      <c r="T432" s="7" t="n"/>
      <c r="U432" s="7" t="n"/>
      <c r="V432" s="7">
        <f>IF($C432="","",U432*AA432/100)</f>
        <v/>
      </c>
      <c r="W432" s="7">
        <f>IF($C432="","",U432-V432)</f>
        <v/>
      </c>
      <c r="X432" s="7">
        <f>IF($C432="","",W432-N432)</f>
        <v/>
      </c>
      <c r="AA432">
        <f>IF($C432="","",IF($AN432=1,0,IF($AM432=1,Settings!$C$6,Settings!$C$7))*100)</f>
        <v/>
      </c>
      <c r="AE432" s="7" t="n"/>
      <c r="AH432" s="11" t="n"/>
      <c r="AJ432">
        <f>IF($C432="","",$C432&amp;"|"&amp;$D432&amp;"")</f>
        <v/>
      </c>
      <c r="AK432">
        <f>IF($C432="","",IF(COUNTIF($AJ$2:$AJ432,$AJ432)=1,1,0))</f>
        <v/>
      </c>
      <c r="AL432">
        <f>IF($AK432=1,SUMPRODUCT(--($AO$2:$AO$1501&lt;$AO432))+1,"")</f>
        <v/>
      </c>
      <c r="AM432">
        <f>IF($C432="","",IF(OR($Q432=TRUE(),$Q432="TRUE"),1,0))</f>
        <v/>
      </c>
      <c r="AN432">
        <f>IF($C432="","",IF($Z432="Yes",1,0))</f>
        <v/>
      </c>
      <c r="AO432">
        <f>IF($AK432=1,IFERROR(IF(VALUE($C432)&lt;100000000,VALUE($C432),1000000000),IFERROR(IF(VALUE(MID($C432,2,20))&lt;100000000,VALUE(MID($C432,2,20)),1000000000),1000000000))+ROW()/100000,"")</f>
        <v/>
      </c>
    </row>
    <row r="433">
      <c r="F433" s="11" t="n"/>
      <c r="N433" s="7">
        <f>IF($C433="","",M433*U433/100)</f>
        <v/>
      </c>
      <c r="T433" s="7" t="n"/>
      <c r="U433" s="7" t="n"/>
      <c r="V433" s="7">
        <f>IF($C433="","",U433*AA433/100)</f>
        <v/>
      </c>
      <c r="W433" s="7">
        <f>IF($C433="","",U433-V433)</f>
        <v/>
      </c>
      <c r="X433" s="7">
        <f>IF($C433="","",W433-N433)</f>
        <v/>
      </c>
      <c r="AA433">
        <f>IF($C433="","",IF($AN433=1,0,IF($AM433=1,Settings!$C$6,Settings!$C$7))*100)</f>
        <v/>
      </c>
      <c r="AE433" s="7" t="n"/>
      <c r="AH433" s="11" t="n"/>
      <c r="AJ433">
        <f>IF($C433="","",$C433&amp;"|"&amp;$D433&amp;"")</f>
        <v/>
      </c>
      <c r="AK433">
        <f>IF($C433="","",IF(COUNTIF($AJ$2:$AJ433,$AJ433)=1,1,0))</f>
        <v/>
      </c>
      <c r="AL433">
        <f>IF($AK433=1,SUMPRODUCT(--($AO$2:$AO$1501&lt;$AO433))+1,"")</f>
        <v/>
      </c>
      <c r="AM433">
        <f>IF($C433="","",IF(OR($Q433=TRUE(),$Q433="TRUE"),1,0))</f>
        <v/>
      </c>
      <c r="AN433">
        <f>IF($C433="","",IF($Z433="Yes",1,0))</f>
        <v/>
      </c>
      <c r="AO433">
        <f>IF($AK433=1,IFERROR(IF(VALUE($C433)&lt;100000000,VALUE($C433),1000000000),IFERROR(IF(VALUE(MID($C433,2,20))&lt;100000000,VALUE(MID($C433,2,20)),1000000000),1000000000))+ROW()/100000,"")</f>
        <v/>
      </c>
    </row>
    <row r="434">
      <c r="F434" s="11" t="n"/>
      <c r="N434" s="7">
        <f>IF($C434="","",M434*U434/100)</f>
        <v/>
      </c>
      <c r="T434" s="7" t="n"/>
      <c r="U434" s="7" t="n"/>
      <c r="V434" s="7">
        <f>IF($C434="","",U434*AA434/100)</f>
        <v/>
      </c>
      <c r="W434" s="7">
        <f>IF($C434="","",U434-V434)</f>
        <v/>
      </c>
      <c r="X434" s="7">
        <f>IF($C434="","",W434-N434)</f>
        <v/>
      </c>
      <c r="AA434">
        <f>IF($C434="","",IF($AN434=1,0,IF($AM434=1,Settings!$C$6,Settings!$C$7))*100)</f>
        <v/>
      </c>
      <c r="AE434" s="7" t="n"/>
      <c r="AH434" s="11" t="n"/>
      <c r="AJ434">
        <f>IF($C434="","",$C434&amp;"|"&amp;$D434&amp;"")</f>
        <v/>
      </c>
      <c r="AK434">
        <f>IF($C434="","",IF(COUNTIF($AJ$2:$AJ434,$AJ434)=1,1,0))</f>
        <v/>
      </c>
      <c r="AL434">
        <f>IF($AK434=1,SUMPRODUCT(--($AO$2:$AO$1501&lt;$AO434))+1,"")</f>
        <v/>
      </c>
      <c r="AM434">
        <f>IF($C434="","",IF(OR($Q434=TRUE(),$Q434="TRUE"),1,0))</f>
        <v/>
      </c>
      <c r="AN434">
        <f>IF($C434="","",IF($Z434="Yes",1,0))</f>
        <v/>
      </c>
      <c r="AO434">
        <f>IF($AK434=1,IFERROR(IF(VALUE($C434)&lt;100000000,VALUE($C434),1000000000),IFERROR(IF(VALUE(MID($C434,2,20))&lt;100000000,VALUE(MID($C434,2,20)),1000000000),1000000000))+ROW()/100000,"")</f>
        <v/>
      </c>
    </row>
    <row r="435">
      <c r="F435" s="11" t="n"/>
      <c r="N435" s="7">
        <f>IF($C435="","",M435*U435/100)</f>
        <v/>
      </c>
      <c r="T435" s="7" t="n"/>
      <c r="U435" s="7" t="n"/>
      <c r="V435" s="7">
        <f>IF($C435="","",U435*AA435/100)</f>
        <v/>
      </c>
      <c r="W435" s="7">
        <f>IF($C435="","",U435-V435)</f>
        <v/>
      </c>
      <c r="X435" s="7">
        <f>IF($C435="","",W435-N435)</f>
        <v/>
      </c>
      <c r="AA435">
        <f>IF($C435="","",IF($AN435=1,0,IF($AM435=1,Settings!$C$6,Settings!$C$7))*100)</f>
        <v/>
      </c>
      <c r="AE435" s="7" t="n"/>
      <c r="AH435" s="11" t="n"/>
      <c r="AJ435">
        <f>IF($C435="","",$C435&amp;"|"&amp;$D435&amp;"")</f>
        <v/>
      </c>
      <c r="AK435">
        <f>IF($C435="","",IF(COUNTIF($AJ$2:$AJ435,$AJ435)=1,1,0))</f>
        <v/>
      </c>
      <c r="AL435">
        <f>IF($AK435=1,SUMPRODUCT(--($AO$2:$AO$1501&lt;$AO435))+1,"")</f>
        <v/>
      </c>
      <c r="AM435">
        <f>IF($C435="","",IF(OR($Q435=TRUE(),$Q435="TRUE"),1,0))</f>
        <v/>
      </c>
      <c r="AN435">
        <f>IF($C435="","",IF($Z435="Yes",1,0))</f>
        <v/>
      </c>
      <c r="AO435">
        <f>IF($AK435=1,IFERROR(IF(VALUE($C435)&lt;100000000,VALUE($C435),1000000000),IFERROR(IF(VALUE(MID($C435,2,20))&lt;100000000,VALUE(MID($C435,2,20)),1000000000),1000000000))+ROW()/100000,"")</f>
        <v/>
      </c>
    </row>
    <row r="436">
      <c r="F436" s="11" t="n"/>
      <c r="N436" s="7">
        <f>IF($C436="","",M436*U436/100)</f>
        <v/>
      </c>
      <c r="T436" s="7" t="n"/>
      <c r="U436" s="7" t="n"/>
      <c r="V436" s="7">
        <f>IF($C436="","",U436*AA436/100)</f>
        <v/>
      </c>
      <c r="W436" s="7">
        <f>IF($C436="","",U436-V436)</f>
        <v/>
      </c>
      <c r="X436" s="7">
        <f>IF($C436="","",W436-N436)</f>
        <v/>
      </c>
      <c r="AA436">
        <f>IF($C436="","",IF($AN436=1,0,IF($AM436=1,Settings!$C$6,Settings!$C$7))*100)</f>
        <v/>
      </c>
      <c r="AE436" s="7" t="n"/>
      <c r="AH436" s="11" t="n"/>
      <c r="AJ436">
        <f>IF($C436="","",$C436&amp;"|"&amp;$D436&amp;"")</f>
        <v/>
      </c>
      <c r="AK436">
        <f>IF($C436="","",IF(COUNTIF($AJ$2:$AJ436,$AJ436)=1,1,0))</f>
        <v/>
      </c>
      <c r="AL436">
        <f>IF($AK436=1,SUMPRODUCT(--($AO$2:$AO$1501&lt;$AO436))+1,"")</f>
        <v/>
      </c>
      <c r="AM436">
        <f>IF($C436="","",IF(OR($Q436=TRUE(),$Q436="TRUE"),1,0))</f>
        <v/>
      </c>
      <c r="AN436">
        <f>IF($C436="","",IF($Z436="Yes",1,0))</f>
        <v/>
      </c>
      <c r="AO436">
        <f>IF($AK436=1,IFERROR(IF(VALUE($C436)&lt;100000000,VALUE($C436),1000000000),IFERROR(IF(VALUE(MID($C436,2,20))&lt;100000000,VALUE(MID($C436,2,20)),1000000000),1000000000))+ROW()/100000,"")</f>
        <v/>
      </c>
    </row>
    <row r="437">
      <c r="F437" s="11" t="n"/>
      <c r="N437" s="7">
        <f>IF($C437="","",M437*U437/100)</f>
        <v/>
      </c>
      <c r="T437" s="7" t="n"/>
      <c r="U437" s="7" t="n"/>
      <c r="V437" s="7">
        <f>IF($C437="","",U437*AA437/100)</f>
        <v/>
      </c>
      <c r="W437" s="7">
        <f>IF($C437="","",U437-V437)</f>
        <v/>
      </c>
      <c r="X437" s="7">
        <f>IF($C437="","",W437-N437)</f>
        <v/>
      </c>
      <c r="AA437">
        <f>IF($C437="","",IF($AN437=1,0,IF($AM437=1,Settings!$C$6,Settings!$C$7))*100)</f>
        <v/>
      </c>
      <c r="AE437" s="7" t="n"/>
      <c r="AH437" s="11" t="n"/>
      <c r="AJ437">
        <f>IF($C437="","",$C437&amp;"|"&amp;$D437&amp;"")</f>
        <v/>
      </c>
      <c r="AK437">
        <f>IF($C437="","",IF(COUNTIF($AJ$2:$AJ437,$AJ437)=1,1,0))</f>
        <v/>
      </c>
      <c r="AL437">
        <f>IF($AK437=1,SUMPRODUCT(--($AO$2:$AO$1501&lt;$AO437))+1,"")</f>
        <v/>
      </c>
      <c r="AM437">
        <f>IF($C437="","",IF(OR($Q437=TRUE(),$Q437="TRUE"),1,0))</f>
        <v/>
      </c>
      <c r="AN437">
        <f>IF($C437="","",IF($Z437="Yes",1,0))</f>
        <v/>
      </c>
      <c r="AO437">
        <f>IF($AK437=1,IFERROR(IF(VALUE($C437)&lt;100000000,VALUE($C437),1000000000),IFERROR(IF(VALUE(MID($C437,2,20))&lt;100000000,VALUE(MID($C437,2,20)),1000000000),1000000000))+ROW()/100000,"")</f>
        <v/>
      </c>
    </row>
    <row r="438">
      <c r="F438" s="11" t="n"/>
      <c r="N438" s="7">
        <f>IF($C438="","",M438*U438/100)</f>
        <v/>
      </c>
      <c r="T438" s="7" t="n"/>
      <c r="U438" s="7" t="n"/>
      <c r="V438" s="7">
        <f>IF($C438="","",U438*AA438/100)</f>
        <v/>
      </c>
      <c r="W438" s="7">
        <f>IF($C438="","",U438-V438)</f>
        <v/>
      </c>
      <c r="X438" s="7">
        <f>IF($C438="","",W438-N438)</f>
        <v/>
      </c>
      <c r="AA438">
        <f>IF($C438="","",IF($AN438=1,0,IF($AM438=1,Settings!$C$6,Settings!$C$7))*100)</f>
        <v/>
      </c>
      <c r="AE438" s="7" t="n"/>
      <c r="AH438" s="11" t="n"/>
      <c r="AJ438">
        <f>IF($C438="","",$C438&amp;"|"&amp;$D438&amp;"")</f>
        <v/>
      </c>
      <c r="AK438">
        <f>IF($C438="","",IF(COUNTIF($AJ$2:$AJ438,$AJ438)=1,1,0))</f>
        <v/>
      </c>
      <c r="AL438">
        <f>IF($AK438=1,SUMPRODUCT(--($AO$2:$AO$1501&lt;$AO438))+1,"")</f>
        <v/>
      </c>
      <c r="AM438">
        <f>IF($C438="","",IF(OR($Q438=TRUE(),$Q438="TRUE"),1,0))</f>
        <v/>
      </c>
      <c r="AN438">
        <f>IF($C438="","",IF($Z438="Yes",1,0))</f>
        <v/>
      </c>
      <c r="AO438">
        <f>IF($AK438=1,IFERROR(IF(VALUE($C438)&lt;100000000,VALUE($C438),1000000000),IFERROR(IF(VALUE(MID($C438,2,20))&lt;100000000,VALUE(MID($C438,2,20)),1000000000),1000000000))+ROW()/100000,"")</f>
        <v/>
      </c>
    </row>
    <row r="439">
      <c r="F439" s="11" t="n"/>
      <c r="N439" s="7">
        <f>IF($C439="","",M439*U439/100)</f>
        <v/>
      </c>
      <c r="T439" s="7" t="n"/>
      <c r="U439" s="7" t="n"/>
      <c r="V439" s="7">
        <f>IF($C439="","",U439*AA439/100)</f>
        <v/>
      </c>
      <c r="W439" s="7">
        <f>IF($C439="","",U439-V439)</f>
        <v/>
      </c>
      <c r="X439" s="7">
        <f>IF($C439="","",W439-N439)</f>
        <v/>
      </c>
      <c r="AA439">
        <f>IF($C439="","",IF($AN439=1,0,IF($AM439=1,Settings!$C$6,Settings!$C$7))*100)</f>
        <v/>
      </c>
      <c r="AE439" s="7" t="n"/>
      <c r="AH439" s="11" t="n"/>
      <c r="AJ439">
        <f>IF($C439="","",$C439&amp;"|"&amp;$D439&amp;"")</f>
        <v/>
      </c>
      <c r="AK439">
        <f>IF($C439="","",IF(COUNTIF($AJ$2:$AJ439,$AJ439)=1,1,0))</f>
        <v/>
      </c>
      <c r="AL439">
        <f>IF($AK439=1,SUMPRODUCT(--($AO$2:$AO$1501&lt;$AO439))+1,"")</f>
        <v/>
      </c>
      <c r="AM439">
        <f>IF($C439="","",IF(OR($Q439=TRUE(),$Q439="TRUE"),1,0))</f>
        <v/>
      </c>
      <c r="AN439">
        <f>IF($C439="","",IF($Z439="Yes",1,0))</f>
        <v/>
      </c>
      <c r="AO439">
        <f>IF($AK439=1,IFERROR(IF(VALUE($C439)&lt;100000000,VALUE($C439),1000000000),IFERROR(IF(VALUE(MID($C439,2,20))&lt;100000000,VALUE(MID($C439,2,20)),1000000000),1000000000))+ROW()/100000,"")</f>
        <v/>
      </c>
    </row>
    <row r="440">
      <c r="F440" s="11" t="n"/>
      <c r="N440" s="7">
        <f>IF($C440="","",M440*U440/100)</f>
        <v/>
      </c>
      <c r="T440" s="7" t="n"/>
      <c r="U440" s="7" t="n"/>
      <c r="V440" s="7">
        <f>IF($C440="","",U440*AA440/100)</f>
        <v/>
      </c>
      <c r="W440" s="7">
        <f>IF($C440="","",U440-V440)</f>
        <v/>
      </c>
      <c r="X440" s="7">
        <f>IF($C440="","",W440-N440)</f>
        <v/>
      </c>
      <c r="AA440">
        <f>IF($C440="","",IF($AN440=1,0,IF($AM440=1,Settings!$C$6,Settings!$C$7))*100)</f>
        <v/>
      </c>
      <c r="AE440" s="7" t="n"/>
      <c r="AH440" s="11" t="n"/>
      <c r="AJ440">
        <f>IF($C440="","",$C440&amp;"|"&amp;$D440&amp;"")</f>
        <v/>
      </c>
      <c r="AK440">
        <f>IF($C440="","",IF(COUNTIF($AJ$2:$AJ440,$AJ440)=1,1,0))</f>
        <v/>
      </c>
      <c r="AL440">
        <f>IF($AK440=1,SUMPRODUCT(--($AO$2:$AO$1501&lt;$AO440))+1,"")</f>
        <v/>
      </c>
      <c r="AM440">
        <f>IF($C440="","",IF(OR($Q440=TRUE(),$Q440="TRUE"),1,0))</f>
        <v/>
      </c>
      <c r="AN440">
        <f>IF($C440="","",IF($Z440="Yes",1,0))</f>
        <v/>
      </c>
      <c r="AO440">
        <f>IF($AK440=1,IFERROR(IF(VALUE($C440)&lt;100000000,VALUE($C440),1000000000),IFERROR(IF(VALUE(MID($C440,2,20))&lt;100000000,VALUE(MID($C440,2,20)),1000000000),1000000000))+ROW()/100000,"")</f>
        <v/>
      </c>
    </row>
    <row r="441">
      <c r="F441" s="11" t="n"/>
      <c r="N441" s="7">
        <f>IF($C441="","",M441*U441/100)</f>
        <v/>
      </c>
      <c r="T441" s="7" t="n"/>
      <c r="U441" s="7" t="n"/>
      <c r="V441" s="7">
        <f>IF($C441="","",U441*AA441/100)</f>
        <v/>
      </c>
      <c r="W441" s="7">
        <f>IF($C441="","",U441-V441)</f>
        <v/>
      </c>
      <c r="X441" s="7">
        <f>IF($C441="","",W441-N441)</f>
        <v/>
      </c>
      <c r="AA441">
        <f>IF($C441="","",IF($AN441=1,0,IF($AM441=1,Settings!$C$6,Settings!$C$7))*100)</f>
        <v/>
      </c>
      <c r="AE441" s="7" t="n"/>
      <c r="AH441" s="11" t="n"/>
      <c r="AJ441">
        <f>IF($C441="","",$C441&amp;"|"&amp;$D441&amp;"")</f>
        <v/>
      </c>
      <c r="AK441">
        <f>IF($C441="","",IF(COUNTIF($AJ$2:$AJ441,$AJ441)=1,1,0))</f>
        <v/>
      </c>
      <c r="AL441">
        <f>IF($AK441=1,SUMPRODUCT(--($AO$2:$AO$1501&lt;$AO441))+1,"")</f>
        <v/>
      </c>
      <c r="AM441">
        <f>IF($C441="","",IF(OR($Q441=TRUE(),$Q441="TRUE"),1,0))</f>
        <v/>
      </c>
      <c r="AN441">
        <f>IF($C441="","",IF($Z441="Yes",1,0))</f>
        <v/>
      </c>
      <c r="AO441">
        <f>IF($AK441=1,IFERROR(IF(VALUE($C441)&lt;100000000,VALUE($C441),1000000000),IFERROR(IF(VALUE(MID($C441,2,20))&lt;100000000,VALUE(MID($C441,2,20)),1000000000),1000000000))+ROW()/100000,"")</f>
        <v/>
      </c>
    </row>
    <row r="442">
      <c r="F442" s="11" t="n"/>
      <c r="N442" s="7">
        <f>IF($C442="","",M442*U442/100)</f>
        <v/>
      </c>
      <c r="T442" s="7" t="n"/>
      <c r="U442" s="7" t="n"/>
      <c r="V442" s="7">
        <f>IF($C442="","",U442*AA442/100)</f>
        <v/>
      </c>
      <c r="W442" s="7">
        <f>IF($C442="","",U442-V442)</f>
        <v/>
      </c>
      <c r="X442" s="7">
        <f>IF($C442="","",W442-N442)</f>
        <v/>
      </c>
      <c r="AA442">
        <f>IF($C442="","",IF($AN442=1,0,IF($AM442=1,Settings!$C$6,Settings!$C$7))*100)</f>
        <v/>
      </c>
      <c r="AE442" s="7" t="n"/>
      <c r="AH442" s="11" t="n"/>
      <c r="AJ442">
        <f>IF($C442="","",$C442&amp;"|"&amp;$D442&amp;"")</f>
        <v/>
      </c>
      <c r="AK442">
        <f>IF($C442="","",IF(COUNTIF($AJ$2:$AJ442,$AJ442)=1,1,0))</f>
        <v/>
      </c>
      <c r="AL442">
        <f>IF($AK442=1,SUMPRODUCT(--($AO$2:$AO$1501&lt;$AO442))+1,"")</f>
        <v/>
      </c>
      <c r="AM442">
        <f>IF($C442="","",IF(OR($Q442=TRUE(),$Q442="TRUE"),1,0))</f>
        <v/>
      </c>
      <c r="AN442">
        <f>IF($C442="","",IF($Z442="Yes",1,0))</f>
        <v/>
      </c>
      <c r="AO442">
        <f>IF($AK442=1,IFERROR(IF(VALUE($C442)&lt;100000000,VALUE($C442),1000000000),IFERROR(IF(VALUE(MID($C442,2,20))&lt;100000000,VALUE(MID($C442,2,20)),1000000000),1000000000))+ROW()/100000,"")</f>
        <v/>
      </c>
    </row>
    <row r="443">
      <c r="F443" s="11" t="n"/>
      <c r="N443" s="7">
        <f>IF($C443="","",M443*U443/100)</f>
        <v/>
      </c>
      <c r="T443" s="7" t="n"/>
      <c r="U443" s="7" t="n"/>
      <c r="V443" s="7">
        <f>IF($C443="","",U443*AA443/100)</f>
        <v/>
      </c>
      <c r="W443" s="7">
        <f>IF($C443="","",U443-V443)</f>
        <v/>
      </c>
      <c r="X443" s="7">
        <f>IF($C443="","",W443-N443)</f>
        <v/>
      </c>
      <c r="AA443">
        <f>IF($C443="","",IF($AN443=1,0,IF($AM443=1,Settings!$C$6,Settings!$C$7))*100)</f>
        <v/>
      </c>
      <c r="AE443" s="7" t="n"/>
      <c r="AH443" s="11" t="n"/>
      <c r="AJ443">
        <f>IF($C443="","",$C443&amp;"|"&amp;$D443&amp;"")</f>
        <v/>
      </c>
      <c r="AK443">
        <f>IF($C443="","",IF(COUNTIF($AJ$2:$AJ443,$AJ443)=1,1,0))</f>
        <v/>
      </c>
      <c r="AL443">
        <f>IF($AK443=1,SUMPRODUCT(--($AO$2:$AO$1501&lt;$AO443))+1,"")</f>
        <v/>
      </c>
      <c r="AM443">
        <f>IF($C443="","",IF(OR($Q443=TRUE(),$Q443="TRUE"),1,0))</f>
        <v/>
      </c>
      <c r="AN443">
        <f>IF($C443="","",IF($Z443="Yes",1,0))</f>
        <v/>
      </c>
      <c r="AO443">
        <f>IF($AK443=1,IFERROR(IF(VALUE($C443)&lt;100000000,VALUE($C443),1000000000),IFERROR(IF(VALUE(MID($C443,2,20))&lt;100000000,VALUE(MID($C443,2,20)),1000000000),1000000000))+ROW()/100000,"")</f>
        <v/>
      </c>
    </row>
    <row r="444">
      <c r="F444" s="11" t="n"/>
      <c r="N444" s="7">
        <f>IF($C444="","",M444*U444/100)</f>
        <v/>
      </c>
      <c r="T444" s="7" t="n"/>
      <c r="U444" s="7" t="n"/>
      <c r="V444" s="7">
        <f>IF($C444="","",U444*AA444/100)</f>
        <v/>
      </c>
      <c r="W444" s="7">
        <f>IF($C444="","",U444-V444)</f>
        <v/>
      </c>
      <c r="X444" s="7">
        <f>IF($C444="","",W444-N444)</f>
        <v/>
      </c>
      <c r="AA444">
        <f>IF($C444="","",IF($AN444=1,0,IF($AM444=1,Settings!$C$6,Settings!$C$7))*100)</f>
        <v/>
      </c>
      <c r="AE444" s="7" t="n"/>
      <c r="AH444" s="11" t="n"/>
      <c r="AJ444">
        <f>IF($C444="","",$C444&amp;"|"&amp;$D444&amp;"")</f>
        <v/>
      </c>
      <c r="AK444">
        <f>IF($C444="","",IF(COUNTIF($AJ$2:$AJ444,$AJ444)=1,1,0))</f>
        <v/>
      </c>
      <c r="AL444">
        <f>IF($AK444=1,SUMPRODUCT(--($AO$2:$AO$1501&lt;$AO444))+1,"")</f>
        <v/>
      </c>
      <c r="AM444">
        <f>IF($C444="","",IF(OR($Q444=TRUE(),$Q444="TRUE"),1,0))</f>
        <v/>
      </c>
      <c r="AN444">
        <f>IF($C444="","",IF($Z444="Yes",1,0))</f>
        <v/>
      </c>
      <c r="AO444">
        <f>IF($AK444=1,IFERROR(IF(VALUE($C444)&lt;100000000,VALUE($C444),1000000000),IFERROR(IF(VALUE(MID($C444,2,20))&lt;100000000,VALUE(MID($C444,2,20)),1000000000),1000000000))+ROW()/100000,"")</f>
        <v/>
      </c>
    </row>
    <row r="445">
      <c r="F445" s="11" t="n"/>
      <c r="N445" s="7">
        <f>IF($C445="","",M445*U445/100)</f>
        <v/>
      </c>
      <c r="T445" s="7" t="n"/>
      <c r="U445" s="7" t="n"/>
      <c r="V445" s="7">
        <f>IF($C445="","",U445*AA445/100)</f>
        <v/>
      </c>
      <c r="W445" s="7">
        <f>IF($C445="","",U445-V445)</f>
        <v/>
      </c>
      <c r="X445" s="7">
        <f>IF($C445="","",W445-N445)</f>
        <v/>
      </c>
      <c r="AA445">
        <f>IF($C445="","",IF($AN445=1,0,IF($AM445=1,Settings!$C$6,Settings!$C$7))*100)</f>
        <v/>
      </c>
      <c r="AE445" s="7" t="n"/>
      <c r="AH445" s="11" t="n"/>
      <c r="AJ445">
        <f>IF($C445="","",$C445&amp;"|"&amp;$D445&amp;"")</f>
        <v/>
      </c>
      <c r="AK445">
        <f>IF($C445="","",IF(COUNTIF($AJ$2:$AJ445,$AJ445)=1,1,0))</f>
        <v/>
      </c>
      <c r="AL445">
        <f>IF($AK445=1,SUMPRODUCT(--($AO$2:$AO$1501&lt;$AO445))+1,"")</f>
        <v/>
      </c>
      <c r="AM445">
        <f>IF($C445="","",IF(OR($Q445=TRUE(),$Q445="TRUE"),1,0))</f>
        <v/>
      </c>
      <c r="AN445">
        <f>IF($C445="","",IF($Z445="Yes",1,0))</f>
        <v/>
      </c>
      <c r="AO445">
        <f>IF($AK445=1,IFERROR(IF(VALUE($C445)&lt;100000000,VALUE($C445),1000000000),IFERROR(IF(VALUE(MID($C445,2,20))&lt;100000000,VALUE(MID($C445,2,20)),1000000000),1000000000))+ROW()/100000,"")</f>
        <v/>
      </c>
    </row>
    <row r="446">
      <c r="F446" s="11" t="n"/>
      <c r="N446" s="7">
        <f>IF($C446="","",M446*U446/100)</f>
        <v/>
      </c>
      <c r="T446" s="7" t="n"/>
      <c r="U446" s="7" t="n"/>
      <c r="V446" s="7">
        <f>IF($C446="","",U446*AA446/100)</f>
        <v/>
      </c>
      <c r="W446" s="7">
        <f>IF($C446="","",U446-V446)</f>
        <v/>
      </c>
      <c r="X446" s="7">
        <f>IF($C446="","",W446-N446)</f>
        <v/>
      </c>
      <c r="AA446">
        <f>IF($C446="","",IF($AN446=1,0,IF($AM446=1,Settings!$C$6,Settings!$C$7))*100)</f>
        <v/>
      </c>
      <c r="AE446" s="7" t="n"/>
      <c r="AH446" s="11" t="n"/>
      <c r="AJ446">
        <f>IF($C446="","",$C446&amp;"|"&amp;$D446&amp;"")</f>
        <v/>
      </c>
      <c r="AK446">
        <f>IF($C446="","",IF(COUNTIF($AJ$2:$AJ446,$AJ446)=1,1,0))</f>
        <v/>
      </c>
      <c r="AL446">
        <f>IF($AK446=1,SUMPRODUCT(--($AO$2:$AO$1501&lt;$AO446))+1,"")</f>
        <v/>
      </c>
      <c r="AM446">
        <f>IF($C446="","",IF(OR($Q446=TRUE(),$Q446="TRUE"),1,0))</f>
        <v/>
      </c>
      <c r="AN446">
        <f>IF($C446="","",IF($Z446="Yes",1,0))</f>
        <v/>
      </c>
      <c r="AO446">
        <f>IF($AK446=1,IFERROR(IF(VALUE($C446)&lt;100000000,VALUE($C446),1000000000),IFERROR(IF(VALUE(MID($C446,2,20))&lt;100000000,VALUE(MID($C446,2,20)),1000000000),1000000000))+ROW()/100000,"")</f>
        <v/>
      </c>
    </row>
    <row r="447">
      <c r="F447" s="11" t="n"/>
      <c r="N447" s="7">
        <f>IF($C447="","",M447*U447/100)</f>
        <v/>
      </c>
      <c r="T447" s="7" t="n"/>
      <c r="U447" s="7" t="n"/>
      <c r="V447" s="7">
        <f>IF($C447="","",U447*AA447/100)</f>
        <v/>
      </c>
      <c r="W447" s="7">
        <f>IF($C447="","",U447-V447)</f>
        <v/>
      </c>
      <c r="X447" s="7">
        <f>IF($C447="","",W447-N447)</f>
        <v/>
      </c>
      <c r="AA447">
        <f>IF($C447="","",IF($AN447=1,0,IF($AM447=1,Settings!$C$6,Settings!$C$7))*100)</f>
        <v/>
      </c>
      <c r="AE447" s="7" t="n"/>
      <c r="AH447" s="11" t="n"/>
      <c r="AJ447">
        <f>IF($C447="","",$C447&amp;"|"&amp;$D447&amp;"")</f>
        <v/>
      </c>
      <c r="AK447">
        <f>IF($C447="","",IF(COUNTIF($AJ$2:$AJ447,$AJ447)=1,1,0))</f>
        <v/>
      </c>
      <c r="AL447">
        <f>IF($AK447=1,SUMPRODUCT(--($AO$2:$AO$1501&lt;$AO447))+1,"")</f>
        <v/>
      </c>
      <c r="AM447">
        <f>IF($C447="","",IF(OR($Q447=TRUE(),$Q447="TRUE"),1,0))</f>
        <v/>
      </c>
      <c r="AN447">
        <f>IF($C447="","",IF($Z447="Yes",1,0))</f>
        <v/>
      </c>
      <c r="AO447">
        <f>IF($AK447=1,IFERROR(IF(VALUE($C447)&lt;100000000,VALUE($C447),1000000000),IFERROR(IF(VALUE(MID($C447,2,20))&lt;100000000,VALUE(MID($C447,2,20)),1000000000),1000000000))+ROW()/100000,"")</f>
        <v/>
      </c>
    </row>
    <row r="448">
      <c r="F448" s="11" t="n"/>
      <c r="N448" s="7">
        <f>IF($C448="","",M448*U448/100)</f>
        <v/>
      </c>
      <c r="T448" s="7" t="n"/>
      <c r="U448" s="7" t="n"/>
      <c r="V448" s="7">
        <f>IF($C448="","",U448*AA448/100)</f>
        <v/>
      </c>
      <c r="W448" s="7">
        <f>IF($C448="","",U448-V448)</f>
        <v/>
      </c>
      <c r="X448" s="7">
        <f>IF($C448="","",W448-N448)</f>
        <v/>
      </c>
      <c r="AA448">
        <f>IF($C448="","",IF($AN448=1,0,IF($AM448=1,Settings!$C$6,Settings!$C$7))*100)</f>
        <v/>
      </c>
      <c r="AE448" s="7" t="n"/>
      <c r="AH448" s="11" t="n"/>
      <c r="AJ448">
        <f>IF($C448="","",$C448&amp;"|"&amp;$D448&amp;"")</f>
        <v/>
      </c>
      <c r="AK448">
        <f>IF($C448="","",IF(COUNTIF($AJ$2:$AJ448,$AJ448)=1,1,0))</f>
        <v/>
      </c>
      <c r="AL448">
        <f>IF($AK448=1,SUMPRODUCT(--($AO$2:$AO$1501&lt;$AO448))+1,"")</f>
        <v/>
      </c>
      <c r="AM448">
        <f>IF($C448="","",IF(OR($Q448=TRUE(),$Q448="TRUE"),1,0))</f>
        <v/>
      </c>
      <c r="AN448">
        <f>IF($C448="","",IF($Z448="Yes",1,0))</f>
        <v/>
      </c>
      <c r="AO448">
        <f>IF($AK448=1,IFERROR(IF(VALUE($C448)&lt;100000000,VALUE($C448),1000000000),IFERROR(IF(VALUE(MID($C448,2,20))&lt;100000000,VALUE(MID($C448,2,20)),1000000000),1000000000))+ROW()/100000,"")</f>
        <v/>
      </c>
    </row>
    <row r="449">
      <c r="F449" s="11" t="n"/>
      <c r="N449" s="7">
        <f>IF($C449="","",M449*U449/100)</f>
        <v/>
      </c>
      <c r="T449" s="7" t="n"/>
      <c r="U449" s="7" t="n"/>
      <c r="V449" s="7">
        <f>IF($C449="","",U449*AA449/100)</f>
        <v/>
      </c>
      <c r="W449" s="7">
        <f>IF($C449="","",U449-V449)</f>
        <v/>
      </c>
      <c r="X449" s="7">
        <f>IF($C449="","",W449-N449)</f>
        <v/>
      </c>
      <c r="AA449">
        <f>IF($C449="","",IF($AN449=1,0,IF($AM449=1,Settings!$C$6,Settings!$C$7))*100)</f>
        <v/>
      </c>
      <c r="AE449" s="7" t="n"/>
      <c r="AH449" s="11" t="n"/>
      <c r="AJ449">
        <f>IF($C449="","",$C449&amp;"|"&amp;$D449&amp;"")</f>
        <v/>
      </c>
      <c r="AK449">
        <f>IF($C449="","",IF(COUNTIF($AJ$2:$AJ449,$AJ449)=1,1,0))</f>
        <v/>
      </c>
      <c r="AL449">
        <f>IF($AK449=1,SUMPRODUCT(--($AO$2:$AO$1501&lt;$AO449))+1,"")</f>
        <v/>
      </c>
      <c r="AM449">
        <f>IF($C449="","",IF(OR($Q449=TRUE(),$Q449="TRUE"),1,0))</f>
        <v/>
      </c>
      <c r="AN449">
        <f>IF($C449="","",IF($Z449="Yes",1,0))</f>
        <v/>
      </c>
      <c r="AO449">
        <f>IF($AK449=1,IFERROR(IF(VALUE($C449)&lt;100000000,VALUE($C449),1000000000),IFERROR(IF(VALUE(MID($C449,2,20))&lt;100000000,VALUE(MID($C449,2,20)),1000000000),1000000000))+ROW()/100000,"")</f>
        <v/>
      </c>
    </row>
    <row r="450">
      <c r="F450" s="11" t="n"/>
      <c r="N450" s="7">
        <f>IF($C450="","",M450*U450/100)</f>
        <v/>
      </c>
      <c r="T450" s="7" t="n"/>
      <c r="U450" s="7" t="n"/>
      <c r="V450" s="7">
        <f>IF($C450="","",U450*AA450/100)</f>
        <v/>
      </c>
      <c r="W450" s="7">
        <f>IF($C450="","",U450-V450)</f>
        <v/>
      </c>
      <c r="X450" s="7">
        <f>IF($C450="","",W450-N450)</f>
        <v/>
      </c>
      <c r="AA450">
        <f>IF($C450="","",IF($AN450=1,0,IF($AM450=1,Settings!$C$6,Settings!$C$7))*100)</f>
        <v/>
      </c>
      <c r="AE450" s="7" t="n"/>
      <c r="AH450" s="11" t="n"/>
      <c r="AJ450">
        <f>IF($C450="","",$C450&amp;"|"&amp;$D450&amp;"")</f>
        <v/>
      </c>
      <c r="AK450">
        <f>IF($C450="","",IF(COUNTIF($AJ$2:$AJ450,$AJ450)=1,1,0))</f>
        <v/>
      </c>
      <c r="AL450">
        <f>IF($AK450=1,SUMPRODUCT(--($AO$2:$AO$1501&lt;$AO450))+1,"")</f>
        <v/>
      </c>
      <c r="AM450">
        <f>IF($C450="","",IF(OR($Q450=TRUE(),$Q450="TRUE"),1,0))</f>
        <v/>
      </c>
      <c r="AN450">
        <f>IF($C450="","",IF($Z450="Yes",1,0))</f>
        <v/>
      </c>
      <c r="AO450">
        <f>IF($AK450=1,IFERROR(IF(VALUE($C450)&lt;100000000,VALUE($C450),1000000000),IFERROR(IF(VALUE(MID($C450,2,20))&lt;100000000,VALUE(MID($C450,2,20)),1000000000),1000000000))+ROW()/100000,"")</f>
        <v/>
      </c>
    </row>
    <row r="451">
      <c r="F451" s="11" t="n"/>
      <c r="N451" s="7">
        <f>IF($C451="","",M451*U451/100)</f>
        <v/>
      </c>
      <c r="T451" s="7" t="n"/>
      <c r="U451" s="7" t="n"/>
      <c r="V451" s="7">
        <f>IF($C451="","",U451*AA451/100)</f>
        <v/>
      </c>
      <c r="W451" s="7">
        <f>IF($C451="","",U451-V451)</f>
        <v/>
      </c>
      <c r="X451" s="7">
        <f>IF($C451="","",W451-N451)</f>
        <v/>
      </c>
      <c r="AA451">
        <f>IF($C451="","",IF($AN451=1,0,IF($AM451=1,Settings!$C$6,Settings!$C$7))*100)</f>
        <v/>
      </c>
      <c r="AE451" s="7" t="n"/>
      <c r="AH451" s="11" t="n"/>
      <c r="AJ451">
        <f>IF($C451="","",$C451&amp;"|"&amp;$D451&amp;"")</f>
        <v/>
      </c>
      <c r="AK451">
        <f>IF($C451="","",IF(COUNTIF($AJ$2:$AJ451,$AJ451)=1,1,0))</f>
        <v/>
      </c>
      <c r="AL451">
        <f>IF($AK451=1,SUMPRODUCT(--($AO$2:$AO$1501&lt;$AO451))+1,"")</f>
        <v/>
      </c>
      <c r="AM451">
        <f>IF($C451="","",IF(OR($Q451=TRUE(),$Q451="TRUE"),1,0))</f>
        <v/>
      </c>
      <c r="AN451">
        <f>IF($C451="","",IF($Z451="Yes",1,0))</f>
        <v/>
      </c>
      <c r="AO451">
        <f>IF($AK451=1,IFERROR(IF(VALUE($C451)&lt;100000000,VALUE($C451),1000000000),IFERROR(IF(VALUE(MID($C451,2,20))&lt;100000000,VALUE(MID($C451,2,20)),1000000000),1000000000))+ROW()/100000,"")</f>
        <v/>
      </c>
    </row>
    <row r="452">
      <c r="F452" s="11" t="n"/>
      <c r="N452" s="7">
        <f>IF($C452="","",M452*U452/100)</f>
        <v/>
      </c>
      <c r="T452" s="7" t="n"/>
      <c r="U452" s="7" t="n"/>
      <c r="V452" s="7">
        <f>IF($C452="","",U452*AA452/100)</f>
        <v/>
      </c>
      <c r="W452" s="7">
        <f>IF($C452="","",U452-V452)</f>
        <v/>
      </c>
      <c r="X452" s="7">
        <f>IF($C452="","",W452-N452)</f>
        <v/>
      </c>
      <c r="AA452">
        <f>IF($C452="","",IF($AN452=1,0,IF($AM452=1,Settings!$C$6,Settings!$C$7))*100)</f>
        <v/>
      </c>
      <c r="AE452" s="7" t="n"/>
      <c r="AH452" s="11" t="n"/>
      <c r="AJ452">
        <f>IF($C452="","",$C452&amp;"|"&amp;$D452&amp;"")</f>
        <v/>
      </c>
      <c r="AK452">
        <f>IF($C452="","",IF(COUNTIF($AJ$2:$AJ452,$AJ452)=1,1,0))</f>
        <v/>
      </c>
      <c r="AL452">
        <f>IF($AK452=1,SUMPRODUCT(--($AO$2:$AO$1501&lt;$AO452))+1,"")</f>
        <v/>
      </c>
      <c r="AM452">
        <f>IF($C452="","",IF(OR($Q452=TRUE(),$Q452="TRUE"),1,0))</f>
        <v/>
      </c>
      <c r="AN452">
        <f>IF($C452="","",IF($Z452="Yes",1,0))</f>
        <v/>
      </c>
      <c r="AO452">
        <f>IF($AK452=1,IFERROR(IF(VALUE($C452)&lt;100000000,VALUE($C452),1000000000),IFERROR(IF(VALUE(MID($C452,2,20))&lt;100000000,VALUE(MID($C452,2,20)),1000000000),1000000000))+ROW()/100000,"")</f>
        <v/>
      </c>
    </row>
    <row r="453">
      <c r="F453" s="11" t="n"/>
      <c r="N453" s="7">
        <f>IF($C453="","",M453*U453/100)</f>
        <v/>
      </c>
      <c r="T453" s="7" t="n"/>
      <c r="U453" s="7" t="n"/>
      <c r="V453" s="7">
        <f>IF($C453="","",U453*AA453/100)</f>
        <v/>
      </c>
      <c r="W453" s="7">
        <f>IF($C453="","",U453-V453)</f>
        <v/>
      </c>
      <c r="X453" s="7">
        <f>IF($C453="","",W453-N453)</f>
        <v/>
      </c>
      <c r="AA453">
        <f>IF($C453="","",IF($AN453=1,0,IF($AM453=1,Settings!$C$6,Settings!$C$7))*100)</f>
        <v/>
      </c>
      <c r="AE453" s="7" t="n"/>
      <c r="AH453" s="11" t="n"/>
      <c r="AJ453">
        <f>IF($C453="","",$C453&amp;"|"&amp;$D453&amp;"")</f>
        <v/>
      </c>
      <c r="AK453">
        <f>IF($C453="","",IF(COUNTIF($AJ$2:$AJ453,$AJ453)=1,1,0))</f>
        <v/>
      </c>
      <c r="AL453">
        <f>IF($AK453=1,SUMPRODUCT(--($AO$2:$AO$1501&lt;$AO453))+1,"")</f>
        <v/>
      </c>
      <c r="AM453">
        <f>IF($C453="","",IF(OR($Q453=TRUE(),$Q453="TRUE"),1,0))</f>
        <v/>
      </c>
      <c r="AN453">
        <f>IF($C453="","",IF($Z453="Yes",1,0))</f>
        <v/>
      </c>
      <c r="AO453">
        <f>IF($AK453=1,IFERROR(IF(VALUE($C453)&lt;100000000,VALUE($C453),1000000000),IFERROR(IF(VALUE(MID($C453,2,20))&lt;100000000,VALUE(MID($C453,2,20)),1000000000),1000000000))+ROW()/100000,"")</f>
        <v/>
      </c>
    </row>
    <row r="454">
      <c r="F454" s="11" t="n"/>
      <c r="N454" s="7">
        <f>IF($C454="","",M454*U454/100)</f>
        <v/>
      </c>
      <c r="T454" s="7" t="n"/>
      <c r="U454" s="7" t="n"/>
      <c r="V454" s="7">
        <f>IF($C454="","",U454*AA454/100)</f>
        <v/>
      </c>
      <c r="W454" s="7">
        <f>IF($C454="","",U454-V454)</f>
        <v/>
      </c>
      <c r="X454" s="7">
        <f>IF($C454="","",W454-N454)</f>
        <v/>
      </c>
      <c r="AA454">
        <f>IF($C454="","",IF($AN454=1,0,IF($AM454=1,Settings!$C$6,Settings!$C$7))*100)</f>
        <v/>
      </c>
      <c r="AE454" s="7" t="n"/>
      <c r="AH454" s="11" t="n"/>
      <c r="AJ454">
        <f>IF($C454="","",$C454&amp;"|"&amp;$D454&amp;"")</f>
        <v/>
      </c>
      <c r="AK454">
        <f>IF($C454="","",IF(COUNTIF($AJ$2:$AJ454,$AJ454)=1,1,0))</f>
        <v/>
      </c>
      <c r="AL454">
        <f>IF($AK454=1,SUMPRODUCT(--($AO$2:$AO$1501&lt;$AO454))+1,"")</f>
        <v/>
      </c>
      <c r="AM454">
        <f>IF($C454="","",IF(OR($Q454=TRUE(),$Q454="TRUE"),1,0))</f>
        <v/>
      </c>
      <c r="AN454">
        <f>IF($C454="","",IF($Z454="Yes",1,0))</f>
        <v/>
      </c>
      <c r="AO454">
        <f>IF($AK454=1,IFERROR(IF(VALUE($C454)&lt;100000000,VALUE($C454),1000000000),IFERROR(IF(VALUE(MID($C454,2,20))&lt;100000000,VALUE(MID($C454,2,20)),1000000000),1000000000))+ROW()/100000,"")</f>
        <v/>
      </c>
    </row>
    <row r="455">
      <c r="F455" s="11" t="n"/>
      <c r="N455" s="7">
        <f>IF($C455="","",M455*U455/100)</f>
        <v/>
      </c>
      <c r="T455" s="7" t="n"/>
      <c r="U455" s="7" t="n"/>
      <c r="V455" s="7">
        <f>IF($C455="","",U455*AA455/100)</f>
        <v/>
      </c>
      <c r="W455" s="7">
        <f>IF($C455="","",U455-V455)</f>
        <v/>
      </c>
      <c r="X455" s="7">
        <f>IF($C455="","",W455-N455)</f>
        <v/>
      </c>
      <c r="AA455">
        <f>IF($C455="","",IF($AN455=1,0,IF($AM455=1,Settings!$C$6,Settings!$C$7))*100)</f>
        <v/>
      </c>
      <c r="AE455" s="7" t="n"/>
      <c r="AH455" s="11" t="n"/>
      <c r="AJ455">
        <f>IF($C455="","",$C455&amp;"|"&amp;$D455&amp;"")</f>
        <v/>
      </c>
      <c r="AK455">
        <f>IF($C455="","",IF(COUNTIF($AJ$2:$AJ455,$AJ455)=1,1,0))</f>
        <v/>
      </c>
      <c r="AL455">
        <f>IF($AK455=1,SUMPRODUCT(--($AO$2:$AO$1501&lt;$AO455))+1,"")</f>
        <v/>
      </c>
      <c r="AM455">
        <f>IF($C455="","",IF(OR($Q455=TRUE(),$Q455="TRUE"),1,0))</f>
        <v/>
      </c>
      <c r="AN455">
        <f>IF($C455="","",IF($Z455="Yes",1,0))</f>
        <v/>
      </c>
      <c r="AO455">
        <f>IF($AK455=1,IFERROR(IF(VALUE($C455)&lt;100000000,VALUE($C455),1000000000),IFERROR(IF(VALUE(MID($C455,2,20))&lt;100000000,VALUE(MID($C455,2,20)),1000000000),1000000000))+ROW()/100000,"")</f>
        <v/>
      </c>
    </row>
    <row r="456">
      <c r="F456" s="11" t="n"/>
      <c r="N456" s="7">
        <f>IF($C456="","",M456*U456/100)</f>
        <v/>
      </c>
      <c r="T456" s="7" t="n"/>
      <c r="U456" s="7" t="n"/>
      <c r="V456" s="7">
        <f>IF($C456="","",U456*AA456/100)</f>
        <v/>
      </c>
      <c r="W456" s="7">
        <f>IF($C456="","",U456-V456)</f>
        <v/>
      </c>
      <c r="X456" s="7">
        <f>IF($C456="","",W456-N456)</f>
        <v/>
      </c>
      <c r="AA456">
        <f>IF($C456="","",IF($AN456=1,0,IF($AM456=1,Settings!$C$6,Settings!$C$7))*100)</f>
        <v/>
      </c>
      <c r="AE456" s="7" t="n"/>
      <c r="AH456" s="11" t="n"/>
      <c r="AJ456">
        <f>IF($C456="","",$C456&amp;"|"&amp;$D456&amp;"")</f>
        <v/>
      </c>
      <c r="AK456">
        <f>IF($C456="","",IF(COUNTIF($AJ$2:$AJ456,$AJ456)=1,1,0))</f>
        <v/>
      </c>
      <c r="AL456">
        <f>IF($AK456=1,SUMPRODUCT(--($AO$2:$AO$1501&lt;$AO456))+1,"")</f>
        <v/>
      </c>
      <c r="AM456">
        <f>IF($C456="","",IF(OR($Q456=TRUE(),$Q456="TRUE"),1,0))</f>
        <v/>
      </c>
      <c r="AN456">
        <f>IF($C456="","",IF($Z456="Yes",1,0))</f>
        <v/>
      </c>
      <c r="AO456">
        <f>IF($AK456=1,IFERROR(IF(VALUE($C456)&lt;100000000,VALUE($C456),1000000000),IFERROR(IF(VALUE(MID($C456,2,20))&lt;100000000,VALUE(MID($C456,2,20)),1000000000),1000000000))+ROW()/100000,"")</f>
        <v/>
      </c>
    </row>
    <row r="457">
      <c r="F457" s="11" t="n"/>
      <c r="N457" s="7">
        <f>IF($C457="","",M457*U457/100)</f>
        <v/>
      </c>
      <c r="T457" s="7" t="n"/>
      <c r="U457" s="7" t="n"/>
      <c r="V457" s="7">
        <f>IF($C457="","",U457*AA457/100)</f>
        <v/>
      </c>
      <c r="W457" s="7">
        <f>IF($C457="","",U457-V457)</f>
        <v/>
      </c>
      <c r="X457" s="7">
        <f>IF($C457="","",W457-N457)</f>
        <v/>
      </c>
      <c r="AA457">
        <f>IF($C457="","",IF($AN457=1,0,IF($AM457=1,Settings!$C$6,Settings!$C$7))*100)</f>
        <v/>
      </c>
      <c r="AE457" s="7" t="n"/>
      <c r="AH457" s="11" t="n"/>
      <c r="AJ457">
        <f>IF($C457="","",$C457&amp;"|"&amp;$D457&amp;"")</f>
        <v/>
      </c>
      <c r="AK457">
        <f>IF($C457="","",IF(COUNTIF($AJ$2:$AJ457,$AJ457)=1,1,0))</f>
        <v/>
      </c>
      <c r="AL457">
        <f>IF($AK457=1,SUMPRODUCT(--($AO$2:$AO$1501&lt;$AO457))+1,"")</f>
        <v/>
      </c>
      <c r="AM457">
        <f>IF($C457="","",IF(OR($Q457=TRUE(),$Q457="TRUE"),1,0))</f>
        <v/>
      </c>
      <c r="AN457">
        <f>IF($C457="","",IF($Z457="Yes",1,0))</f>
        <v/>
      </c>
      <c r="AO457">
        <f>IF($AK457=1,IFERROR(IF(VALUE($C457)&lt;100000000,VALUE($C457),1000000000),IFERROR(IF(VALUE(MID($C457,2,20))&lt;100000000,VALUE(MID($C457,2,20)),1000000000),1000000000))+ROW()/100000,"")</f>
        <v/>
      </c>
    </row>
    <row r="458">
      <c r="F458" s="11" t="n"/>
      <c r="N458" s="7">
        <f>IF($C458="","",M458*U458/100)</f>
        <v/>
      </c>
      <c r="T458" s="7" t="n"/>
      <c r="U458" s="7" t="n"/>
      <c r="V458" s="7">
        <f>IF($C458="","",U458*AA458/100)</f>
        <v/>
      </c>
      <c r="W458" s="7">
        <f>IF($C458="","",U458-V458)</f>
        <v/>
      </c>
      <c r="X458" s="7">
        <f>IF($C458="","",W458-N458)</f>
        <v/>
      </c>
      <c r="AA458">
        <f>IF($C458="","",IF($AN458=1,0,IF($AM458=1,Settings!$C$6,Settings!$C$7))*100)</f>
        <v/>
      </c>
      <c r="AE458" s="7" t="n"/>
      <c r="AH458" s="11" t="n"/>
      <c r="AJ458">
        <f>IF($C458="","",$C458&amp;"|"&amp;$D458&amp;"")</f>
        <v/>
      </c>
      <c r="AK458">
        <f>IF($C458="","",IF(COUNTIF($AJ$2:$AJ458,$AJ458)=1,1,0))</f>
        <v/>
      </c>
      <c r="AL458">
        <f>IF($AK458=1,SUMPRODUCT(--($AO$2:$AO$1501&lt;$AO458))+1,"")</f>
        <v/>
      </c>
      <c r="AM458">
        <f>IF($C458="","",IF(OR($Q458=TRUE(),$Q458="TRUE"),1,0))</f>
        <v/>
      </c>
      <c r="AN458">
        <f>IF($C458="","",IF($Z458="Yes",1,0))</f>
        <v/>
      </c>
      <c r="AO458">
        <f>IF($AK458=1,IFERROR(IF(VALUE($C458)&lt;100000000,VALUE($C458),1000000000),IFERROR(IF(VALUE(MID($C458,2,20))&lt;100000000,VALUE(MID($C458,2,20)),1000000000),1000000000))+ROW()/100000,"")</f>
        <v/>
      </c>
    </row>
    <row r="459">
      <c r="F459" s="11" t="n"/>
      <c r="N459" s="7">
        <f>IF($C459="","",M459*U459/100)</f>
        <v/>
      </c>
      <c r="T459" s="7" t="n"/>
      <c r="U459" s="7" t="n"/>
      <c r="V459" s="7">
        <f>IF($C459="","",U459*AA459/100)</f>
        <v/>
      </c>
      <c r="W459" s="7">
        <f>IF($C459="","",U459-V459)</f>
        <v/>
      </c>
      <c r="X459" s="7">
        <f>IF($C459="","",W459-N459)</f>
        <v/>
      </c>
      <c r="AA459">
        <f>IF($C459="","",IF($AN459=1,0,IF($AM459=1,Settings!$C$6,Settings!$C$7))*100)</f>
        <v/>
      </c>
      <c r="AE459" s="7" t="n"/>
      <c r="AH459" s="11" t="n"/>
      <c r="AJ459">
        <f>IF($C459="","",$C459&amp;"|"&amp;$D459&amp;"")</f>
        <v/>
      </c>
      <c r="AK459">
        <f>IF($C459="","",IF(COUNTIF($AJ$2:$AJ459,$AJ459)=1,1,0))</f>
        <v/>
      </c>
      <c r="AL459">
        <f>IF($AK459=1,SUMPRODUCT(--($AO$2:$AO$1501&lt;$AO459))+1,"")</f>
        <v/>
      </c>
      <c r="AM459">
        <f>IF($C459="","",IF(OR($Q459=TRUE(),$Q459="TRUE"),1,0))</f>
        <v/>
      </c>
      <c r="AN459">
        <f>IF($C459="","",IF($Z459="Yes",1,0))</f>
        <v/>
      </c>
      <c r="AO459">
        <f>IF($AK459=1,IFERROR(IF(VALUE($C459)&lt;100000000,VALUE($C459),1000000000),IFERROR(IF(VALUE(MID($C459,2,20))&lt;100000000,VALUE(MID($C459,2,20)),1000000000),1000000000))+ROW()/100000,"")</f>
        <v/>
      </c>
    </row>
    <row r="460">
      <c r="F460" s="11" t="n"/>
      <c r="N460" s="7">
        <f>IF($C460="","",M460*U460/100)</f>
        <v/>
      </c>
      <c r="T460" s="7" t="n"/>
      <c r="U460" s="7" t="n"/>
      <c r="V460" s="7">
        <f>IF($C460="","",U460*AA460/100)</f>
        <v/>
      </c>
      <c r="W460" s="7">
        <f>IF($C460="","",U460-V460)</f>
        <v/>
      </c>
      <c r="X460" s="7">
        <f>IF($C460="","",W460-N460)</f>
        <v/>
      </c>
      <c r="AA460">
        <f>IF($C460="","",IF($AN460=1,0,IF($AM460=1,Settings!$C$6,Settings!$C$7))*100)</f>
        <v/>
      </c>
      <c r="AE460" s="7" t="n"/>
      <c r="AH460" s="11" t="n"/>
      <c r="AJ460">
        <f>IF($C460="","",$C460&amp;"|"&amp;$D460&amp;"")</f>
        <v/>
      </c>
      <c r="AK460">
        <f>IF($C460="","",IF(COUNTIF($AJ$2:$AJ460,$AJ460)=1,1,0))</f>
        <v/>
      </c>
      <c r="AL460">
        <f>IF($AK460=1,SUMPRODUCT(--($AO$2:$AO$1501&lt;$AO460))+1,"")</f>
        <v/>
      </c>
      <c r="AM460">
        <f>IF($C460="","",IF(OR($Q460=TRUE(),$Q460="TRUE"),1,0))</f>
        <v/>
      </c>
      <c r="AN460">
        <f>IF($C460="","",IF($Z460="Yes",1,0))</f>
        <v/>
      </c>
      <c r="AO460">
        <f>IF($AK460=1,IFERROR(IF(VALUE($C460)&lt;100000000,VALUE($C460),1000000000),IFERROR(IF(VALUE(MID($C460,2,20))&lt;100000000,VALUE(MID($C460,2,20)),1000000000),1000000000))+ROW()/100000,"")</f>
        <v/>
      </c>
    </row>
    <row r="461">
      <c r="F461" s="11" t="n"/>
      <c r="N461" s="7">
        <f>IF($C461="","",M461*U461/100)</f>
        <v/>
      </c>
      <c r="T461" s="7" t="n"/>
      <c r="U461" s="7" t="n"/>
      <c r="V461" s="7">
        <f>IF($C461="","",U461*AA461/100)</f>
        <v/>
      </c>
      <c r="W461" s="7">
        <f>IF($C461="","",U461-V461)</f>
        <v/>
      </c>
      <c r="X461" s="7">
        <f>IF($C461="","",W461-N461)</f>
        <v/>
      </c>
      <c r="AA461">
        <f>IF($C461="","",IF($AN461=1,0,IF($AM461=1,Settings!$C$6,Settings!$C$7))*100)</f>
        <v/>
      </c>
      <c r="AE461" s="7" t="n"/>
      <c r="AH461" s="11" t="n"/>
      <c r="AJ461">
        <f>IF($C461="","",$C461&amp;"|"&amp;$D461&amp;"")</f>
        <v/>
      </c>
      <c r="AK461">
        <f>IF($C461="","",IF(COUNTIF($AJ$2:$AJ461,$AJ461)=1,1,0))</f>
        <v/>
      </c>
      <c r="AL461">
        <f>IF($AK461=1,SUMPRODUCT(--($AO$2:$AO$1501&lt;$AO461))+1,"")</f>
        <v/>
      </c>
      <c r="AM461">
        <f>IF($C461="","",IF(OR($Q461=TRUE(),$Q461="TRUE"),1,0))</f>
        <v/>
      </c>
      <c r="AN461">
        <f>IF($C461="","",IF($Z461="Yes",1,0))</f>
        <v/>
      </c>
      <c r="AO461">
        <f>IF($AK461=1,IFERROR(IF(VALUE($C461)&lt;100000000,VALUE($C461),1000000000),IFERROR(IF(VALUE(MID($C461,2,20))&lt;100000000,VALUE(MID($C461,2,20)),1000000000),1000000000))+ROW()/100000,"")</f>
        <v/>
      </c>
    </row>
    <row r="462">
      <c r="F462" s="11" t="n"/>
      <c r="N462" s="7">
        <f>IF($C462="","",M462*U462/100)</f>
        <v/>
      </c>
      <c r="T462" s="7" t="n"/>
      <c r="U462" s="7" t="n"/>
      <c r="V462" s="7">
        <f>IF($C462="","",U462*AA462/100)</f>
        <v/>
      </c>
      <c r="W462" s="7">
        <f>IF($C462="","",U462-V462)</f>
        <v/>
      </c>
      <c r="X462" s="7">
        <f>IF($C462="","",W462-N462)</f>
        <v/>
      </c>
      <c r="AA462">
        <f>IF($C462="","",IF($AN462=1,0,IF($AM462=1,Settings!$C$6,Settings!$C$7))*100)</f>
        <v/>
      </c>
      <c r="AE462" s="7" t="n"/>
      <c r="AH462" s="11" t="n"/>
      <c r="AJ462">
        <f>IF($C462="","",$C462&amp;"|"&amp;$D462&amp;"")</f>
        <v/>
      </c>
      <c r="AK462">
        <f>IF($C462="","",IF(COUNTIF($AJ$2:$AJ462,$AJ462)=1,1,0))</f>
        <v/>
      </c>
      <c r="AL462">
        <f>IF($AK462=1,SUMPRODUCT(--($AO$2:$AO$1501&lt;$AO462))+1,"")</f>
        <v/>
      </c>
      <c r="AM462">
        <f>IF($C462="","",IF(OR($Q462=TRUE(),$Q462="TRUE"),1,0))</f>
        <v/>
      </c>
      <c r="AN462">
        <f>IF($C462="","",IF($Z462="Yes",1,0))</f>
        <v/>
      </c>
      <c r="AO462">
        <f>IF($AK462=1,IFERROR(IF(VALUE($C462)&lt;100000000,VALUE($C462),1000000000),IFERROR(IF(VALUE(MID($C462,2,20))&lt;100000000,VALUE(MID($C462,2,20)),1000000000),1000000000))+ROW()/100000,"")</f>
        <v/>
      </c>
    </row>
    <row r="463">
      <c r="F463" s="11" t="n"/>
      <c r="N463" s="7">
        <f>IF($C463="","",M463*U463/100)</f>
        <v/>
      </c>
      <c r="T463" s="7" t="n"/>
      <c r="U463" s="7" t="n"/>
      <c r="V463" s="7">
        <f>IF($C463="","",U463*AA463/100)</f>
        <v/>
      </c>
      <c r="W463" s="7">
        <f>IF($C463="","",U463-V463)</f>
        <v/>
      </c>
      <c r="X463" s="7">
        <f>IF($C463="","",W463-N463)</f>
        <v/>
      </c>
      <c r="AA463">
        <f>IF($C463="","",IF($AN463=1,0,IF($AM463=1,Settings!$C$6,Settings!$C$7))*100)</f>
        <v/>
      </c>
      <c r="AE463" s="7" t="n"/>
      <c r="AH463" s="11" t="n"/>
      <c r="AJ463">
        <f>IF($C463="","",$C463&amp;"|"&amp;$D463&amp;"")</f>
        <v/>
      </c>
      <c r="AK463">
        <f>IF($C463="","",IF(COUNTIF($AJ$2:$AJ463,$AJ463)=1,1,0))</f>
        <v/>
      </c>
      <c r="AL463">
        <f>IF($AK463=1,SUMPRODUCT(--($AO$2:$AO$1501&lt;$AO463))+1,"")</f>
        <v/>
      </c>
      <c r="AM463">
        <f>IF($C463="","",IF(OR($Q463=TRUE(),$Q463="TRUE"),1,0))</f>
        <v/>
      </c>
      <c r="AN463">
        <f>IF($C463="","",IF($Z463="Yes",1,0))</f>
        <v/>
      </c>
      <c r="AO463">
        <f>IF($AK463=1,IFERROR(IF(VALUE($C463)&lt;100000000,VALUE($C463),1000000000),IFERROR(IF(VALUE(MID($C463,2,20))&lt;100000000,VALUE(MID($C463,2,20)),1000000000),1000000000))+ROW()/100000,"")</f>
        <v/>
      </c>
    </row>
    <row r="464">
      <c r="F464" s="11" t="n"/>
      <c r="N464" s="7">
        <f>IF($C464="","",M464*U464/100)</f>
        <v/>
      </c>
      <c r="T464" s="7" t="n"/>
      <c r="U464" s="7" t="n"/>
      <c r="V464" s="7">
        <f>IF($C464="","",U464*AA464/100)</f>
        <v/>
      </c>
      <c r="W464" s="7">
        <f>IF($C464="","",U464-V464)</f>
        <v/>
      </c>
      <c r="X464" s="7">
        <f>IF($C464="","",W464-N464)</f>
        <v/>
      </c>
      <c r="AA464">
        <f>IF($C464="","",IF($AN464=1,0,IF($AM464=1,Settings!$C$6,Settings!$C$7))*100)</f>
        <v/>
      </c>
      <c r="AE464" s="7" t="n"/>
      <c r="AH464" s="11" t="n"/>
      <c r="AJ464">
        <f>IF($C464="","",$C464&amp;"|"&amp;$D464&amp;"")</f>
        <v/>
      </c>
      <c r="AK464">
        <f>IF($C464="","",IF(COUNTIF($AJ$2:$AJ464,$AJ464)=1,1,0))</f>
        <v/>
      </c>
      <c r="AL464">
        <f>IF($AK464=1,SUMPRODUCT(--($AO$2:$AO$1501&lt;$AO464))+1,"")</f>
        <v/>
      </c>
      <c r="AM464">
        <f>IF($C464="","",IF(OR($Q464=TRUE(),$Q464="TRUE"),1,0))</f>
        <v/>
      </c>
      <c r="AN464">
        <f>IF($C464="","",IF($Z464="Yes",1,0))</f>
        <v/>
      </c>
      <c r="AO464">
        <f>IF($AK464=1,IFERROR(IF(VALUE($C464)&lt;100000000,VALUE($C464),1000000000),IFERROR(IF(VALUE(MID($C464,2,20))&lt;100000000,VALUE(MID($C464,2,20)),1000000000),1000000000))+ROW()/100000,"")</f>
        <v/>
      </c>
    </row>
    <row r="465">
      <c r="F465" s="11" t="n"/>
      <c r="N465" s="7">
        <f>IF($C465="","",M465*U465/100)</f>
        <v/>
      </c>
      <c r="T465" s="7" t="n"/>
      <c r="U465" s="7" t="n"/>
      <c r="V465" s="7">
        <f>IF($C465="","",U465*AA465/100)</f>
        <v/>
      </c>
      <c r="W465" s="7">
        <f>IF($C465="","",U465-V465)</f>
        <v/>
      </c>
      <c r="X465" s="7">
        <f>IF($C465="","",W465-N465)</f>
        <v/>
      </c>
      <c r="AA465">
        <f>IF($C465="","",IF($AN465=1,0,IF($AM465=1,Settings!$C$6,Settings!$C$7))*100)</f>
        <v/>
      </c>
      <c r="AE465" s="7" t="n"/>
      <c r="AH465" s="11" t="n"/>
      <c r="AJ465">
        <f>IF($C465="","",$C465&amp;"|"&amp;$D465&amp;"")</f>
        <v/>
      </c>
      <c r="AK465">
        <f>IF($C465="","",IF(COUNTIF($AJ$2:$AJ465,$AJ465)=1,1,0))</f>
        <v/>
      </c>
      <c r="AL465">
        <f>IF($AK465=1,SUMPRODUCT(--($AO$2:$AO$1501&lt;$AO465))+1,"")</f>
        <v/>
      </c>
      <c r="AM465">
        <f>IF($C465="","",IF(OR($Q465=TRUE(),$Q465="TRUE"),1,0))</f>
        <v/>
      </c>
      <c r="AN465">
        <f>IF($C465="","",IF($Z465="Yes",1,0))</f>
        <v/>
      </c>
      <c r="AO465">
        <f>IF($AK465=1,IFERROR(IF(VALUE($C465)&lt;100000000,VALUE($C465),1000000000),IFERROR(IF(VALUE(MID($C465,2,20))&lt;100000000,VALUE(MID($C465,2,20)),1000000000),1000000000))+ROW()/100000,"")</f>
        <v/>
      </c>
    </row>
    <row r="466">
      <c r="F466" s="11" t="n"/>
      <c r="N466" s="7">
        <f>IF($C466="","",M466*U466/100)</f>
        <v/>
      </c>
      <c r="T466" s="7" t="n"/>
      <c r="U466" s="7" t="n"/>
      <c r="V466" s="7">
        <f>IF($C466="","",U466*AA466/100)</f>
        <v/>
      </c>
      <c r="W466" s="7">
        <f>IF($C466="","",U466-V466)</f>
        <v/>
      </c>
      <c r="X466" s="7">
        <f>IF($C466="","",W466-N466)</f>
        <v/>
      </c>
      <c r="AA466">
        <f>IF($C466="","",IF($AN466=1,0,IF($AM466=1,Settings!$C$6,Settings!$C$7))*100)</f>
        <v/>
      </c>
      <c r="AE466" s="7" t="n"/>
      <c r="AH466" s="11" t="n"/>
      <c r="AJ466">
        <f>IF($C466="","",$C466&amp;"|"&amp;$D466&amp;"")</f>
        <v/>
      </c>
      <c r="AK466">
        <f>IF($C466="","",IF(COUNTIF($AJ$2:$AJ466,$AJ466)=1,1,0))</f>
        <v/>
      </c>
      <c r="AL466">
        <f>IF($AK466=1,SUMPRODUCT(--($AO$2:$AO$1501&lt;$AO466))+1,"")</f>
        <v/>
      </c>
      <c r="AM466">
        <f>IF($C466="","",IF(OR($Q466=TRUE(),$Q466="TRUE"),1,0))</f>
        <v/>
      </c>
      <c r="AN466">
        <f>IF($C466="","",IF($Z466="Yes",1,0))</f>
        <v/>
      </c>
      <c r="AO466">
        <f>IF($AK466=1,IFERROR(IF(VALUE($C466)&lt;100000000,VALUE($C466),1000000000),IFERROR(IF(VALUE(MID($C466,2,20))&lt;100000000,VALUE(MID($C466,2,20)),1000000000),1000000000))+ROW()/100000,"")</f>
        <v/>
      </c>
    </row>
    <row r="467">
      <c r="F467" s="11" t="n"/>
      <c r="N467" s="7">
        <f>IF($C467="","",M467*U467/100)</f>
        <v/>
      </c>
      <c r="T467" s="7" t="n"/>
      <c r="U467" s="7" t="n"/>
      <c r="V467" s="7">
        <f>IF($C467="","",U467*AA467/100)</f>
        <v/>
      </c>
      <c r="W467" s="7">
        <f>IF($C467="","",U467-V467)</f>
        <v/>
      </c>
      <c r="X467" s="7">
        <f>IF($C467="","",W467-N467)</f>
        <v/>
      </c>
      <c r="AA467">
        <f>IF($C467="","",IF($AN467=1,0,IF($AM467=1,Settings!$C$6,Settings!$C$7))*100)</f>
        <v/>
      </c>
      <c r="AE467" s="7" t="n"/>
      <c r="AH467" s="11" t="n"/>
      <c r="AJ467">
        <f>IF($C467="","",$C467&amp;"|"&amp;$D467&amp;"")</f>
        <v/>
      </c>
      <c r="AK467">
        <f>IF($C467="","",IF(COUNTIF($AJ$2:$AJ467,$AJ467)=1,1,0))</f>
        <v/>
      </c>
      <c r="AL467">
        <f>IF($AK467=1,SUMPRODUCT(--($AO$2:$AO$1501&lt;$AO467))+1,"")</f>
        <v/>
      </c>
      <c r="AM467">
        <f>IF($C467="","",IF(OR($Q467=TRUE(),$Q467="TRUE"),1,0))</f>
        <v/>
      </c>
      <c r="AN467">
        <f>IF($C467="","",IF($Z467="Yes",1,0))</f>
        <v/>
      </c>
      <c r="AO467">
        <f>IF($AK467=1,IFERROR(IF(VALUE($C467)&lt;100000000,VALUE($C467),1000000000),IFERROR(IF(VALUE(MID($C467,2,20))&lt;100000000,VALUE(MID($C467,2,20)),1000000000),1000000000))+ROW()/100000,"")</f>
        <v/>
      </c>
    </row>
    <row r="468">
      <c r="F468" s="11" t="n"/>
      <c r="N468" s="7">
        <f>IF($C468="","",M468*U468/100)</f>
        <v/>
      </c>
      <c r="T468" s="7" t="n"/>
      <c r="U468" s="7" t="n"/>
      <c r="V468" s="7">
        <f>IF($C468="","",U468*AA468/100)</f>
        <v/>
      </c>
      <c r="W468" s="7">
        <f>IF($C468="","",U468-V468)</f>
        <v/>
      </c>
      <c r="X468" s="7">
        <f>IF($C468="","",W468-N468)</f>
        <v/>
      </c>
      <c r="AA468">
        <f>IF($C468="","",IF($AN468=1,0,IF($AM468=1,Settings!$C$6,Settings!$C$7))*100)</f>
        <v/>
      </c>
      <c r="AE468" s="7" t="n"/>
      <c r="AH468" s="11" t="n"/>
      <c r="AJ468">
        <f>IF($C468="","",$C468&amp;"|"&amp;$D468&amp;"")</f>
        <v/>
      </c>
      <c r="AK468">
        <f>IF($C468="","",IF(COUNTIF($AJ$2:$AJ468,$AJ468)=1,1,0))</f>
        <v/>
      </c>
      <c r="AL468">
        <f>IF($AK468=1,SUMPRODUCT(--($AO$2:$AO$1501&lt;$AO468))+1,"")</f>
        <v/>
      </c>
      <c r="AM468">
        <f>IF($C468="","",IF(OR($Q468=TRUE(),$Q468="TRUE"),1,0))</f>
        <v/>
      </c>
      <c r="AN468">
        <f>IF($C468="","",IF($Z468="Yes",1,0))</f>
        <v/>
      </c>
      <c r="AO468">
        <f>IF($AK468=1,IFERROR(IF(VALUE($C468)&lt;100000000,VALUE($C468),1000000000),IFERROR(IF(VALUE(MID($C468,2,20))&lt;100000000,VALUE(MID($C468,2,20)),1000000000),1000000000))+ROW()/100000,"")</f>
        <v/>
      </c>
    </row>
    <row r="469">
      <c r="F469" s="11" t="n"/>
      <c r="N469" s="7">
        <f>IF($C469="","",M469*U469/100)</f>
        <v/>
      </c>
      <c r="T469" s="7" t="n"/>
      <c r="U469" s="7" t="n"/>
      <c r="V469" s="7">
        <f>IF($C469="","",U469*AA469/100)</f>
        <v/>
      </c>
      <c r="W469" s="7">
        <f>IF($C469="","",U469-V469)</f>
        <v/>
      </c>
      <c r="X469" s="7">
        <f>IF($C469="","",W469-N469)</f>
        <v/>
      </c>
      <c r="AA469">
        <f>IF($C469="","",IF($AN469=1,0,IF($AM469=1,Settings!$C$6,Settings!$C$7))*100)</f>
        <v/>
      </c>
      <c r="AE469" s="7" t="n"/>
      <c r="AH469" s="11" t="n"/>
      <c r="AJ469">
        <f>IF($C469="","",$C469&amp;"|"&amp;$D469&amp;"")</f>
        <v/>
      </c>
      <c r="AK469">
        <f>IF($C469="","",IF(COUNTIF($AJ$2:$AJ469,$AJ469)=1,1,0))</f>
        <v/>
      </c>
      <c r="AL469">
        <f>IF($AK469=1,SUMPRODUCT(--($AO$2:$AO$1501&lt;$AO469))+1,"")</f>
        <v/>
      </c>
      <c r="AM469">
        <f>IF($C469="","",IF(OR($Q469=TRUE(),$Q469="TRUE"),1,0))</f>
        <v/>
      </c>
      <c r="AN469">
        <f>IF($C469="","",IF($Z469="Yes",1,0))</f>
        <v/>
      </c>
      <c r="AO469">
        <f>IF($AK469=1,IFERROR(IF(VALUE($C469)&lt;100000000,VALUE($C469),1000000000),IFERROR(IF(VALUE(MID($C469,2,20))&lt;100000000,VALUE(MID($C469,2,20)),1000000000),1000000000))+ROW()/100000,"")</f>
        <v/>
      </c>
    </row>
    <row r="470">
      <c r="F470" s="11" t="n"/>
      <c r="N470" s="7">
        <f>IF($C470="","",M470*U470/100)</f>
        <v/>
      </c>
      <c r="T470" s="7" t="n"/>
      <c r="U470" s="7" t="n"/>
      <c r="V470" s="7">
        <f>IF($C470="","",U470*AA470/100)</f>
        <v/>
      </c>
      <c r="W470" s="7">
        <f>IF($C470="","",U470-V470)</f>
        <v/>
      </c>
      <c r="X470" s="7">
        <f>IF($C470="","",W470-N470)</f>
        <v/>
      </c>
      <c r="AA470">
        <f>IF($C470="","",IF($AN470=1,0,IF($AM470=1,Settings!$C$6,Settings!$C$7))*100)</f>
        <v/>
      </c>
      <c r="AE470" s="7" t="n"/>
      <c r="AH470" s="11" t="n"/>
      <c r="AJ470">
        <f>IF($C470="","",$C470&amp;"|"&amp;$D470&amp;"")</f>
        <v/>
      </c>
      <c r="AK470">
        <f>IF($C470="","",IF(COUNTIF($AJ$2:$AJ470,$AJ470)=1,1,0))</f>
        <v/>
      </c>
      <c r="AL470">
        <f>IF($AK470=1,SUMPRODUCT(--($AO$2:$AO$1501&lt;$AO470))+1,"")</f>
        <v/>
      </c>
      <c r="AM470">
        <f>IF($C470="","",IF(OR($Q470=TRUE(),$Q470="TRUE"),1,0))</f>
        <v/>
      </c>
      <c r="AN470">
        <f>IF($C470="","",IF($Z470="Yes",1,0))</f>
        <v/>
      </c>
      <c r="AO470">
        <f>IF($AK470=1,IFERROR(IF(VALUE($C470)&lt;100000000,VALUE($C470),1000000000),IFERROR(IF(VALUE(MID($C470,2,20))&lt;100000000,VALUE(MID($C470,2,20)),1000000000),1000000000))+ROW()/100000,"")</f>
        <v/>
      </c>
    </row>
    <row r="471">
      <c r="F471" s="11" t="n"/>
      <c r="N471" s="7">
        <f>IF($C471="","",M471*U471/100)</f>
        <v/>
      </c>
      <c r="T471" s="7" t="n"/>
      <c r="U471" s="7" t="n"/>
      <c r="V471" s="7">
        <f>IF($C471="","",U471*AA471/100)</f>
        <v/>
      </c>
      <c r="W471" s="7">
        <f>IF($C471="","",U471-V471)</f>
        <v/>
      </c>
      <c r="X471" s="7">
        <f>IF($C471="","",W471-N471)</f>
        <v/>
      </c>
      <c r="AA471">
        <f>IF($C471="","",IF($AN471=1,0,IF($AM471=1,Settings!$C$6,Settings!$C$7))*100)</f>
        <v/>
      </c>
      <c r="AE471" s="7" t="n"/>
      <c r="AH471" s="11" t="n"/>
      <c r="AJ471">
        <f>IF($C471="","",$C471&amp;"|"&amp;$D471&amp;"")</f>
        <v/>
      </c>
      <c r="AK471">
        <f>IF($C471="","",IF(COUNTIF($AJ$2:$AJ471,$AJ471)=1,1,0))</f>
        <v/>
      </c>
      <c r="AL471">
        <f>IF($AK471=1,SUMPRODUCT(--($AO$2:$AO$1501&lt;$AO471))+1,"")</f>
        <v/>
      </c>
      <c r="AM471">
        <f>IF($C471="","",IF(OR($Q471=TRUE(),$Q471="TRUE"),1,0))</f>
        <v/>
      </c>
      <c r="AN471">
        <f>IF($C471="","",IF($Z471="Yes",1,0))</f>
        <v/>
      </c>
      <c r="AO471">
        <f>IF($AK471=1,IFERROR(IF(VALUE($C471)&lt;100000000,VALUE($C471),1000000000),IFERROR(IF(VALUE(MID($C471,2,20))&lt;100000000,VALUE(MID($C471,2,20)),1000000000),1000000000))+ROW()/100000,"")</f>
        <v/>
      </c>
    </row>
    <row r="472">
      <c r="F472" s="11" t="n"/>
      <c r="N472" s="7">
        <f>IF($C472="","",M472*U472/100)</f>
        <v/>
      </c>
      <c r="T472" s="7" t="n"/>
      <c r="U472" s="7" t="n"/>
      <c r="V472" s="7">
        <f>IF($C472="","",U472*AA472/100)</f>
        <v/>
      </c>
      <c r="W472" s="7">
        <f>IF($C472="","",U472-V472)</f>
        <v/>
      </c>
      <c r="X472" s="7">
        <f>IF($C472="","",W472-N472)</f>
        <v/>
      </c>
      <c r="AA472">
        <f>IF($C472="","",IF($AN472=1,0,IF($AM472=1,Settings!$C$6,Settings!$C$7))*100)</f>
        <v/>
      </c>
      <c r="AE472" s="7" t="n"/>
      <c r="AH472" s="11" t="n"/>
      <c r="AJ472">
        <f>IF($C472="","",$C472&amp;"|"&amp;$D472&amp;"")</f>
        <v/>
      </c>
      <c r="AK472">
        <f>IF($C472="","",IF(COUNTIF($AJ$2:$AJ472,$AJ472)=1,1,0))</f>
        <v/>
      </c>
      <c r="AL472">
        <f>IF($AK472=1,SUMPRODUCT(--($AO$2:$AO$1501&lt;$AO472))+1,"")</f>
        <v/>
      </c>
      <c r="AM472">
        <f>IF($C472="","",IF(OR($Q472=TRUE(),$Q472="TRUE"),1,0))</f>
        <v/>
      </c>
      <c r="AN472">
        <f>IF($C472="","",IF($Z472="Yes",1,0))</f>
        <v/>
      </c>
      <c r="AO472">
        <f>IF($AK472=1,IFERROR(IF(VALUE($C472)&lt;100000000,VALUE($C472),1000000000),IFERROR(IF(VALUE(MID($C472,2,20))&lt;100000000,VALUE(MID($C472,2,20)),1000000000),1000000000))+ROW()/100000,"")</f>
        <v/>
      </c>
    </row>
    <row r="473">
      <c r="F473" s="11" t="n"/>
      <c r="N473" s="7">
        <f>IF($C473="","",M473*U473/100)</f>
        <v/>
      </c>
      <c r="T473" s="7" t="n"/>
      <c r="U473" s="7" t="n"/>
      <c r="V473" s="7">
        <f>IF($C473="","",U473*AA473/100)</f>
        <v/>
      </c>
      <c r="W473" s="7">
        <f>IF($C473="","",U473-V473)</f>
        <v/>
      </c>
      <c r="X473" s="7">
        <f>IF($C473="","",W473-N473)</f>
        <v/>
      </c>
      <c r="AA473">
        <f>IF($C473="","",IF($AN473=1,0,IF($AM473=1,Settings!$C$6,Settings!$C$7))*100)</f>
        <v/>
      </c>
      <c r="AE473" s="7" t="n"/>
      <c r="AH473" s="11" t="n"/>
      <c r="AJ473">
        <f>IF($C473="","",$C473&amp;"|"&amp;$D473&amp;"")</f>
        <v/>
      </c>
      <c r="AK473">
        <f>IF($C473="","",IF(COUNTIF($AJ$2:$AJ473,$AJ473)=1,1,0))</f>
        <v/>
      </c>
      <c r="AL473">
        <f>IF($AK473=1,SUMPRODUCT(--($AO$2:$AO$1501&lt;$AO473))+1,"")</f>
        <v/>
      </c>
      <c r="AM473">
        <f>IF($C473="","",IF(OR($Q473=TRUE(),$Q473="TRUE"),1,0))</f>
        <v/>
      </c>
      <c r="AN473">
        <f>IF($C473="","",IF($Z473="Yes",1,0))</f>
        <v/>
      </c>
      <c r="AO473">
        <f>IF($AK473=1,IFERROR(IF(VALUE($C473)&lt;100000000,VALUE($C473),1000000000),IFERROR(IF(VALUE(MID($C473,2,20))&lt;100000000,VALUE(MID($C473,2,20)),1000000000),1000000000))+ROW()/100000,"")</f>
        <v/>
      </c>
    </row>
    <row r="474">
      <c r="F474" s="11" t="n"/>
      <c r="N474" s="7">
        <f>IF($C474="","",M474*U474/100)</f>
        <v/>
      </c>
      <c r="T474" s="7" t="n"/>
      <c r="U474" s="7" t="n"/>
      <c r="V474" s="7">
        <f>IF($C474="","",U474*AA474/100)</f>
        <v/>
      </c>
      <c r="W474" s="7">
        <f>IF($C474="","",U474-V474)</f>
        <v/>
      </c>
      <c r="X474" s="7">
        <f>IF($C474="","",W474-N474)</f>
        <v/>
      </c>
      <c r="AA474">
        <f>IF($C474="","",IF($AN474=1,0,IF($AM474=1,Settings!$C$6,Settings!$C$7))*100)</f>
        <v/>
      </c>
      <c r="AE474" s="7" t="n"/>
      <c r="AH474" s="11" t="n"/>
      <c r="AJ474">
        <f>IF($C474="","",$C474&amp;"|"&amp;$D474&amp;"")</f>
        <v/>
      </c>
      <c r="AK474">
        <f>IF($C474="","",IF(COUNTIF($AJ$2:$AJ474,$AJ474)=1,1,0))</f>
        <v/>
      </c>
      <c r="AL474">
        <f>IF($AK474=1,SUMPRODUCT(--($AO$2:$AO$1501&lt;$AO474))+1,"")</f>
        <v/>
      </c>
      <c r="AM474">
        <f>IF($C474="","",IF(OR($Q474=TRUE(),$Q474="TRUE"),1,0))</f>
        <v/>
      </c>
      <c r="AN474">
        <f>IF($C474="","",IF($Z474="Yes",1,0))</f>
        <v/>
      </c>
      <c r="AO474">
        <f>IF($AK474=1,IFERROR(IF(VALUE($C474)&lt;100000000,VALUE($C474),1000000000),IFERROR(IF(VALUE(MID($C474,2,20))&lt;100000000,VALUE(MID($C474,2,20)),1000000000),1000000000))+ROW()/100000,"")</f>
        <v/>
      </c>
    </row>
    <row r="475">
      <c r="F475" s="11" t="n"/>
      <c r="N475" s="7">
        <f>IF($C475="","",M475*U475/100)</f>
        <v/>
      </c>
      <c r="T475" s="7" t="n"/>
      <c r="U475" s="7" t="n"/>
      <c r="V475" s="7">
        <f>IF($C475="","",U475*AA475/100)</f>
        <v/>
      </c>
      <c r="W475" s="7">
        <f>IF($C475="","",U475-V475)</f>
        <v/>
      </c>
      <c r="X475" s="7">
        <f>IF($C475="","",W475-N475)</f>
        <v/>
      </c>
      <c r="AA475">
        <f>IF($C475="","",IF($AN475=1,0,IF($AM475=1,Settings!$C$6,Settings!$C$7))*100)</f>
        <v/>
      </c>
      <c r="AE475" s="7" t="n"/>
      <c r="AH475" s="11" t="n"/>
      <c r="AJ475">
        <f>IF($C475="","",$C475&amp;"|"&amp;$D475&amp;"")</f>
        <v/>
      </c>
      <c r="AK475">
        <f>IF($C475="","",IF(COUNTIF($AJ$2:$AJ475,$AJ475)=1,1,0))</f>
        <v/>
      </c>
      <c r="AL475">
        <f>IF($AK475=1,SUMPRODUCT(--($AO$2:$AO$1501&lt;$AO475))+1,"")</f>
        <v/>
      </c>
      <c r="AM475">
        <f>IF($C475="","",IF(OR($Q475=TRUE(),$Q475="TRUE"),1,0))</f>
        <v/>
      </c>
      <c r="AN475">
        <f>IF($C475="","",IF($Z475="Yes",1,0))</f>
        <v/>
      </c>
      <c r="AO475">
        <f>IF($AK475=1,IFERROR(IF(VALUE($C475)&lt;100000000,VALUE($C475),1000000000),IFERROR(IF(VALUE(MID($C475,2,20))&lt;100000000,VALUE(MID($C475,2,20)),1000000000),1000000000))+ROW()/100000,"")</f>
        <v/>
      </c>
    </row>
    <row r="476">
      <c r="F476" s="11" t="n"/>
      <c r="N476" s="7">
        <f>IF($C476="","",M476*U476/100)</f>
        <v/>
      </c>
      <c r="T476" s="7" t="n"/>
      <c r="U476" s="7" t="n"/>
      <c r="V476" s="7">
        <f>IF($C476="","",U476*AA476/100)</f>
        <v/>
      </c>
      <c r="W476" s="7">
        <f>IF($C476="","",U476-V476)</f>
        <v/>
      </c>
      <c r="X476" s="7">
        <f>IF($C476="","",W476-N476)</f>
        <v/>
      </c>
      <c r="AA476">
        <f>IF($C476="","",IF($AN476=1,0,IF($AM476=1,Settings!$C$6,Settings!$C$7))*100)</f>
        <v/>
      </c>
      <c r="AE476" s="7" t="n"/>
      <c r="AH476" s="11" t="n"/>
      <c r="AJ476">
        <f>IF($C476="","",$C476&amp;"|"&amp;$D476&amp;"")</f>
        <v/>
      </c>
      <c r="AK476">
        <f>IF($C476="","",IF(COUNTIF($AJ$2:$AJ476,$AJ476)=1,1,0))</f>
        <v/>
      </c>
      <c r="AL476">
        <f>IF($AK476=1,SUMPRODUCT(--($AO$2:$AO$1501&lt;$AO476))+1,"")</f>
        <v/>
      </c>
      <c r="AM476">
        <f>IF($C476="","",IF(OR($Q476=TRUE(),$Q476="TRUE"),1,0))</f>
        <v/>
      </c>
      <c r="AN476">
        <f>IF($C476="","",IF($Z476="Yes",1,0))</f>
        <v/>
      </c>
      <c r="AO476">
        <f>IF($AK476=1,IFERROR(IF(VALUE($C476)&lt;100000000,VALUE($C476),1000000000),IFERROR(IF(VALUE(MID($C476,2,20))&lt;100000000,VALUE(MID($C476,2,20)),1000000000),1000000000))+ROW()/100000,"")</f>
        <v/>
      </c>
    </row>
    <row r="477">
      <c r="F477" s="11" t="n"/>
      <c r="N477" s="7">
        <f>IF($C477="","",M477*U477/100)</f>
        <v/>
      </c>
      <c r="T477" s="7" t="n"/>
      <c r="U477" s="7" t="n"/>
      <c r="V477" s="7">
        <f>IF($C477="","",U477*AA477/100)</f>
        <v/>
      </c>
      <c r="W477" s="7">
        <f>IF($C477="","",U477-V477)</f>
        <v/>
      </c>
      <c r="X477" s="7">
        <f>IF($C477="","",W477-N477)</f>
        <v/>
      </c>
      <c r="AA477">
        <f>IF($C477="","",IF($AN477=1,0,IF($AM477=1,Settings!$C$6,Settings!$C$7))*100)</f>
        <v/>
      </c>
      <c r="AE477" s="7" t="n"/>
      <c r="AH477" s="11" t="n"/>
      <c r="AJ477">
        <f>IF($C477="","",$C477&amp;"|"&amp;$D477&amp;"")</f>
        <v/>
      </c>
      <c r="AK477">
        <f>IF($C477="","",IF(COUNTIF($AJ$2:$AJ477,$AJ477)=1,1,0))</f>
        <v/>
      </c>
      <c r="AL477">
        <f>IF($AK477=1,SUMPRODUCT(--($AO$2:$AO$1501&lt;$AO477))+1,"")</f>
        <v/>
      </c>
      <c r="AM477">
        <f>IF($C477="","",IF(OR($Q477=TRUE(),$Q477="TRUE"),1,0))</f>
        <v/>
      </c>
      <c r="AN477">
        <f>IF($C477="","",IF($Z477="Yes",1,0))</f>
        <v/>
      </c>
      <c r="AO477">
        <f>IF($AK477=1,IFERROR(IF(VALUE($C477)&lt;100000000,VALUE($C477),1000000000),IFERROR(IF(VALUE(MID($C477,2,20))&lt;100000000,VALUE(MID($C477,2,20)),1000000000),1000000000))+ROW()/100000,"")</f>
        <v/>
      </c>
    </row>
    <row r="478">
      <c r="F478" s="11" t="n"/>
      <c r="N478" s="7">
        <f>IF($C478="","",M478*U478/100)</f>
        <v/>
      </c>
      <c r="T478" s="7" t="n"/>
      <c r="U478" s="7" t="n"/>
      <c r="V478" s="7">
        <f>IF($C478="","",U478*AA478/100)</f>
        <v/>
      </c>
      <c r="W478" s="7">
        <f>IF($C478="","",U478-V478)</f>
        <v/>
      </c>
      <c r="X478" s="7">
        <f>IF($C478="","",W478-N478)</f>
        <v/>
      </c>
      <c r="AA478">
        <f>IF($C478="","",IF($AN478=1,0,IF($AM478=1,Settings!$C$6,Settings!$C$7))*100)</f>
        <v/>
      </c>
      <c r="AE478" s="7" t="n"/>
      <c r="AH478" s="11" t="n"/>
      <c r="AJ478">
        <f>IF($C478="","",$C478&amp;"|"&amp;$D478&amp;"")</f>
        <v/>
      </c>
      <c r="AK478">
        <f>IF($C478="","",IF(COUNTIF($AJ$2:$AJ478,$AJ478)=1,1,0))</f>
        <v/>
      </c>
      <c r="AL478">
        <f>IF($AK478=1,SUMPRODUCT(--($AO$2:$AO$1501&lt;$AO478))+1,"")</f>
        <v/>
      </c>
      <c r="AM478">
        <f>IF($C478="","",IF(OR($Q478=TRUE(),$Q478="TRUE"),1,0))</f>
        <v/>
      </c>
      <c r="AN478">
        <f>IF($C478="","",IF($Z478="Yes",1,0))</f>
        <v/>
      </c>
      <c r="AO478">
        <f>IF($AK478=1,IFERROR(IF(VALUE($C478)&lt;100000000,VALUE($C478),1000000000),IFERROR(IF(VALUE(MID($C478,2,20))&lt;100000000,VALUE(MID($C478,2,20)),1000000000),1000000000))+ROW()/100000,"")</f>
        <v/>
      </c>
    </row>
    <row r="479">
      <c r="F479" s="11" t="n"/>
      <c r="N479" s="7">
        <f>IF($C479="","",M479*U479/100)</f>
        <v/>
      </c>
      <c r="T479" s="7" t="n"/>
      <c r="U479" s="7" t="n"/>
      <c r="V479" s="7">
        <f>IF($C479="","",U479*AA479/100)</f>
        <v/>
      </c>
      <c r="W479" s="7">
        <f>IF($C479="","",U479-V479)</f>
        <v/>
      </c>
      <c r="X479" s="7">
        <f>IF($C479="","",W479-N479)</f>
        <v/>
      </c>
      <c r="AA479">
        <f>IF($C479="","",IF($AN479=1,0,IF($AM479=1,Settings!$C$6,Settings!$C$7))*100)</f>
        <v/>
      </c>
      <c r="AE479" s="7" t="n"/>
      <c r="AH479" s="11" t="n"/>
      <c r="AJ479">
        <f>IF($C479="","",$C479&amp;"|"&amp;$D479&amp;"")</f>
        <v/>
      </c>
      <c r="AK479">
        <f>IF($C479="","",IF(COUNTIF($AJ$2:$AJ479,$AJ479)=1,1,0))</f>
        <v/>
      </c>
      <c r="AL479">
        <f>IF($AK479=1,SUMPRODUCT(--($AO$2:$AO$1501&lt;$AO479))+1,"")</f>
        <v/>
      </c>
      <c r="AM479">
        <f>IF($C479="","",IF(OR($Q479=TRUE(),$Q479="TRUE"),1,0))</f>
        <v/>
      </c>
      <c r="AN479">
        <f>IF($C479="","",IF($Z479="Yes",1,0))</f>
        <v/>
      </c>
      <c r="AO479">
        <f>IF($AK479=1,IFERROR(IF(VALUE($C479)&lt;100000000,VALUE($C479),1000000000),IFERROR(IF(VALUE(MID($C479,2,20))&lt;100000000,VALUE(MID($C479,2,20)),1000000000),1000000000))+ROW()/100000,"")</f>
        <v/>
      </c>
    </row>
    <row r="480">
      <c r="F480" s="11" t="n"/>
      <c r="N480" s="7">
        <f>IF($C480="","",M480*U480/100)</f>
        <v/>
      </c>
      <c r="T480" s="7" t="n"/>
      <c r="U480" s="7" t="n"/>
      <c r="V480" s="7">
        <f>IF($C480="","",U480*AA480/100)</f>
        <v/>
      </c>
      <c r="W480" s="7">
        <f>IF($C480="","",U480-V480)</f>
        <v/>
      </c>
      <c r="X480" s="7">
        <f>IF($C480="","",W480-N480)</f>
        <v/>
      </c>
      <c r="AA480">
        <f>IF($C480="","",IF($AN480=1,0,IF($AM480=1,Settings!$C$6,Settings!$C$7))*100)</f>
        <v/>
      </c>
      <c r="AE480" s="7" t="n"/>
      <c r="AH480" s="11" t="n"/>
      <c r="AJ480">
        <f>IF($C480="","",$C480&amp;"|"&amp;$D480&amp;"")</f>
        <v/>
      </c>
      <c r="AK480">
        <f>IF($C480="","",IF(COUNTIF($AJ$2:$AJ480,$AJ480)=1,1,0))</f>
        <v/>
      </c>
      <c r="AL480">
        <f>IF($AK480=1,SUMPRODUCT(--($AO$2:$AO$1501&lt;$AO480))+1,"")</f>
        <v/>
      </c>
      <c r="AM480">
        <f>IF($C480="","",IF(OR($Q480=TRUE(),$Q480="TRUE"),1,0))</f>
        <v/>
      </c>
      <c r="AN480">
        <f>IF($C480="","",IF($Z480="Yes",1,0))</f>
        <v/>
      </c>
      <c r="AO480">
        <f>IF($AK480=1,IFERROR(IF(VALUE($C480)&lt;100000000,VALUE($C480),1000000000),IFERROR(IF(VALUE(MID($C480,2,20))&lt;100000000,VALUE(MID($C480,2,20)),1000000000),1000000000))+ROW()/100000,"")</f>
        <v/>
      </c>
    </row>
    <row r="481">
      <c r="F481" s="11" t="n"/>
      <c r="N481" s="7">
        <f>IF($C481="","",M481*U481/100)</f>
        <v/>
      </c>
      <c r="T481" s="7" t="n"/>
      <c r="U481" s="7" t="n"/>
      <c r="V481" s="7">
        <f>IF($C481="","",U481*AA481/100)</f>
        <v/>
      </c>
      <c r="W481" s="7">
        <f>IF($C481="","",U481-V481)</f>
        <v/>
      </c>
      <c r="X481" s="7">
        <f>IF($C481="","",W481-N481)</f>
        <v/>
      </c>
      <c r="AA481">
        <f>IF($C481="","",IF($AN481=1,0,IF($AM481=1,Settings!$C$6,Settings!$C$7))*100)</f>
        <v/>
      </c>
      <c r="AE481" s="7" t="n"/>
      <c r="AH481" s="11" t="n"/>
      <c r="AJ481">
        <f>IF($C481="","",$C481&amp;"|"&amp;$D481&amp;"")</f>
        <v/>
      </c>
      <c r="AK481">
        <f>IF($C481="","",IF(COUNTIF($AJ$2:$AJ481,$AJ481)=1,1,0))</f>
        <v/>
      </c>
      <c r="AL481">
        <f>IF($AK481=1,SUMPRODUCT(--($AO$2:$AO$1501&lt;$AO481))+1,"")</f>
        <v/>
      </c>
      <c r="AM481">
        <f>IF($C481="","",IF(OR($Q481=TRUE(),$Q481="TRUE"),1,0))</f>
        <v/>
      </c>
      <c r="AN481">
        <f>IF($C481="","",IF($Z481="Yes",1,0))</f>
        <v/>
      </c>
      <c r="AO481">
        <f>IF($AK481=1,IFERROR(IF(VALUE($C481)&lt;100000000,VALUE($C481),1000000000),IFERROR(IF(VALUE(MID($C481,2,20))&lt;100000000,VALUE(MID($C481,2,20)),1000000000),1000000000))+ROW()/100000,"")</f>
        <v/>
      </c>
    </row>
    <row r="482">
      <c r="F482" s="11" t="n"/>
      <c r="N482" s="7">
        <f>IF($C482="","",M482*U482/100)</f>
        <v/>
      </c>
      <c r="T482" s="7" t="n"/>
      <c r="U482" s="7" t="n"/>
      <c r="V482" s="7">
        <f>IF($C482="","",U482*AA482/100)</f>
        <v/>
      </c>
      <c r="W482" s="7">
        <f>IF($C482="","",U482-V482)</f>
        <v/>
      </c>
      <c r="X482" s="7">
        <f>IF($C482="","",W482-N482)</f>
        <v/>
      </c>
      <c r="AA482">
        <f>IF($C482="","",IF($AN482=1,0,IF($AM482=1,Settings!$C$6,Settings!$C$7))*100)</f>
        <v/>
      </c>
      <c r="AE482" s="7" t="n"/>
      <c r="AH482" s="11" t="n"/>
      <c r="AJ482">
        <f>IF($C482="","",$C482&amp;"|"&amp;$D482&amp;"")</f>
        <v/>
      </c>
      <c r="AK482">
        <f>IF($C482="","",IF(COUNTIF($AJ$2:$AJ482,$AJ482)=1,1,0))</f>
        <v/>
      </c>
      <c r="AL482">
        <f>IF($AK482=1,SUMPRODUCT(--($AO$2:$AO$1501&lt;$AO482))+1,"")</f>
        <v/>
      </c>
      <c r="AM482">
        <f>IF($C482="","",IF(OR($Q482=TRUE(),$Q482="TRUE"),1,0))</f>
        <v/>
      </c>
      <c r="AN482">
        <f>IF($C482="","",IF($Z482="Yes",1,0))</f>
        <v/>
      </c>
      <c r="AO482">
        <f>IF($AK482=1,IFERROR(IF(VALUE($C482)&lt;100000000,VALUE($C482),1000000000),IFERROR(IF(VALUE(MID($C482,2,20))&lt;100000000,VALUE(MID($C482,2,20)),1000000000),1000000000))+ROW()/100000,"")</f>
        <v/>
      </c>
    </row>
    <row r="483">
      <c r="F483" s="11" t="n"/>
      <c r="N483" s="7">
        <f>IF($C483="","",M483*U483/100)</f>
        <v/>
      </c>
      <c r="T483" s="7" t="n"/>
      <c r="U483" s="7" t="n"/>
      <c r="V483" s="7">
        <f>IF($C483="","",U483*AA483/100)</f>
        <v/>
      </c>
      <c r="W483" s="7">
        <f>IF($C483="","",U483-V483)</f>
        <v/>
      </c>
      <c r="X483" s="7">
        <f>IF($C483="","",W483-N483)</f>
        <v/>
      </c>
      <c r="AA483">
        <f>IF($C483="","",IF($AN483=1,0,IF($AM483=1,Settings!$C$6,Settings!$C$7))*100)</f>
        <v/>
      </c>
      <c r="AE483" s="7" t="n"/>
      <c r="AH483" s="11" t="n"/>
      <c r="AJ483">
        <f>IF($C483="","",$C483&amp;"|"&amp;$D483&amp;"")</f>
        <v/>
      </c>
      <c r="AK483">
        <f>IF($C483="","",IF(COUNTIF($AJ$2:$AJ483,$AJ483)=1,1,0))</f>
        <v/>
      </c>
      <c r="AL483">
        <f>IF($AK483=1,SUMPRODUCT(--($AO$2:$AO$1501&lt;$AO483))+1,"")</f>
        <v/>
      </c>
      <c r="AM483">
        <f>IF($C483="","",IF(OR($Q483=TRUE(),$Q483="TRUE"),1,0))</f>
        <v/>
      </c>
      <c r="AN483">
        <f>IF($C483="","",IF($Z483="Yes",1,0))</f>
        <v/>
      </c>
      <c r="AO483">
        <f>IF($AK483=1,IFERROR(IF(VALUE($C483)&lt;100000000,VALUE($C483),1000000000),IFERROR(IF(VALUE(MID($C483,2,20))&lt;100000000,VALUE(MID($C483,2,20)),1000000000),1000000000))+ROW()/100000,"")</f>
        <v/>
      </c>
    </row>
    <row r="484">
      <c r="F484" s="11" t="n"/>
      <c r="N484" s="7">
        <f>IF($C484="","",M484*U484/100)</f>
        <v/>
      </c>
      <c r="T484" s="7" t="n"/>
      <c r="U484" s="7" t="n"/>
      <c r="V484" s="7">
        <f>IF($C484="","",U484*AA484/100)</f>
        <v/>
      </c>
      <c r="W484" s="7">
        <f>IF($C484="","",U484-V484)</f>
        <v/>
      </c>
      <c r="X484" s="7">
        <f>IF($C484="","",W484-N484)</f>
        <v/>
      </c>
      <c r="AA484">
        <f>IF($C484="","",IF($AN484=1,0,IF($AM484=1,Settings!$C$6,Settings!$C$7))*100)</f>
        <v/>
      </c>
      <c r="AE484" s="7" t="n"/>
      <c r="AH484" s="11" t="n"/>
      <c r="AJ484">
        <f>IF($C484="","",$C484&amp;"|"&amp;$D484&amp;"")</f>
        <v/>
      </c>
      <c r="AK484">
        <f>IF($C484="","",IF(COUNTIF($AJ$2:$AJ484,$AJ484)=1,1,0))</f>
        <v/>
      </c>
      <c r="AL484">
        <f>IF($AK484=1,SUMPRODUCT(--($AO$2:$AO$1501&lt;$AO484))+1,"")</f>
        <v/>
      </c>
      <c r="AM484">
        <f>IF($C484="","",IF(OR($Q484=TRUE(),$Q484="TRUE"),1,0))</f>
        <v/>
      </c>
      <c r="AN484">
        <f>IF($C484="","",IF($Z484="Yes",1,0))</f>
        <v/>
      </c>
      <c r="AO484">
        <f>IF($AK484=1,IFERROR(IF(VALUE($C484)&lt;100000000,VALUE($C484),1000000000),IFERROR(IF(VALUE(MID($C484,2,20))&lt;100000000,VALUE(MID($C484,2,20)),1000000000),1000000000))+ROW()/100000,"")</f>
        <v/>
      </c>
    </row>
    <row r="485">
      <c r="F485" s="11" t="n"/>
      <c r="N485" s="7">
        <f>IF($C485="","",M485*U485/100)</f>
        <v/>
      </c>
      <c r="T485" s="7" t="n"/>
      <c r="U485" s="7" t="n"/>
      <c r="V485" s="7">
        <f>IF($C485="","",U485*AA485/100)</f>
        <v/>
      </c>
      <c r="W485" s="7">
        <f>IF($C485="","",U485-V485)</f>
        <v/>
      </c>
      <c r="X485" s="7">
        <f>IF($C485="","",W485-N485)</f>
        <v/>
      </c>
      <c r="AA485">
        <f>IF($C485="","",IF($AN485=1,0,IF($AM485=1,Settings!$C$6,Settings!$C$7))*100)</f>
        <v/>
      </c>
      <c r="AE485" s="7" t="n"/>
      <c r="AH485" s="11" t="n"/>
      <c r="AJ485">
        <f>IF($C485="","",$C485&amp;"|"&amp;$D485&amp;"")</f>
        <v/>
      </c>
      <c r="AK485">
        <f>IF($C485="","",IF(COUNTIF($AJ$2:$AJ485,$AJ485)=1,1,0))</f>
        <v/>
      </c>
      <c r="AL485">
        <f>IF($AK485=1,SUMPRODUCT(--($AO$2:$AO$1501&lt;$AO485))+1,"")</f>
        <v/>
      </c>
      <c r="AM485">
        <f>IF($C485="","",IF(OR($Q485=TRUE(),$Q485="TRUE"),1,0))</f>
        <v/>
      </c>
      <c r="AN485">
        <f>IF($C485="","",IF($Z485="Yes",1,0))</f>
        <v/>
      </c>
      <c r="AO485">
        <f>IF($AK485=1,IFERROR(IF(VALUE($C485)&lt;100000000,VALUE($C485),1000000000),IFERROR(IF(VALUE(MID($C485,2,20))&lt;100000000,VALUE(MID($C485,2,20)),1000000000),1000000000))+ROW()/100000,"")</f>
        <v/>
      </c>
    </row>
    <row r="486">
      <c r="F486" s="11" t="n"/>
      <c r="N486" s="7">
        <f>IF($C486="","",M486*U486/100)</f>
        <v/>
      </c>
      <c r="T486" s="7" t="n"/>
      <c r="U486" s="7" t="n"/>
      <c r="V486" s="7">
        <f>IF($C486="","",U486*AA486/100)</f>
        <v/>
      </c>
      <c r="W486" s="7">
        <f>IF($C486="","",U486-V486)</f>
        <v/>
      </c>
      <c r="X486" s="7">
        <f>IF($C486="","",W486-N486)</f>
        <v/>
      </c>
      <c r="AA486">
        <f>IF($C486="","",IF($AN486=1,0,IF($AM486=1,Settings!$C$6,Settings!$C$7))*100)</f>
        <v/>
      </c>
      <c r="AE486" s="7" t="n"/>
      <c r="AH486" s="11" t="n"/>
      <c r="AJ486">
        <f>IF($C486="","",$C486&amp;"|"&amp;$D486&amp;"")</f>
        <v/>
      </c>
      <c r="AK486">
        <f>IF($C486="","",IF(COUNTIF($AJ$2:$AJ486,$AJ486)=1,1,0))</f>
        <v/>
      </c>
      <c r="AL486">
        <f>IF($AK486=1,SUMPRODUCT(--($AO$2:$AO$1501&lt;$AO486))+1,"")</f>
        <v/>
      </c>
      <c r="AM486">
        <f>IF($C486="","",IF(OR($Q486=TRUE(),$Q486="TRUE"),1,0))</f>
        <v/>
      </c>
      <c r="AN486">
        <f>IF($C486="","",IF($Z486="Yes",1,0))</f>
        <v/>
      </c>
      <c r="AO486">
        <f>IF($AK486=1,IFERROR(IF(VALUE($C486)&lt;100000000,VALUE($C486),1000000000),IFERROR(IF(VALUE(MID($C486,2,20))&lt;100000000,VALUE(MID($C486,2,20)),1000000000),1000000000))+ROW()/100000,"")</f>
        <v/>
      </c>
    </row>
    <row r="487">
      <c r="F487" s="11" t="n"/>
      <c r="N487" s="7">
        <f>IF($C487="","",M487*U487/100)</f>
        <v/>
      </c>
      <c r="T487" s="7" t="n"/>
      <c r="U487" s="7" t="n"/>
      <c r="V487" s="7">
        <f>IF($C487="","",U487*AA487/100)</f>
        <v/>
      </c>
      <c r="W487" s="7">
        <f>IF($C487="","",U487-V487)</f>
        <v/>
      </c>
      <c r="X487" s="7">
        <f>IF($C487="","",W487-N487)</f>
        <v/>
      </c>
      <c r="AA487">
        <f>IF($C487="","",IF($AN487=1,0,IF($AM487=1,Settings!$C$6,Settings!$C$7))*100)</f>
        <v/>
      </c>
      <c r="AE487" s="7" t="n"/>
      <c r="AH487" s="11" t="n"/>
      <c r="AJ487">
        <f>IF($C487="","",$C487&amp;"|"&amp;$D487&amp;"")</f>
        <v/>
      </c>
      <c r="AK487">
        <f>IF($C487="","",IF(COUNTIF($AJ$2:$AJ487,$AJ487)=1,1,0))</f>
        <v/>
      </c>
      <c r="AL487">
        <f>IF($AK487=1,SUMPRODUCT(--($AO$2:$AO$1501&lt;$AO487))+1,"")</f>
        <v/>
      </c>
      <c r="AM487">
        <f>IF($C487="","",IF(OR($Q487=TRUE(),$Q487="TRUE"),1,0))</f>
        <v/>
      </c>
      <c r="AN487">
        <f>IF($C487="","",IF($Z487="Yes",1,0))</f>
        <v/>
      </c>
      <c r="AO487">
        <f>IF($AK487=1,IFERROR(IF(VALUE($C487)&lt;100000000,VALUE($C487),1000000000),IFERROR(IF(VALUE(MID($C487,2,20))&lt;100000000,VALUE(MID($C487,2,20)),1000000000),1000000000))+ROW()/100000,"")</f>
        <v/>
      </c>
    </row>
    <row r="488">
      <c r="F488" s="11" t="n"/>
      <c r="N488" s="7">
        <f>IF($C488="","",M488*U488/100)</f>
        <v/>
      </c>
      <c r="T488" s="7" t="n"/>
      <c r="U488" s="7" t="n"/>
      <c r="V488" s="7">
        <f>IF($C488="","",U488*AA488/100)</f>
        <v/>
      </c>
      <c r="W488" s="7">
        <f>IF($C488="","",U488-V488)</f>
        <v/>
      </c>
      <c r="X488" s="7">
        <f>IF($C488="","",W488-N488)</f>
        <v/>
      </c>
      <c r="AA488">
        <f>IF($C488="","",IF($AN488=1,0,IF($AM488=1,Settings!$C$6,Settings!$C$7))*100)</f>
        <v/>
      </c>
      <c r="AE488" s="7" t="n"/>
      <c r="AH488" s="11" t="n"/>
      <c r="AJ488">
        <f>IF($C488="","",$C488&amp;"|"&amp;$D488&amp;"")</f>
        <v/>
      </c>
      <c r="AK488">
        <f>IF($C488="","",IF(COUNTIF($AJ$2:$AJ488,$AJ488)=1,1,0))</f>
        <v/>
      </c>
      <c r="AL488">
        <f>IF($AK488=1,SUMPRODUCT(--($AO$2:$AO$1501&lt;$AO488))+1,"")</f>
        <v/>
      </c>
      <c r="AM488">
        <f>IF($C488="","",IF(OR($Q488=TRUE(),$Q488="TRUE"),1,0))</f>
        <v/>
      </c>
      <c r="AN488">
        <f>IF($C488="","",IF($Z488="Yes",1,0))</f>
        <v/>
      </c>
      <c r="AO488">
        <f>IF($AK488=1,IFERROR(IF(VALUE($C488)&lt;100000000,VALUE($C488),1000000000),IFERROR(IF(VALUE(MID($C488,2,20))&lt;100000000,VALUE(MID($C488,2,20)),1000000000),1000000000))+ROW()/100000,"")</f>
        <v/>
      </c>
    </row>
    <row r="489">
      <c r="F489" s="11" t="n"/>
      <c r="N489" s="7">
        <f>IF($C489="","",M489*U489/100)</f>
        <v/>
      </c>
      <c r="T489" s="7" t="n"/>
      <c r="U489" s="7" t="n"/>
      <c r="V489" s="7">
        <f>IF($C489="","",U489*AA489/100)</f>
        <v/>
      </c>
      <c r="W489" s="7">
        <f>IF($C489="","",U489-V489)</f>
        <v/>
      </c>
      <c r="X489" s="7">
        <f>IF($C489="","",W489-N489)</f>
        <v/>
      </c>
      <c r="AA489">
        <f>IF($C489="","",IF($AN489=1,0,IF($AM489=1,Settings!$C$6,Settings!$C$7))*100)</f>
        <v/>
      </c>
      <c r="AE489" s="7" t="n"/>
      <c r="AH489" s="11" t="n"/>
      <c r="AJ489">
        <f>IF($C489="","",$C489&amp;"|"&amp;$D489&amp;"")</f>
        <v/>
      </c>
      <c r="AK489">
        <f>IF($C489="","",IF(COUNTIF($AJ$2:$AJ489,$AJ489)=1,1,0))</f>
        <v/>
      </c>
      <c r="AL489">
        <f>IF($AK489=1,SUMPRODUCT(--($AO$2:$AO$1501&lt;$AO489))+1,"")</f>
        <v/>
      </c>
      <c r="AM489">
        <f>IF($C489="","",IF(OR($Q489=TRUE(),$Q489="TRUE"),1,0))</f>
        <v/>
      </c>
      <c r="AN489">
        <f>IF($C489="","",IF($Z489="Yes",1,0))</f>
        <v/>
      </c>
      <c r="AO489">
        <f>IF($AK489=1,IFERROR(IF(VALUE($C489)&lt;100000000,VALUE($C489),1000000000),IFERROR(IF(VALUE(MID($C489,2,20))&lt;100000000,VALUE(MID($C489,2,20)),1000000000),1000000000))+ROW()/100000,"")</f>
        <v/>
      </c>
    </row>
    <row r="490">
      <c r="F490" s="11" t="n"/>
      <c r="N490" s="7">
        <f>IF($C490="","",M490*U490/100)</f>
        <v/>
      </c>
      <c r="T490" s="7" t="n"/>
      <c r="U490" s="7" t="n"/>
      <c r="V490" s="7">
        <f>IF($C490="","",U490*AA490/100)</f>
        <v/>
      </c>
      <c r="W490" s="7">
        <f>IF($C490="","",U490-V490)</f>
        <v/>
      </c>
      <c r="X490" s="7">
        <f>IF($C490="","",W490-N490)</f>
        <v/>
      </c>
      <c r="AA490">
        <f>IF($C490="","",IF($AN490=1,0,IF($AM490=1,Settings!$C$6,Settings!$C$7))*100)</f>
        <v/>
      </c>
      <c r="AE490" s="7" t="n"/>
      <c r="AH490" s="11" t="n"/>
      <c r="AJ490">
        <f>IF($C490="","",$C490&amp;"|"&amp;$D490&amp;"")</f>
        <v/>
      </c>
      <c r="AK490">
        <f>IF($C490="","",IF(COUNTIF($AJ$2:$AJ490,$AJ490)=1,1,0))</f>
        <v/>
      </c>
      <c r="AL490">
        <f>IF($AK490=1,SUMPRODUCT(--($AO$2:$AO$1501&lt;$AO490))+1,"")</f>
        <v/>
      </c>
      <c r="AM490">
        <f>IF($C490="","",IF(OR($Q490=TRUE(),$Q490="TRUE"),1,0))</f>
        <v/>
      </c>
      <c r="AN490">
        <f>IF($C490="","",IF($Z490="Yes",1,0))</f>
        <v/>
      </c>
      <c r="AO490">
        <f>IF($AK490=1,IFERROR(IF(VALUE($C490)&lt;100000000,VALUE($C490),1000000000),IFERROR(IF(VALUE(MID($C490,2,20))&lt;100000000,VALUE(MID($C490,2,20)),1000000000),1000000000))+ROW()/100000,"")</f>
        <v/>
      </c>
    </row>
    <row r="491">
      <c r="F491" s="11" t="n"/>
      <c r="N491" s="7">
        <f>IF($C491="","",M491*U491/100)</f>
        <v/>
      </c>
      <c r="T491" s="7" t="n"/>
      <c r="U491" s="7" t="n"/>
      <c r="V491" s="7">
        <f>IF($C491="","",U491*AA491/100)</f>
        <v/>
      </c>
      <c r="W491" s="7">
        <f>IF($C491="","",U491-V491)</f>
        <v/>
      </c>
      <c r="X491" s="7">
        <f>IF($C491="","",W491-N491)</f>
        <v/>
      </c>
      <c r="AA491">
        <f>IF($C491="","",IF($AN491=1,0,IF($AM491=1,Settings!$C$6,Settings!$C$7))*100)</f>
        <v/>
      </c>
      <c r="AE491" s="7" t="n"/>
      <c r="AH491" s="11" t="n"/>
      <c r="AJ491">
        <f>IF($C491="","",$C491&amp;"|"&amp;$D491&amp;"")</f>
        <v/>
      </c>
      <c r="AK491">
        <f>IF($C491="","",IF(COUNTIF($AJ$2:$AJ491,$AJ491)=1,1,0))</f>
        <v/>
      </c>
      <c r="AL491">
        <f>IF($AK491=1,SUMPRODUCT(--($AO$2:$AO$1501&lt;$AO491))+1,"")</f>
        <v/>
      </c>
      <c r="AM491">
        <f>IF($C491="","",IF(OR($Q491=TRUE(),$Q491="TRUE"),1,0))</f>
        <v/>
      </c>
      <c r="AN491">
        <f>IF($C491="","",IF($Z491="Yes",1,0))</f>
        <v/>
      </c>
      <c r="AO491">
        <f>IF($AK491=1,IFERROR(IF(VALUE($C491)&lt;100000000,VALUE($C491),1000000000),IFERROR(IF(VALUE(MID($C491,2,20))&lt;100000000,VALUE(MID($C491,2,20)),1000000000),1000000000))+ROW()/100000,"")</f>
        <v/>
      </c>
    </row>
    <row r="492">
      <c r="F492" s="11" t="n"/>
      <c r="N492" s="7">
        <f>IF($C492="","",M492*U492/100)</f>
        <v/>
      </c>
      <c r="T492" s="7" t="n"/>
      <c r="U492" s="7" t="n"/>
      <c r="V492" s="7">
        <f>IF($C492="","",U492*AA492/100)</f>
        <v/>
      </c>
      <c r="W492" s="7">
        <f>IF($C492="","",U492-V492)</f>
        <v/>
      </c>
      <c r="X492" s="7">
        <f>IF($C492="","",W492-N492)</f>
        <v/>
      </c>
      <c r="AA492">
        <f>IF($C492="","",IF($AN492=1,0,IF($AM492=1,Settings!$C$6,Settings!$C$7))*100)</f>
        <v/>
      </c>
      <c r="AE492" s="7" t="n"/>
      <c r="AH492" s="11" t="n"/>
      <c r="AJ492">
        <f>IF($C492="","",$C492&amp;"|"&amp;$D492&amp;"")</f>
        <v/>
      </c>
      <c r="AK492">
        <f>IF($C492="","",IF(COUNTIF($AJ$2:$AJ492,$AJ492)=1,1,0))</f>
        <v/>
      </c>
      <c r="AL492">
        <f>IF($AK492=1,SUMPRODUCT(--($AO$2:$AO$1501&lt;$AO492))+1,"")</f>
        <v/>
      </c>
      <c r="AM492">
        <f>IF($C492="","",IF(OR($Q492=TRUE(),$Q492="TRUE"),1,0))</f>
        <v/>
      </c>
      <c r="AN492">
        <f>IF($C492="","",IF($Z492="Yes",1,0))</f>
        <v/>
      </c>
      <c r="AO492">
        <f>IF($AK492=1,IFERROR(IF(VALUE($C492)&lt;100000000,VALUE($C492),1000000000),IFERROR(IF(VALUE(MID($C492,2,20))&lt;100000000,VALUE(MID($C492,2,20)),1000000000),1000000000))+ROW()/100000,"")</f>
        <v/>
      </c>
    </row>
    <row r="493">
      <c r="F493" s="11" t="n"/>
      <c r="N493" s="7">
        <f>IF($C493="","",M493*U493/100)</f>
        <v/>
      </c>
      <c r="T493" s="7" t="n"/>
      <c r="U493" s="7" t="n"/>
      <c r="V493" s="7">
        <f>IF($C493="","",U493*AA493/100)</f>
        <v/>
      </c>
      <c r="W493" s="7">
        <f>IF($C493="","",U493-V493)</f>
        <v/>
      </c>
      <c r="X493" s="7">
        <f>IF($C493="","",W493-N493)</f>
        <v/>
      </c>
      <c r="AA493">
        <f>IF($C493="","",IF($AN493=1,0,IF($AM493=1,Settings!$C$6,Settings!$C$7))*100)</f>
        <v/>
      </c>
      <c r="AE493" s="7" t="n"/>
      <c r="AH493" s="11" t="n"/>
      <c r="AJ493">
        <f>IF($C493="","",$C493&amp;"|"&amp;$D493&amp;"")</f>
        <v/>
      </c>
      <c r="AK493">
        <f>IF($C493="","",IF(COUNTIF($AJ$2:$AJ493,$AJ493)=1,1,0))</f>
        <v/>
      </c>
      <c r="AL493">
        <f>IF($AK493=1,SUMPRODUCT(--($AO$2:$AO$1501&lt;$AO493))+1,"")</f>
        <v/>
      </c>
      <c r="AM493">
        <f>IF($C493="","",IF(OR($Q493=TRUE(),$Q493="TRUE"),1,0))</f>
        <v/>
      </c>
      <c r="AN493">
        <f>IF($C493="","",IF($Z493="Yes",1,0))</f>
        <v/>
      </c>
      <c r="AO493">
        <f>IF($AK493=1,IFERROR(IF(VALUE($C493)&lt;100000000,VALUE($C493),1000000000),IFERROR(IF(VALUE(MID($C493,2,20))&lt;100000000,VALUE(MID($C493,2,20)),1000000000),1000000000))+ROW()/100000,"")</f>
        <v/>
      </c>
    </row>
    <row r="494">
      <c r="F494" s="11" t="n"/>
      <c r="N494" s="7">
        <f>IF($C494="","",M494*U494/100)</f>
        <v/>
      </c>
      <c r="T494" s="7" t="n"/>
      <c r="U494" s="7" t="n"/>
      <c r="V494" s="7">
        <f>IF($C494="","",U494*AA494/100)</f>
        <v/>
      </c>
      <c r="W494" s="7">
        <f>IF($C494="","",U494-V494)</f>
        <v/>
      </c>
      <c r="X494" s="7">
        <f>IF($C494="","",W494-N494)</f>
        <v/>
      </c>
      <c r="AA494">
        <f>IF($C494="","",IF($AN494=1,0,IF($AM494=1,Settings!$C$6,Settings!$C$7))*100)</f>
        <v/>
      </c>
      <c r="AE494" s="7" t="n"/>
      <c r="AH494" s="11" t="n"/>
      <c r="AJ494">
        <f>IF($C494="","",$C494&amp;"|"&amp;$D494&amp;"")</f>
        <v/>
      </c>
      <c r="AK494">
        <f>IF($C494="","",IF(COUNTIF($AJ$2:$AJ494,$AJ494)=1,1,0))</f>
        <v/>
      </c>
      <c r="AL494">
        <f>IF($AK494=1,SUMPRODUCT(--($AO$2:$AO$1501&lt;$AO494))+1,"")</f>
        <v/>
      </c>
      <c r="AM494">
        <f>IF($C494="","",IF(OR($Q494=TRUE(),$Q494="TRUE"),1,0))</f>
        <v/>
      </c>
      <c r="AN494">
        <f>IF($C494="","",IF($Z494="Yes",1,0))</f>
        <v/>
      </c>
      <c r="AO494">
        <f>IF($AK494=1,IFERROR(IF(VALUE($C494)&lt;100000000,VALUE($C494),1000000000),IFERROR(IF(VALUE(MID($C494,2,20))&lt;100000000,VALUE(MID($C494,2,20)),1000000000),1000000000))+ROW()/100000,"")</f>
        <v/>
      </c>
    </row>
    <row r="495">
      <c r="F495" s="11" t="n"/>
      <c r="N495" s="7">
        <f>IF($C495="","",M495*U495/100)</f>
        <v/>
      </c>
      <c r="T495" s="7" t="n"/>
      <c r="U495" s="7" t="n"/>
      <c r="V495" s="7">
        <f>IF($C495="","",U495*AA495/100)</f>
        <v/>
      </c>
      <c r="W495" s="7">
        <f>IF($C495="","",U495-V495)</f>
        <v/>
      </c>
      <c r="X495" s="7">
        <f>IF($C495="","",W495-N495)</f>
        <v/>
      </c>
      <c r="AA495">
        <f>IF($C495="","",IF($AN495=1,0,IF($AM495=1,Settings!$C$6,Settings!$C$7))*100)</f>
        <v/>
      </c>
      <c r="AE495" s="7" t="n"/>
      <c r="AH495" s="11" t="n"/>
      <c r="AJ495">
        <f>IF($C495="","",$C495&amp;"|"&amp;$D495&amp;"")</f>
        <v/>
      </c>
      <c r="AK495">
        <f>IF($C495="","",IF(COUNTIF($AJ$2:$AJ495,$AJ495)=1,1,0))</f>
        <v/>
      </c>
      <c r="AL495">
        <f>IF($AK495=1,SUMPRODUCT(--($AO$2:$AO$1501&lt;$AO495))+1,"")</f>
        <v/>
      </c>
      <c r="AM495">
        <f>IF($C495="","",IF(OR($Q495=TRUE(),$Q495="TRUE"),1,0))</f>
        <v/>
      </c>
      <c r="AN495">
        <f>IF($C495="","",IF($Z495="Yes",1,0))</f>
        <v/>
      </c>
      <c r="AO495">
        <f>IF($AK495=1,IFERROR(IF(VALUE($C495)&lt;100000000,VALUE($C495),1000000000),IFERROR(IF(VALUE(MID($C495,2,20))&lt;100000000,VALUE(MID($C495,2,20)),1000000000),1000000000))+ROW()/100000,"")</f>
        <v/>
      </c>
    </row>
    <row r="496">
      <c r="F496" s="11" t="n"/>
      <c r="N496" s="7">
        <f>IF($C496="","",M496*U496/100)</f>
        <v/>
      </c>
      <c r="T496" s="7" t="n"/>
      <c r="U496" s="7" t="n"/>
      <c r="V496" s="7">
        <f>IF($C496="","",U496*AA496/100)</f>
        <v/>
      </c>
      <c r="W496" s="7">
        <f>IF($C496="","",U496-V496)</f>
        <v/>
      </c>
      <c r="X496" s="7">
        <f>IF($C496="","",W496-N496)</f>
        <v/>
      </c>
      <c r="AA496">
        <f>IF($C496="","",IF($AN496=1,0,IF($AM496=1,Settings!$C$6,Settings!$C$7))*100)</f>
        <v/>
      </c>
      <c r="AE496" s="7" t="n"/>
      <c r="AH496" s="11" t="n"/>
      <c r="AJ496">
        <f>IF($C496="","",$C496&amp;"|"&amp;$D496&amp;"")</f>
        <v/>
      </c>
      <c r="AK496">
        <f>IF($C496="","",IF(COUNTIF($AJ$2:$AJ496,$AJ496)=1,1,0))</f>
        <v/>
      </c>
      <c r="AL496">
        <f>IF($AK496=1,SUMPRODUCT(--($AO$2:$AO$1501&lt;$AO496))+1,"")</f>
        <v/>
      </c>
      <c r="AM496">
        <f>IF($C496="","",IF(OR($Q496=TRUE(),$Q496="TRUE"),1,0))</f>
        <v/>
      </c>
      <c r="AN496">
        <f>IF($C496="","",IF($Z496="Yes",1,0))</f>
        <v/>
      </c>
      <c r="AO496">
        <f>IF($AK496=1,IFERROR(IF(VALUE($C496)&lt;100000000,VALUE($C496),1000000000),IFERROR(IF(VALUE(MID($C496,2,20))&lt;100000000,VALUE(MID($C496,2,20)),1000000000),1000000000))+ROW()/100000,"")</f>
        <v/>
      </c>
    </row>
    <row r="497">
      <c r="F497" s="11" t="n"/>
      <c r="N497" s="7">
        <f>IF($C497="","",M497*U497/100)</f>
        <v/>
      </c>
      <c r="T497" s="7" t="n"/>
      <c r="U497" s="7" t="n"/>
      <c r="V497" s="7">
        <f>IF($C497="","",U497*AA497/100)</f>
        <v/>
      </c>
      <c r="W497" s="7">
        <f>IF($C497="","",U497-V497)</f>
        <v/>
      </c>
      <c r="X497" s="7">
        <f>IF($C497="","",W497-N497)</f>
        <v/>
      </c>
      <c r="AA497">
        <f>IF($C497="","",IF($AN497=1,0,IF($AM497=1,Settings!$C$6,Settings!$C$7))*100)</f>
        <v/>
      </c>
      <c r="AE497" s="7" t="n"/>
      <c r="AH497" s="11" t="n"/>
      <c r="AJ497">
        <f>IF($C497="","",$C497&amp;"|"&amp;$D497&amp;"")</f>
        <v/>
      </c>
      <c r="AK497">
        <f>IF($C497="","",IF(COUNTIF($AJ$2:$AJ497,$AJ497)=1,1,0))</f>
        <v/>
      </c>
      <c r="AL497">
        <f>IF($AK497=1,SUMPRODUCT(--($AO$2:$AO$1501&lt;$AO497))+1,"")</f>
        <v/>
      </c>
      <c r="AM497">
        <f>IF($C497="","",IF(OR($Q497=TRUE(),$Q497="TRUE"),1,0))</f>
        <v/>
      </c>
      <c r="AN497">
        <f>IF($C497="","",IF($Z497="Yes",1,0))</f>
        <v/>
      </c>
      <c r="AO497">
        <f>IF($AK497=1,IFERROR(IF(VALUE($C497)&lt;100000000,VALUE($C497),1000000000),IFERROR(IF(VALUE(MID($C497,2,20))&lt;100000000,VALUE(MID($C497,2,20)),1000000000),1000000000))+ROW()/100000,"")</f>
        <v/>
      </c>
    </row>
    <row r="498">
      <c r="F498" s="11" t="n"/>
      <c r="N498" s="7">
        <f>IF($C498="","",M498*U498/100)</f>
        <v/>
      </c>
      <c r="T498" s="7" t="n"/>
      <c r="U498" s="7" t="n"/>
      <c r="V498" s="7">
        <f>IF($C498="","",U498*AA498/100)</f>
        <v/>
      </c>
      <c r="W498" s="7">
        <f>IF($C498="","",U498-V498)</f>
        <v/>
      </c>
      <c r="X498" s="7">
        <f>IF($C498="","",W498-N498)</f>
        <v/>
      </c>
      <c r="AA498">
        <f>IF($C498="","",IF($AN498=1,0,IF($AM498=1,Settings!$C$6,Settings!$C$7))*100)</f>
        <v/>
      </c>
      <c r="AE498" s="7" t="n"/>
      <c r="AH498" s="11" t="n"/>
      <c r="AJ498">
        <f>IF($C498="","",$C498&amp;"|"&amp;$D498&amp;"")</f>
        <v/>
      </c>
      <c r="AK498">
        <f>IF($C498="","",IF(COUNTIF($AJ$2:$AJ498,$AJ498)=1,1,0))</f>
        <v/>
      </c>
      <c r="AL498">
        <f>IF($AK498=1,SUMPRODUCT(--($AO$2:$AO$1501&lt;$AO498))+1,"")</f>
        <v/>
      </c>
      <c r="AM498">
        <f>IF($C498="","",IF(OR($Q498=TRUE(),$Q498="TRUE"),1,0))</f>
        <v/>
      </c>
      <c r="AN498">
        <f>IF($C498="","",IF($Z498="Yes",1,0))</f>
        <v/>
      </c>
      <c r="AO498">
        <f>IF($AK498=1,IFERROR(IF(VALUE($C498)&lt;100000000,VALUE($C498),1000000000),IFERROR(IF(VALUE(MID($C498,2,20))&lt;100000000,VALUE(MID($C498,2,20)),1000000000),1000000000))+ROW()/100000,"")</f>
        <v/>
      </c>
    </row>
    <row r="499">
      <c r="F499" s="11" t="n"/>
      <c r="N499" s="7">
        <f>IF($C499="","",M499*U499/100)</f>
        <v/>
      </c>
      <c r="T499" s="7" t="n"/>
      <c r="U499" s="7" t="n"/>
      <c r="V499" s="7">
        <f>IF($C499="","",U499*AA499/100)</f>
        <v/>
      </c>
      <c r="W499" s="7">
        <f>IF($C499="","",U499-V499)</f>
        <v/>
      </c>
      <c r="X499" s="7">
        <f>IF($C499="","",W499-N499)</f>
        <v/>
      </c>
      <c r="AA499">
        <f>IF($C499="","",IF($AN499=1,0,IF($AM499=1,Settings!$C$6,Settings!$C$7))*100)</f>
        <v/>
      </c>
      <c r="AE499" s="7" t="n"/>
      <c r="AH499" s="11" t="n"/>
      <c r="AJ499">
        <f>IF($C499="","",$C499&amp;"|"&amp;$D499&amp;"")</f>
        <v/>
      </c>
      <c r="AK499">
        <f>IF($C499="","",IF(COUNTIF($AJ$2:$AJ499,$AJ499)=1,1,0))</f>
        <v/>
      </c>
      <c r="AL499">
        <f>IF($AK499=1,SUMPRODUCT(--($AO$2:$AO$1501&lt;$AO499))+1,"")</f>
        <v/>
      </c>
      <c r="AM499">
        <f>IF($C499="","",IF(OR($Q499=TRUE(),$Q499="TRUE"),1,0))</f>
        <v/>
      </c>
      <c r="AN499">
        <f>IF($C499="","",IF($Z499="Yes",1,0))</f>
        <v/>
      </c>
      <c r="AO499">
        <f>IF($AK499=1,IFERROR(IF(VALUE($C499)&lt;100000000,VALUE($C499),1000000000),IFERROR(IF(VALUE(MID($C499,2,20))&lt;100000000,VALUE(MID($C499,2,20)),1000000000),1000000000))+ROW()/100000,"")</f>
        <v/>
      </c>
    </row>
    <row r="500">
      <c r="F500" s="11" t="n"/>
      <c r="N500" s="7">
        <f>IF($C500="","",M500*U500/100)</f>
        <v/>
      </c>
      <c r="T500" s="7" t="n"/>
      <c r="U500" s="7" t="n"/>
      <c r="V500" s="7">
        <f>IF($C500="","",U500*AA500/100)</f>
        <v/>
      </c>
      <c r="W500" s="7">
        <f>IF($C500="","",U500-V500)</f>
        <v/>
      </c>
      <c r="X500" s="7">
        <f>IF($C500="","",W500-N500)</f>
        <v/>
      </c>
      <c r="AA500">
        <f>IF($C500="","",IF($AN500=1,0,IF($AM500=1,Settings!$C$6,Settings!$C$7))*100)</f>
        <v/>
      </c>
      <c r="AE500" s="7" t="n"/>
      <c r="AH500" s="11" t="n"/>
      <c r="AJ500">
        <f>IF($C500="","",$C500&amp;"|"&amp;$D500&amp;"")</f>
        <v/>
      </c>
      <c r="AK500">
        <f>IF($C500="","",IF(COUNTIF($AJ$2:$AJ500,$AJ500)=1,1,0))</f>
        <v/>
      </c>
      <c r="AL500">
        <f>IF($AK500=1,SUMPRODUCT(--($AO$2:$AO$1501&lt;$AO500))+1,"")</f>
        <v/>
      </c>
      <c r="AM500">
        <f>IF($C500="","",IF(OR($Q500=TRUE(),$Q500="TRUE"),1,0))</f>
        <v/>
      </c>
      <c r="AN500">
        <f>IF($C500="","",IF($Z500="Yes",1,0))</f>
        <v/>
      </c>
      <c r="AO500">
        <f>IF($AK500=1,IFERROR(IF(VALUE($C500)&lt;100000000,VALUE($C500),1000000000),IFERROR(IF(VALUE(MID($C500,2,20))&lt;100000000,VALUE(MID($C500,2,20)),1000000000),1000000000))+ROW()/100000,"")</f>
        <v/>
      </c>
    </row>
    <row r="501">
      <c r="F501" s="11" t="n"/>
      <c r="N501" s="7">
        <f>IF($C501="","",M501*U501/100)</f>
        <v/>
      </c>
      <c r="T501" s="7" t="n"/>
      <c r="U501" s="7" t="n"/>
      <c r="V501" s="7">
        <f>IF($C501="","",U501*AA501/100)</f>
        <v/>
      </c>
      <c r="W501" s="7">
        <f>IF($C501="","",U501-V501)</f>
        <v/>
      </c>
      <c r="X501" s="7">
        <f>IF($C501="","",W501-N501)</f>
        <v/>
      </c>
      <c r="AA501">
        <f>IF($C501="","",IF($AN501=1,0,IF($AM501=1,Settings!$C$6,Settings!$C$7))*100)</f>
        <v/>
      </c>
      <c r="AE501" s="7" t="n"/>
      <c r="AH501" s="11" t="n"/>
      <c r="AJ501">
        <f>IF($C501="","",$C501&amp;"|"&amp;$D501&amp;"")</f>
        <v/>
      </c>
      <c r="AK501">
        <f>IF($C501="","",IF(COUNTIF($AJ$2:$AJ501,$AJ501)=1,1,0))</f>
        <v/>
      </c>
      <c r="AL501">
        <f>IF($AK501=1,SUMPRODUCT(--($AO$2:$AO$1501&lt;$AO501))+1,"")</f>
        <v/>
      </c>
      <c r="AM501">
        <f>IF($C501="","",IF(OR($Q501=TRUE(),$Q501="TRUE"),1,0))</f>
        <v/>
      </c>
      <c r="AN501">
        <f>IF($C501="","",IF($Z501="Yes",1,0))</f>
        <v/>
      </c>
      <c r="AO501">
        <f>IF($AK501=1,IFERROR(IF(VALUE($C501)&lt;100000000,VALUE($C501),1000000000),IFERROR(IF(VALUE(MID($C501,2,20))&lt;100000000,VALUE(MID($C501,2,20)),1000000000),1000000000))+ROW()/100000,"")</f>
        <v/>
      </c>
    </row>
    <row r="502">
      <c r="F502" s="11" t="n"/>
      <c r="N502" s="7">
        <f>IF($C502="","",M502*U502/100)</f>
        <v/>
      </c>
      <c r="T502" s="7" t="n"/>
      <c r="U502" s="7" t="n"/>
      <c r="V502" s="7">
        <f>IF($C502="","",U502*AA502/100)</f>
        <v/>
      </c>
      <c r="W502" s="7">
        <f>IF($C502="","",U502-V502)</f>
        <v/>
      </c>
      <c r="X502" s="7">
        <f>IF($C502="","",W502-N502)</f>
        <v/>
      </c>
      <c r="AA502">
        <f>IF($C502="","",IF($AN502=1,0,IF($AM502=1,Settings!$C$6,Settings!$C$7))*100)</f>
        <v/>
      </c>
      <c r="AE502" s="7" t="n"/>
      <c r="AH502" s="11" t="n"/>
      <c r="AJ502">
        <f>IF($C502="","",$C502&amp;"|"&amp;$D502&amp;"")</f>
        <v/>
      </c>
      <c r="AK502">
        <f>IF($C502="","",IF(COUNTIF($AJ$2:$AJ502,$AJ502)=1,1,0))</f>
        <v/>
      </c>
      <c r="AL502">
        <f>IF($AK502=1,SUMPRODUCT(--($AO$2:$AO$1501&lt;$AO502))+1,"")</f>
        <v/>
      </c>
      <c r="AM502">
        <f>IF($C502="","",IF(OR($Q502=TRUE(),$Q502="TRUE"),1,0))</f>
        <v/>
      </c>
      <c r="AN502">
        <f>IF($C502="","",IF($Z502="Yes",1,0))</f>
        <v/>
      </c>
      <c r="AO502">
        <f>IF($AK502=1,IFERROR(IF(VALUE($C502)&lt;100000000,VALUE($C502),1000000000),IFERROR(IF(VALUE(MID($C502,2,20))&lt;100000000,VALUE(MID($C502,2,20)),1000000000),1000000000))+ROW()/100000,"")</f>
        <v/>
      </c>
    </row>
    <row r="503">
      <c r="F503" s="11" t="n"/>
      <c r="N503" s="7">
        <f>IF($C503="","",M503*U503/100)</f>
        <v/>
      </c>
      <c r="T503" s="7" t="n"/>
      <c r="U503" s="7" t="n"/>
      <c r="V503" s="7">
        <f>IF($C503="","",U503*AA503/100)</f>
        <v/>
      </c>
      <c r="W503" s="7">
        <f>IF($C503="","",U503-V503)</f>
        <v/>
      </c>
      <c r="X503" s="7">
        <f>IF($C503="","",W503-N503)</f>
        <v/>
      </c>
      <c r="AA503">
        <f>IF($C503="","",IF($AN503=1,0,IF($AM503=1,Settings!$C$6,Settings!$C$7))*100)</f>
        <v/>
      </c>
      <c r="AE503" s="7" t="n"/>
      <c r="AH503" s="11" t="n"/>
      <c r="AJ503">
        <f>IF($C503="","",$C503&amp;"|"&amp;$D503&amp;"")</f>
        <v/>
      </c>
      <c r="AK503">
        <f>IF($C503="","",IF(COUNTIF($AJ$2:$AJ503,$AJ503)=1,1,0))</f>
        <v/>
      </c>
      <c r="AL503">
        <f>IF($AK503=1,SUMPRODUCT(--($AO$2:$AO$1501&lt;$AO503))+1,"")</f>
        <v/>
      </c>
      <c r="AM503">
        <f>IF($C503="","",IF(OR($Q503=TRUE(),$Q503="TRUE"),1,0))</f>
        <v/>
      </c>
      <c r="AN503">
        <f>IF($C503="","",IF($Z503="Yes",1,0))</f>
        <v/>
      </c>
      <c r="AO503">
        <f>IF($AK503=1,IFERROR(IF(VALUE($C503)&lt;100000000,VALUE($C503),1000000000),IFERROR(IF(VALUE(MID($C503,2,20))&lt;100000000,VALUE(MID($C503,2,20)),1000000000),1000000000))+ROW()/100000,"")</f>
        <v/>
      </c>
    </row>
    <row r="504">
      <c r="F504" s="11" t="n"/>
      <c r="N504" s="7">
        <f>IF($C504="","",M504*U504/100)</f>
        <v/>
      </c>
      <c r="T504" s="7" t="n"/>
      <c r="U504" s="7" t="n"/>
      <c r="V504" s="7">
        <f>IF($C504="","",U504*AA504/100)</f>
        <v/>
      </c>
      <c r="W504" s="7">
        <f>IF($C504="","",U504-V504)</f>
        <v/>
      </c>
      <c r="X504" s="7">
        <f>IF($C504="","",W504-N504)</f>
        <v/>
      </c>
      <c r="AA504">
        <f>IF($C504="","",IF($AN504=1,0,IF($AM504=1,Settings!$C$6,Settings!$C$7))*100)</f>
        <v/>
      </c>
      <c r="AE504" s="7" t="n"/>
      <c r="AH504" s="11" t="n"/>
      <c r="AJ504">
        <f>IF($C504="","",$C504&amp;"|"&amp;$D504&amp;"")</f>
        <v/>
      </c>
      <c r="AK504">
        <f>IF($C504="","",IF(COUNTIF($AJ$2:$AJ504,$AJ504)=1,1,0))</f>
        <v/>
      </c>
      <c r="AL504">
        <f>IF($AK504=1,SUMPRODUCT(--($AO$2:$AO$1501&lt;$AO504))+1,"")</f>
        <v/>
      </c>
      <c r="AM504">
        <f>IF($C504="","",IF(OR($Q504=TRUE(),$Q504="TRUE"),1,0))</f>
        <v/>
      </c>
      <c r="AN504">
        <f>IF($C504="","",IF($Z504="Yes",1,0))</f>
        <v/>
      </c>
      <c r="AO504">
        <f>IF($AK504=1,IFERROR(IF(VALUE($C504)&lt;100000000,VALUE($C504),1000000000),IFERROR(IF(VALUE(MID($C504,2,20))&lt;100000000,VALUE(MID($C504,2,20)),1000000000),1000000000))+ROW()/100000,"")</f>
        <v/>
      </c>
    </row>
    <row r="505">
      <c r="F505" s="11" t="n"/>
      <c r="N505" s="7">
        <f>IF($C505="","",M505*U505/100)</f>
        <v/>
      </c>
      <c r="T505" s="7" t="n"/>
      <c r="U505" s="7" t="n"/>
      <c r="V505" s="7">
        <f>IF($C505="","",U505*AA505/100)</f>
        <v/>
      </c>
      <c r="W505" s="7">
        <f>IF($C505="","",U505-V505)</f>
        <v/>
      </c>
      <c r="X505" s="7">
        <f>IF($C505="","",W505-N505)</f>
        <v/>
      </c>
      <c r="AA505">
        <f>IF($C505="","",IF($AN505=1,0,IF($AM505=1,Settings!$C$6,Settings!$C$7))*100)</f>
        <v/>
      </c>
      <c r="AE505" s="7" t="n"/>
      <c r="AH505" s="11" t="n"/>
      <c r="AJ505">
        <f>IF($C505="","",$C505&amp;"|"&amp;$D505&amp;"")</f>
        <v/>
      </c>
      <c r="AK505">
        <f>IF($C505="","",IF(COUNTIF($AJ$2:$AJ505,$AJ505)=1,1,0))</f>
        <v/>
      </c>
      <c r="AL505">
        <f>IF($AK505=1,SUMPRODUCT(--($AO$2:$AO$1501&lt;$AO505))+1,"")</f>
        <v/>
      </c>
      <c r="AM505">
        <f>IF($C505="","",IF(OR($Q505=TRUE(),$Q505="TRUE"),1,0))</f>
        <v/>
      </c>
      <c r="AN505">
        <f>IF($C505="","",IF($Z505="Yes",1,0))</f>
        <v/>
      </c>
      <c r="AO505">
        <f>IF($AK505=1,IFERROR(IF(VALUE($C505)&lt;100000000,VALUE($C505),1000000000),IFERROR(IF(VALUE(MID($C505,2,20))&lt;100000000,VALUE(MID($C505,2,20)),1000000000),1000000000))+ROW()/100000,"")</f>
        <v/>
      </c>
    </row>
    <row r="506">
      <c r="F506" s="11" t="n"/>
      <c r="N506" s="7">
        <f>IF($C506="","",M506*U506/100)</f>
        <v/>
      </c>
      <c r="T506" s="7" t="n"/>
      <c r="U506" s="7" t="n"/>
      <c r="V506" s="7">
        <f>IF($C506="","",U506*AA506/100)</f>
        <v/>
      </c>
      <c r="W506" s="7">
        <f>IF($C506="","",U506-V506)</f>
        <v/>
      </c>
      <c r="X506" s="7">
        <f>IF($C506="","",W506-N506)</f>
        <v/>
      </c>
      <c r="AA506">
        <f>IF($C506="","",IF($AN506=1,0,IF($AM506=1,Settings!$C$6,Settings!$C$7))*100)</f>
        <v/>
      </c>
      <c r="AE506" s="7" t="n"/>
      <c r="AH506" s="11" t="n"/>
      <c r="AJ506">
        <f>IF($C506="","",$C506&amp;"|"&amp;$D506&amp;"")</f>
        <v/>
      </c>
      <c r="AK506">
        <f>IF($C506="","",IF(COUNTIF($AJ$2:$AJ506,$AJ506)=1,1,0))</f>
        <v/>
      </c>
      <c r="AL506">
        <f>IF($AK506=1,SUMPRODUCT(--($AO$2:$AO$1501&lt;$AO506))+1,"")</f>
        <v/>
      </c>
      <c r="AM506">
        <f>IF($C506="","",IF(OR($Q506=TRUE(),$Q506="TRUE"),1,0))</f>
        <v/>
      </c>
      <c r="AN506">
        <f>IF($C506="","",IF($Z506="Yes",1,0))</f>
        <v/>
      </c>
      <c r="AO506">
        <f>IF($AK506=1,IFERROR(IF(VALUE($C506)&lt;100000000,VALUE($C506),1000000000),IFERROR(IF(VALUE(MID($C506,2,20))&lt;100000000,VALUE(MID($C506,2,20)),1000000000),1000000000))+ROW()/100000,"")</f>
        <v/>
      </c>
    </row>
    <row r="507">
      <c r="F507" s="11" t="n"/>
      <c r="N507" s="7">
        <f>IF($C507="","",M507*U507/100)</f>
        <v/>
      </c>
      <c r="T507" s="7" t="n"/>
      <c r="U507" s="7" t="n"/>
      <c r="V507" s="7">
        <f>IF($C507="","",U507*AA507/100)</f>
        <v/>
      </c>
      <c r="W507" s="7">
        <f>IF($C507="","",U507-V507)</f>
        <v/>
      </c>
      <c r="X507" s="7">
        <f>IF($C507="","",W507-N507)</f>
        <v/>
      </c>
      <c r="AA507">
        <f>IF($C507="","",IF($AN507=1,0,IF($AM507=1,Settings!$C$6,Settings!$C$7))*100)</f>
        <v/>
      </c>
      <c r="AE507" s="7" t="n"/>
      <c r="AH507" s="11" t="n"/>
      <c r="AJ507">
        <f>IF($C507="","",$C507&amp;"|"&amp;$D507&amp;"")</f>
        <v/>
      </c>
      <c r="AK507">
        <f>IF($C507="","",IF(COUNTIF($AJ$2:$AJ507,$AJ507)=1,1,0))</f>
        <v/>
      </c>
      <c r="AL507">
        <f>IF($AK507=1,SUMPRODUCT(--($AO$2:$AO$1501&lt;$AO507))+1,"")</f>
        <v/>
      </c>
      <c r="AM507">
        <f>IF($C507="","",IF(OR($Q507=TRUE(),$Q507="TRUE"),1,0))</f>
        <v/>
      </c>
      <c r="AN507">
        <f>IF($C507="","",IF($Z507="Yes",1,0))</f>
        <v/>
      </c>
      <c r="AO507">
        <f>IF($AK507=1,IFERROR(IF(VALUE($C507)&lt;100000000,VALUE($C507),1000000000),IFERROR(IF(VALUE(MID($C507,2,20))&lt;100000000,VALUE(MID($C507,2,20)),1000000000),1000000000))+ROW()/100000,"")</f>
        <v/>
      </c>
    </row>
    <row r="508">
      <c r="F508" s="11" t="n"/>
      <c r="N508" s="7">
        <f>IF($C508="","",M508*U508/100)</f>
        <v/>
      </c>
      <c r="T508" s="7" t="n"/>
      <c r="U508" s="7" t="n"/>
      <c r="V508" s="7">
        <f>IF($C508="","",U508*AA508/100)</f>
        <v/>
      </c>
      <c r="W508" s="7">
        <f>IF($C508="","",U508-V508)</f>
        <v/>
      </c>
      <c r="X508" s="7">
        <f>IF($C508="","",W508-N508)</f>
        <v/>
      </c>
      <c r="AA508">
        <f>IF($C508="","",IF($AN508=1,0,IF($AM508=1,Settings!$C$6,Settings!$C$7))*100)</f>
        <v/>
      </c>
      <c r="AE508" s="7" t="n"/>
      <c r="AH508" s="11" t="n"/>
      <c r="AJ508">
        <f>IF($C508="","",$C508&amp;"|"&amp;$D508&amp;"")</f>
        <v/>
      </c>
      <c r="AK508">
        <f>IF($C508="","",IF(COUNTIF($AJ$2:$AJ508,$AJ508)=1,1,0))</f>
        <v/>
      </c>
      <c r="AL508">
        <f>IF($AK508=1,SUMPRODUCT(--($AO$2:$AO$1501&lt;$AO508))+1,"")</f>
        <v/>
      </c>
      <c r="AM508">
        <f>IF($C508="","",IF(OR($Q508=TRUE(),$Q508="TRUE"),1,0))</f>
        <v/>
      </c>
      <c r="AN508">
        <f>IF($C508="","",IF($Z508="Yes",1,0))</f>
        <v/>
      </c>
      <c r="AO508">
        <f>IF($AK508=1,IFERROR(IF(VALUE($C508)&lt;100000000,VALUE($C508),1000000000),IFERROR(IF(VALUE(MID($C508,2,20))&lt;100000000,VALUE(MID($C508,2,20)),1000000000),1000000000))+ROW()/100000,"")</f>
        <v/>
      </c>
    </row>
    <row r="509">
      <c r="F509" s="11" t="n"/>
      <c r="N509" s="7">
        <f>IF($C509="","",M509*U509/100)</f>
        <v/>
      </c>
      <c r="T509" s="7" t="n"/>
      <c r="U509" s="7" t="n"/>
      <c r="V509" s="7">
        <f>IF($C509="","",U509*AA509/100)</f>
        <v/>
      </c>
      <c r="W509" s="7">
        <f>IF($C509="","",U509-V509)</f>
        <v/>
      </c>
      <c r="X509" s="7">
        <f>IF($C509="","",W509-N509)</f>
        <v/>
      </c>
      <c r="AA509">
        <f>IF($C509="","",IF($AN509=1,0,IF($AM509=1,Settings!$C$6,Settings!$C$7))*100)</f>
        <v/>
      </c>
      <c r="AE509" s="7" t="n"/>
      <c r="AH509" s="11" t="n"/>
      <c r="AJ509">
        <f>IF($C509="","",$C509&amp;"|"&amp;$D509&amp;"")</f>
        <v/>
      </c>
      <c r="AK509">
        <f>IF($C509="","",IF(COUNTIF($AJ$2:$AJ509,$AJ509)=1,1,0))</f>
        <v/>
      </c>
      <c r="AL509">
        <f>IF($AK509=1,SUMPRODUCT(--($AO$2:$AO$1501&lt;$AO509))+1,"")</f>
        <v/>
      </c>
      <c r="AM509">
        <f>IF($C509="","",IF(OR($Q509=TRUE(),$Q509="TRUE"),1,0))</f>
        <v/>
      </c>
      <c r="AN509">
        <f>IF($C509="","",IF($Z509="Yes",1,0))</f>
        <v/>
      </c>
      <c r="AO509">
        <f>IF($AK509=1,IFERROR(IF(VALUE($C509)&lt;100000000,VALUE($C509),1000000000),IFERROR(IF(VALUE(MID($C509,2,20))&lt;100000000,VALUE(MID($C509,2,20)),1000000000),1000000000))+ROW()/100000,"")</f>
        <v/>
      </c>
    </row>
    <row r="510">
      <c r="F510" s="11" t="n"/>
      <c r="N510" s="7">
        <f>IF($C510="","",M510*U510/100)</f>
        <v/>
      </c>
      <c r="T510" s="7" t="n"/>
      <c r="U510" s="7" t="n"/>
      <c r="V510" s="7">
        <f>IF($C510="","",U510*AA510/100)</f>
        <v/>
      </c>
      <c r="W510" s="7">
        <f>IF($C510="","",U510-V510)</f>
        <v/>
      </c>
      <c r="X510" s="7">
        <f>IF($C510="","",W510-N510)</f>
        <v/>
      </c>
      <c r="AA510">
        <f>IF($C510="","",IF($AN510=1,0,IF($AM510=1,Settings!$C$6,Settings!$C$7))*100)</f>
        <v/>
      </c>
      <c r="AE510" s="7" t="n"/>
      <c r="AH510" s="11" t="n"/>
      <c r="AJ510">
        <f>IF($C510="","",$C510&amp;"|"&amp;$D510&amp;"")</f>
        <v/>
      </c>
      <c r="AK510">
        <f>IF($C510="","",IF(COUNTIF($AJ$2:$AJ510,$AJ510)=1,1,0))</f>
        <v/>
      </c>
      <c r="AL510">
        <f>IF($AK510=1,SUMPRODUCT(--($AO$2:$AO$1501&lt;$AO510))+1,"")</f>
        <v/>
      </c>
      <c r="AM510">
        <f>IF($C510="","",IF(OR($Q510=TRUE(),$Q510="TRUE"),1,0))</f>
        <v/>
      </c>
      <c r="AN510">
        <f>IF($C510="","",IF($Z510="Yes",1,0))</f>
        <v/>
      </c>
      <c r="AO510">
        <f>IF($AK510=1,IFERROR(IF(VALUE($C510)&lt;100000000,VALUE($C510),1000000000),IFERROR(IF(VALUE(MID($C510,2,20))&lt;100000000,VALUE(MID($C510,2,20)),1000000000),1000000000))+ROW()/100000,"")</f>
        <v/>
      </c>
    </row>
    <row r="511">
      <c r="F511" s="11" t="n"/>
      <c r="N511" s="7">
        <f>IF($C511="","",M511*U511/100)</f>
        <v/>
      </c>
      <c r="T511" s="7" t="n"/>
      <c r="U511" s="7" t="n"/>
      <c r="V511" s="7">
        <f>IF($C511="","",U511*AA511/100)</f>
        <v/>
      </c>
      <c r="W511" s="7">
        <f>IF($C511="","",U511-V511)</f>
        <v/>
      </c>
      <c r="X511" s="7">
        <f>IF($C511="","",W511-N511)</f>
        <v/>
      </c>
      <c r="AA511">
        <f>IF($C511="","",IF($AN511=1,0,IF($AM511=1,Settings!$C$6,Settings!$C$7))*100)</f>
        <v/>
      </c>
      <c r="AE511" s="7" t="n"/>
      <c r="AH511" s="11" t="n"/>
      <c r="AJ511">
        <f>IF($C511="","",$C511&amp;"|"&amp;$D511&amp;"")</f>
        <v/>
      </c>
      <c r="AK511">
        <f>IF($C511="","",IF(COUNTIF($AJ$2:$AJ511,$AJ511)=1,1,0))</f>
        <v/>
      </c>
      <c r="AL511">
        <f>IF($AK511=1,SUMPRODUCT(--($AO$2:$AO$1501&lt;$AO511))+1,"")</f>
        <v/>
      </c>
      <c r="AM511">
        <f>IF($C511="","",IF(OR($Q511=TRUE(),$Q511="TRUE"),1,0))</f>
        <v/>
      </c>
      <c r="AN511">
        <f>IF($C511="","",IF($Z511="Yes",1,0))</f>
        <v/>
      </c>
      <c r="AO511">
        <f>IF($AK511=1,IFERROR(IF(VALUE($C511)&lt;100000000,VALUE($C511),1000000000),IFERROR(IF(VALUE(MID($C511,2,20))&lt;100000000,VALUE(MID($C511,2,20)),1000000000),1000000000))+ROW()/100000,"")</f>
        <v/>
      </c>
    </row>
    <row r="512">
      <c r="F512" s="11" t="n"/>
      <c r="N512" s="7">
        <f>IF($C512="","",M512*U512/100)</f>
        <v/>
      </c>
      <c r="T512" s="7" t="n"/>
      <c r="U512" s="7" t="n"/>
      <c r="V512" s="7">
        <f>IF($C512="","",U512*AA512/100)</f>
        <v/>
      </c>
      <c r="W512" s="7">
        <f>IF($C512="","",U512-V512)</f>
        <v/>
      </c>
      <c r="X512" s="7">
        <f>IF($C512="","",W512-N512)</f>
        <v/>
      </c>
      <c r="AA512">
        <f>IF($C512="","",IF($AN512=1,0,IF($AM512=1,Settings!$C$6,Settings!$C$7))*100)</f>
        <v/>
      </c>
      <c r="AE512" s="7" t="n"/>
      <c r="AH512" s="11" t="n"/>
      <c r="AJ512">
        <f>IF($C512="","",$C512&amp;"|"&amp;$D512&amp;"")</f>
        <v/>
      </c>
      <c r="AK512">
        <f>IF($C512="","",IF(COUNTIF($AJ$2:$AJ512,$AJ512)=1,1,0))</f>
        <v/>
      </c>
      <c r="AL512">
        <f>IF($AK512=1,SUMPRODUCT(--($AO$2:$AO$1501&lt;$AO512))+1,"")</f>
        <v/>
      </c>
      <c r="AM512">
        <f>IF($C512="","",IF(OR($Q512=TRUE(),$Q512="TRUE"),1,0))</f>
        <v/>
      </c>
      <c r="AN512">
        <f>IF($C512="","",IF($Z512="Yes",1,0))</f>
        <v/>
      </c>
      <c r="AO512">
        <f>IF($AK512=1,IFERROR(IF(VALUE($C512)&lt;100000000,VALUE($C512),1000000000),IFERROR(IF(VALUE(MID($C512,2,20))&lt;100000000,VALUE(MID($C512,2,20)),1000000000),1000000000))+ROW()/100000,"")</f>
        <v/>
      </c>
    </row>
    <row r="513">
      <c r="F513" s="11" t="n"/>
      <c r="N513" s="7">
        <f>IF($C513="","",M513*U513/100)</f>
        <v/>
      </c>
      <c r="T513" s="7" t="n"/>
      <c r="U513" s="7" t="n"/>
      <c r="V513" s="7">
        <f>IF($C513="","",U513*AA513/100)</f>
        <v/>
      </c>
      <c r="W513" s="7">
        <f>IF($C513="","",U513-V513)</f>
        <v/>
      </c>
      <c r="X513" s="7">
        <f>IF($C513="","",W513-N513)</f>
        <v/>
      </c>
      <c r="AA513">
        <f>IF($C513="","",IF($AN513=1,0,IF($AM513=1,Settings!$C$6,Settings!$C$7))*100)</f>
        <v/>
      </c>
      <c r="AE513" s="7" t="n"/>
      <c r="AH513" s="11" t="n"/>
      <c r="AJ513">
        <f>IF($C513="","",$C513&amp;"|"&amp;$D513&amp;"")</f>
        <v/>
      </c>
      <c r="AK513">
        <f>IF($C513="","",IF(COUNTIF($AJ$2:$AJ513,$AJ513)=1,1,0))</f>
        <v/>
      </c>
      <c r="AL513">
        <f>IF($AK513=1,SUMPRODUCT(--($AO$2:$AO$1501&lt;$AO513))+1,"")</f>
        <v/>
      </c>
      <c r="AM513">
        <f>IF($C513="","",IF(OR($Q513=TRUE(),$Q513="TRUE"),1,0))</f>
        <v/>
      </c>
      <c r="AN513">
        <f>IF($C513="","",IF($Z513="Yes",1,0))</f>
        <v/>
      </c>
      <c r="AO513">
        <f>IF($AK513=1,IFERROR(IF(VALUE($C513)&lt;100000000,VALUE($C513),1000000000),IFERROR(IF(VALUE(MID($C513,2,20))&lt;100000000,VALUE(MID($C513,2,20)),1000000000),1000000000))+ROW()/100000,"")</f>
        <v/>
      </c>
    </row>
    <row r="514">
      <c r="F514" s="11" t="n"/>
      <c r="N514" s="7">
        <f>IF($C514="","",M514*U514/100)</f>
        <v/>
      </c>
      <c r="T514" s="7" t="n"/>
      <c r="U514" s="7" t="n"/>
      <c r="V514" s="7">
        <f>IF($C514="","",U514*AA514/100)</f>
        <v/>
      </c>
      <c r="W514" s="7">
        <f>IF($C514="","",U514-V514)</f>
        <v/>
      </c>
      <c r="X514" s="7">
        <f>IF($C514="","",W514-N514)</f>
        <v/>
      </c>
      <c r="AA514">
        <f>IF($C514="","",IF($AN514=1,0,IF($AM514=1,Settings!$C$6,Settings!$C$7))*100)</f>
        <v/>
      </c>
      <c r="AE514" s="7" t="n"/>
      <c r="AH514" s="11" t="n"/>
      <c r="AJ514">
        <f>IF($C514="","",$C514&amp;"|"&amp;$D514&amp;"")</f>
        <v/>
      </c>
      <c r="AK514">
        <f>IF($C514="","",IF(COUNTIF($AJ$2:$AJ514,$AJ514)=1,1,0))</f>
        <v/>
      </c>
      <c r="AL514">
        <f>IF($AK514=1,SUMPRODUCT(--($AO$2:$AO$1501&lt;$AO514))+1,"")</f>
        <v/>
      </c>
      <c r="AM514">
        <f>IF($C514="","",IF(OR($Q514=TRUE(),$Q514="TRUE"),1,0))</f>
        <v/>
      </c>
      <c r="AN514">
        <f>IF($C514="","",IF($Z514="Yes",1,0))</f>
        <v/>
      </c>
      <c r="AO514">
        <f>IF($AK514=1,IFERROR(IF(VALUE($C514)&lt;100000000,VALUE($C514),1000000000),IFERROR(IF(VALUE(MID($C514,2,20))&lt;100000000,VALUE(MID($C514,2,20)),1000000000),1000000000))+ROW()/100000,"")</f>
        <v/>
      </c>
    </row>
    <row r="515">
      <c r="F515" s="11" t="n"/>
      <c r="N515" s="7">
        <f>IF($C515="","",M515*U515/100)</f>
        <v/>
      </c>
      <c r="T515" s="7" t="n"/>
      <c r="U515" s="7" t="n"/>
      <c r="V515" s="7">
        <f>IF($C515="","",U515*AA515/100)</f>
        <v/>
      </c>
      <c r="W515" s="7">
        <f>IF($C515="","",U515-V515)</f>
        <v/>
      </c>
      <c r="X515" s="7">
        <f>IF($C515="","",W515-N515)</f>
        <v/>
      </c>
      <c r="AA515">
        <f>IF($C515="","",IF($AN515=1,0,IF($AM515=1,Settings!$C$6,Settings!$C$7))*100)</f>
        <v/>
      </c>
      <c r="AE515" s="7" t="n"/>
      <c r="AH515" s="11" t="n"/>
      <c r="AJ515">
        <f>IF($C515="","",$C515&amp;"|"&amp;$D515&amp;"")</f>
        <v/>
      </c>
      <c r="AK515">
        <f>IF($C515="","",IF(COUNTIF($AJ$2:$AJ515,$AJ515)=1,1,0))</f>
        <v/>
      </c>
      <c r="AL515">
        <f>IF($AK515=1,SUMPRODUCT(--($AO$2:$AO$1501&lt;$AO515))+1,"")</f>
        <v/>
      </c>
      <c r="AM515">
        <f>IF($C515="","",IF(OR($Q515=TRUE(),$Q515="TRUE"),1,0))</f>
        <v/>
      </c>
      <c r="AN515">
        <f>IF($C515="","",IF($Z515="Yes",1,0))</f>
        <v/>
      </c>
      <c r="AO515">
        <f>IF($AK515=1,IFERROR(IF(VALUE($C515)&lt;100000000,VALUE($C515),1000000000),IFERROR(IF(VALUE(MID($C515,2,20))&lt;100000000,VALUE(MID($C515,2,20)),1000000000),1000000000))+ROW()/100000,"")</f>
        <v/>
      </c>
    </row>
    <row r="516">
      <c r="F516" s="11" t="n"/>
      <c r="N516" s="7">
        <f>IF($C516="","",M516*U516/100)</f>
        <v/>
      </c>
      <c r="T516" s="7" t="n"/>
      <c r="U516" s="7" t="n"/>
      <c r="V516" s="7">
        <f>IF($C516="","",U516*AA516/100)</f>
        <v/>
      </c>
      <c r="W516" s="7">
        <f>IF($C516="","",U516-V516)</f>
        <v/>
      </c>
      <c r="X516" s="7">
        <f>IF($C516="","",W516-N516)</f>
        <v/>
      </c>
      <c r="AA516">
        <f>IF($C516="","",IF($AN516=1,0,IF($AM516=1,Settings!$C$6,Settings!$C$7))*100)</f>
        <v/>
      </c>
      <c r="AE516" s="7" t="n"/>
      <c r="AH516" s="11" t="n"/>
      <c r="AJ516">
        <f>IF($C516="","",$C516&amp;"|"&amp;$D516&amp;"")</f>
        <v/>
      </c>
      <c r="AK516">
        <f>IF($C516="","",IF(COUNTIF($AJ$2:$AJ516,$AJ516)=1,1,0))</f>
        <v/>
      </c>
      <c r="AL516">
        <f>IF($AK516=1,SUMPRODUCT(--($AO$2:$AO$1501&lt;$AO516))+1,"")</f>
        <v/>
      </c>
      <c r="AM516">
        <f>IF($C516="","",IF(OR($Q516=TRUE(),$Q516="TRUE"),1,0))</f>
        <v/>
      </c>
      <c r="AN516">
        <f>IF($C516="","",IF($Z516="Yes",1,0))</f>
        <v/>
      </c>
      <c r="AO516">
        <f>IF($AK516=1,IFERROR(IF(VALUE($C516)&lt;100000000,VALUE($C516),1000000000),IFERROR(IF(VALUE(MID($C516,2,20))&lt;100000000,VALUE(MID($C516,2,20)),1000000000),1000000000))+ROW()/100000,"")</f>
        <v/>
      </c>
    </row>
    <row r="517">
      <c r="F517" s="11" t="n"/>
      <c r="N517" s="7">
        <f>IF($C517="","",M517*U517/100)</f>
        <v/>
      </c>
      <c r="T517" s="7" t="n"/>
      <c r="U517" s="7" t="n"/>
      <c r="V517" s="7">
        <f>IF($C517="","",U517*AA517/100)</f>
        <v/>
      </c>
      <c r="W517" s="7">
        <f>IF($C517="","",U517-V517)</f>
        <v/>
      </c>
      <c r="X517" s="7">
        <f>IF($C517="","",W517-N517)</f>
        <v/>
      </c>
      <c r="AA517">
        <f>IF($C517="","",IF($AN517=1,0,IF($AM517=1,Settings!$C$6,Settings!$C$7))*100)</f>
        <v/>
      </c>
      <c r="AE517" s="7" t="n"/>
      <c r="AH517" s="11" t="n"/>
      <c r="AJ517">
        <f>IF($C517="","",$C517&amp;"|"&amp;$D517&amp;"")</f>
        <v/>
      </c>
      <c r="AK517">
        <f>IF($C517="","",IF(COUNTIF($AJ$2:$AJ517,$AJ517)=1,1,0))</f>
        <v/>
      </c>
      <c r="AL517">
        <f>IF($AK517=1,SUMPRODUCT(--($AO$2:$AO$1501&lt;$AO517))+1,"")</f>
        <v/>
      </c>
      <c r="AM517">
        <f>IF($C517="","",IF(OR($Q517=TRUE(),$Q517="TRUE"),1,0))</f>
        <v/>
      </c>
      <c r="AN517">
        <f>IF($C517="","",IF($Z517="Yes",1,0))</f>
        <v/>
      </c>
      <c r="AO517">
        <f>IF($AK517=1,IFERROR(IF(VALUE($C517)&lt;100000000,VALUE($C517),1000000000),IFERROR(IF(VALUE(MID($C517,2,20))&lt;100000000,VALUE(MID($C517,2,20)),1000000000),1000000000))+ROW()/100000,"")</f>
        <v/>
      </c>
    </row>
    <row r="518">
      <c r="F518" s="11" t="n"/>
      <c r="N518" s="7">
        <f>IF($C518="","",M518*U518/100)</f>
        <v/>
      </c>
      <c r="T518" s="7" t="n"/>
      <c r="U518" s="7" t="n"/>
      <c r="V518" s="7">
        <f>IF($C518="","",U518*AA518/100)</f>
        <v/>
      </c>
      <c r="W518" s="7">
        <f>IF($C518="","",U518-V518)</f>
        <v/>
      </c>
      <c r="X518" s="7">
        <f>IF($C518="","",W518-N518)</f>
        <v/>
      </c>
      <c r="AA518">
        <f>IF($C518="","",IF($AN518=1,0,IF($AM518=1,Settings!$C$6,Settings!$C$7))*100)</f>
        <v/>
      </c>
      <c r="AE518" s="7" t="n"/>
      <c r="AH518" s="11" t="n"/>
      <c r="AJ518">
        <f>IF($C518="","",$C518&amp;"|"&amp;$D518&amp;"")</f>
        <v/>
      </c>
      <c r="AK518">
        <f>IF($C518="","",IF(COUNTIF($AJ$2:$AJ518,$AJ518)=1,1,0))</f>
        <v/>
      </c>
      <c r="AL518">
        <f>IF($AK518=1,SUMPRODUCT(--($AO$2:$AO$1501&lt;$AO518))+1,"")</f>
        <v/>
      </c>
      <c r="AM518">
        <f>IF($C518="","",IF(OR($Q518=TRUE(),$Q518="TRUE"),1,0))</f>
        <v/>
      </c>
      <c r="AN518">
        <f>IF($C518="","",IF($Z518="Yes",1,0))</f>
        <v/>
      </c>
      <c r="AO518">
        <f>IF($AK518=1,IFERROR(IF(VALUE($C518)&lt;100000000,VALUE($C518),1000000000),IFERROR(IF(VALUE(MID($C518,2,20))&lt;100000000,VALUE(MID($C518,2,20)),1000000000),1000000000))+ROW()/100000,"")</f>
        <v/>
      </c>
    </row>
    <row r="519">
      <c r="F519" s="11" t="n"/>
      <c r="N519" s="7">
        <f>IF($C519="","",M519*U519/100)</f>
        <v/>
      </c>
      <c r="T519" s="7" t="n"/>
      <c r="U519" s="7" t="n"/>
      <c r="V519" s="7">
        <f>IF($C519="","",U519*AA519/100)</f>
        <v/>
      </c>
      <c r="W519" s="7">
        <f>IF($C519="","",U519-V519)</f>
        <v/>
      </c>
      <c r="X519" s="7">
        <f>IF($C519="","",W519-N519)</f>
        <v/>
      </c>
      <c r="AA519">
        <f>IF($C519="","",IF($AN519=1,0,IF($AM519=1,Settings!$C$6,Settings!$C$7))*100)</f>
        <v/>
      </c>
      <c r="AE519" s="7" t="n"/>
      <c r="AH519" s="11" t="n"/>
      <c r="AJ519">
        <f>IF($C519="","",$C519&amp;"|"&amp;$D519&amp;"")</f>
        <v/>
      </c>
      <c r="AK519">
        <f>IF($C519="","",IF(COUNTIF($AJ$2:$AJ519,$AJ519)=1,1,0))</f>
        <v/>
      </c>
      <c r="AL519">
        <f>IF($AK519=1,SUMPRODUCT(--($AO$2:$AO$1501&lt;$AO519))+1,"")</f>
        <v/>
      </c>
      <c r="AM519">
        <f>IF($C519="","",IF(OR($Q519=TRUE(),$Q519="TRUE"),1,0))</f>
        <v/>
      </c>
      <c r="AN519">
        <f>IF($C519="","",IF($Z519="Yes",1,0))</f>
        <v/>
      </c>
      <c r="AO519">
        <f>IF($AK519=1,IFERROR(IF(VALUE($C519)&lt;100000000,VALUE($C519),1000000000),IFERROR(IF(VALUE(MID($C519,2,20))&lt;100000000,VALUE(MID($C519,2,20)),1000000000),1000000000))+ROW()/100000,"")</f>
        <v/>
      </c>
    </row>
    <row r="520">
      <c r="F520" s="11" t="n"/>
      <c r="N520" s="7">
        <f>IF($C520="","",M520*U520/100)</f>
        <v/>
      </c>
      <c r="T520" s="7" t="n"/>
      <c r="U520" s="7" t="n"/>
      <c r="V520" s="7">
        <f>IF($C520="","",U520*AA520/100)</f>
        <v/>
      </c>
      <c r="W520" s="7">
        <f>IF($C520="","",U520-V520)</f>
        <v/>
      </c>
      <c r="X520" s="7">
        <f>IF($C520="","",W520-N520)</f>
        <v/>
      </c>
      <c r="AA520">
        <f>IF($C520="","",IF($AN520=1,0,IF($AM520=1,Settings!$C$6,Settings!$C$7))*100)</f>
        <v/>
      </c>
      <c r="AE520" s="7" t="n"/>
      <c r="AH520" s="11" t="n"/>
      <c r="AJ520">
        <f>IF($C520="","",$C520&amp;"|"&amp;$D520&amp;"")</f>
        <v/>
      </c>
      <c r="AK520">
        <f>IF($C520="","",IF(COUNTIF($AJ$2:$AJ520,$AJ520)=1,1,0))</f>
        <v/>
      </c>
      <c r="AL520">
        <f>IF($AK520=1,SUMPRODUCT(--($AO$2:$AO$1501&lt;$AO520))+1,"")</f>
        <v/>
      </c>
      <c r="AM520">
        <f>IF($C520="","",IF(OR($Q520=TRUE(),$Q520="TRUE"),1,0))</f>
        <v/>
      </c>
      <c r="AN520">
        <f>IF($C520="","",IF($Z520="Yes",1,0))</f>
        <v/>
      </c>
      <c r="AO520">
        <f>IF($AK520=1,IFERROR(IF(VALUE($C520)&lt;100000000,VALUE($C520),1000000000),IFERROR(IF(VALUE(MID($C520,2,20))&lt;100000000,VALUE(MID($C520,2,20)),1000000000),1000000000))+ROW()/100000,"")</f>
        <v/>
      </c>
    </row>
    <row r="521">
      <c r="F521" s="11" t="n"/>
      <c r="N521" s="7">
        <f>IF($C521="","",M521*U521/100)</f>
        <v/>
      </c>
      <c r="T521" s="7" t="n"/>
      <c r="U521" s="7" t="n"/>
      <c r="V521" s="7">
        <f>IF($C521="","",U521*AA521/100)</f>
        <v/>
      </c>
      <c r="W521" s="7">
        <f>IF($C521="","",U521-V521)</f>
        <v/>
      </c>
      <c r="X521" s="7">
        <f>IF($C521="","",W521-N521)</f>
        <v/>
      </c>
      <c r="AA521">
        <f>IF($C521="","",IF($AN521=1,0,IF($AM521=1,Settings!$C$6,Settings!$C$7))*100)</f>
        <v/>
      </c>
      <c r="AE521" s="7" t="n"/>
      <c r="AH521" s="11" t="n"/>
      <c r="AJ521">
        <f>IF($C521="","",$C521&amp;"|"&amp;$D521&amp;"")</f>
        <v/>
      </c>
      <c r="AK521">
        <f>IF($C521="","",IF(COUNTIF($AJ$2:$AJ521,$AJ521)=1,1,0))</f>
        <v/>
      </c>
      <c r="AL521">
        <f>IF($AK521=1,SUMPRODUCT(--($AO$2:$AO$1501&lt;$AO521))+1,"")</f>
        <v/>
      </c>
      <c r="AM521">
        <f>IF($C521="","",IF(OR($Q521=TRUE(),$Q521="TRUE"),1,0))</f>
        <v/>
      </c>
      <c r="AN521">
        <f>IF($C521="","",IF($Z521="Yes",1,0))</f>
        <v/>
      </c>
      <c r="AO521">
        <f>IF($AK521=1,IFERROR(IF(VALUE($C521)&lt;100000000,VALUE($C521),1000000000),IFERROR(IF(VALUE(MID($C521,2,20))&lt;100000000,VALUE(MID($C521,2,20)),1000000000),1000000000))+ROW()/100000,"")</f>
        <v/>
      </c>
    </row>
    <row r="522">
      <c r="F522" s="11" t="n"/>
      <c r="N522" s="7">
        <f>IF($C522="","",M522*U522/100)</f>
        <v/>
      </c>
      <c r="T522" s="7" t="n"/>
      <c r="U522" s="7" t="n"/>
      <c r="V522" s="7">
        <f>IF($C522="","",U522*AA522/100)</f>
        <v/>
      </c>
      <c r="W522" s="7">
        <f>IF($C522="","",U522-V522)</f>
        <v/>
      </c>
      <c r="X522" s="7">
        <f>IF($C522="","",W522-N522)</f>
        <v/>
      </c>
      <c r="AA522">
        <f>IF($C522="","",IF($AN522=1,0,IF($AM522=1,Settings!$C$6,Settings!$C$7))*100)</f>
        <v/>
      </c>
      <c r="AE522" s="7" t="n"/>
      <c r="AH522" s="11" t="n"/>
      <c r="AJ522">
        <f>IF($C522="","",$C522&amp;"|"&amp;$D522&amp;"")</f>
        <v/>
      </c>
      <c r="AK522">
        <f>IF($C522="","",IF(COUNTIF($AJ$2:$AJ522,$AJ522)=1,1,0))</f>
        <v/>
      </c>
      <c r="AL522">
        <f>IF($AK522=1,SUMPRODUCT(--($AO$2:$AO$1501&lt;$AO522))+1,"")</f>
        <v/>
      </c>
      <c r="AM522">
        <f>IF($C522="","",IF(OR($Q522=TRUE(),$Q522="TRUE"),1,0))</f>
        <v/>
      </c>
      <c r="AN522">
        <f>IF($C522="","",IF($Z522="Yes",1,0))</f>
        <v/>
      </c>
      <c r="AO522">
        <f>IF($AK522=1,IFERROR(IF(VALUE($C522)&lt;100000000,VALUE($C522),1000000000),IFERROR(IF(VALUE(MID($C522,2,20))&lt;100000000,VALUE(MID($C522,2,20)),1000000000),1000000000))+ROW()/100000,"")</f>
        <v/>
      </c>
    </row>
    <row r="523">
      <c r="F523" s="11" t="n"/>
      <c r="N523" s="7">
        <f>IF($C523="","",M523*U523/100)</f>
        <v/>
      </c>
      <c r="T523" s="7" t="n"/>
      <c r="U523" s="7" t="n"/>
      <c r="V523" s="7">
        <f>IF($C523="","",U523*AA523/100)</f>
        <v/>
      </c>
      <c r="W523" s="7">
        <f>IF($C523="","",U523-V523)</f>
        <v/>
      </c>
      <c r="X523" s="7">
        <f>IF($C523="","",W523-N523)</f>
        <v/>
      </c>
      <c r="AA523">
        <f>IF($C523="","",IF($AN523=1,0,IF($AM523=1,Settings!$C$6,Settings!$C$7))*100)</f>
        <v/>
      </c>
      <c r="AE523" s="7" t="n"/>
      <c r="AH523" s="11" t="n"/>
      <c r="AJ523">
        <f>IF($C523="","",$C523&amp;"|"&amp;$D523&amp;"")</f>
        <v/>
      </c>
      <c r="AK523">
        <f>IF($C523="","",IF(COUNTIF($AJ$2:$AJ523,$AJ523)=1,1,0))</f>
        <v/>
      </c>
      <c r="AL523">
        <f>IF($AK523=1,SUMPRODUCT(--($AO$2:$AO$1501&lt;$AO523))+1,"")</f>
        <v/>
      </c>
      <c r="AM523">
        <f>IF($C523="","",IF(OR($Q523=TRUE(),$Q523="TRUE"),1,0))</f>
        <v/>
      </c>
      <c r="AN523">
        <f>IF($C523="","",IF($Z523="Yes",1,0))</f>
        <v/>
      </c>
      <c r="AO523">
        <f>IF($AK523=1,IFERROR(IF(VALUE($C523)&lt;100000000,VALUE($C523),1000000000),IFERROR(IF(VALUE(MID($C523,2,20))&lt;100000000,VALUE(MID($C523,2,20)),1000000000),1000000000))+ROW()/100000,"")</f>
        <v/>
      </c>
    </row>
    <row r="524">
      <c r="F524" s="11" t="n"/>
      <c r="N524" s="7">
        <f>IF($C524="","",M524*U524/100)</f>
        <v/>
      </c>
      <c r="T524" s="7" t="n"/>
      <c r="U524" s="7" t="n"/>
      <c r="V524" s="7">
        <f>IF($C524="","",U524*AA524/100)</f>
        <v/>
      </c>
      <c r="W524" s="7">
        <f>IF($C524="","",U524-V524)</f>
        <v/>
      </c>
      <c r="X524" s="7">
        <f>IF($C524="","",W524-N524)</f>
        <v/>
      </c>
      <c r="AA524">
        <f>IF($C524="","",IF($AN524=1,0,IF($AM524=1,Settings!$C$6,Settings!$C$7))*100)</f>
        <v/>
      </c>
      <c r="AE524" s="7" t="n"/>
      <c r="AH524" s="11" t="n"/>
      <c r="AJ524">
        <f>IF($C524="","",$C524&amp;"|"&amp;$D524&amp;"")</f>
        <v/>
      </c>
      <c r="AK524">
        <f>IF($C524="","",IF(COUNTIF($AJ$2:$AJ524,$AJ524)=1,1,0))</f>
        <v/>
      </c>
      <c r="AL524">
        <f>IF($AK524=1,SUMPRODUCT(--($AO$2:$AO$1501&lt;$AO524))+1,"")</f>
        <v/>
      </c>
      <c r="AM524">
        <f>IF($C524="","",IF(OR($Q524=TRUE(),$Q524="TRUE"),1,0))</f>
        <v/>
      </c>
      <c r="AN524">
        <f>IF($C524="","",IF($Z524="Yes",1,0))</f>
        <v/>
      </c>
      <c r="AO524">
        <f>IF($AK524=1,IFERROR(IF(VALUE($C524)&lt;100000000,VALUE($C524),1000000000),IFERROR(IF(VALUE(MID($C524,2,20))&lt;100000000,VALUE(MID($C524,2,20)),1000000000),1000000000))+ROW()/100000,"")</f>
        <v/>
      </c>
    </row>
    <row r="525">
      <c r="F525" s="11" t="n"/>
      <c r="N525" s="7">
        <f>IF($C525="","",M525*U525/100)</f>
        <v/>
      </c>
      <c r="T525" s="7" t="n"/>
      <c r="U525" s="7" t="n"/>
      <c r="V525" s="7">
        <f>IF($C525="","",U525*AA525/100)</f>
        <v/>
      </c>
      <c r="W525" s="7">
        <f>IF($C525="","",U525-V525)</f>
        <v/>
      </c>
      <c r="X525" s="7">
        <f>IF($C525="","",W525-N525)</f>
        <v/>
      </c>
      <c r="AA525">
        <f>IF($C525="","",IF($AN525=1,0,IF($AM525=1,Settings!$C$6,Settings!$C$7))*100)</f>
        <v/>
      </c>
      <c r="AE525" s="7" t="n"/>
      <c r="AH525" s="11" t="n"/>
      <c r="AJ525">
        <f>IF($C525="","",$C525&amp;"|"&amp;$D525&amp;"")</f>
        <v/>
      </c>
      <c r="AK525">
        <f>IF($C525="","",IF(COUNTIF($AJ$2:$AJ525,$AJ525)=1,1,0))</f>
        <v/>
      </c>
      <c r="AL525">
        <f>IF($AK525=1,SUMPRODUCT(--($AO$2:$AO$1501&lt;$AO525))+1,"")</f>
        <v/>
      </c>
      <c r="AM525">
        <f>IF($C525="","",IF(OR($Q525=TRUE(),$Q525="TRUE"),1,0))</f>
        <v/>
      </c>
      <c r="AN525">
        <f>IF($C525="","",IF($Z525="Yes",1,0))</f>
        <v/>
      </c>
      <c r="AO525">
        <f>IF($AK525=1,IFERROR(IF(VALUE($C525)&lt;100000000,VALUE($C525),1000000000),IFERROR(IF(VALUE(MID($C525,2,20))&lt;100000000,VALUE(MID($C525,2,20)),1000000000),1000000000))+ROW()/100000,"")</f>
        <v/>
      </c>
    </row>
    <row r="526">
      <c r="F526" s="11" t="n"/>
      <c r="N526" s="7">
        <f>IF($C526="","",M526*U526/100)</f>
        <v/>
      </c>
      <c r="T526" s="7" t="n"/>
      <c r="U526" s="7" t="n"/>
      <c r="V526" s="7">
        <f>IF($C526="","",U526*AA526/100)</f>
        <v/>
      </c>
      <c r="W526" s="7">
        <f>IF($C526="","",U526-V526)</f>
        <v/>
      </c>
      <c r="X526" s="7">
        <f>IF($C526="","",W526-N526)</f>
        <v/>
      </c>
      <c r="AA526">
        <f>IF($C526="","",IF($AN526=1,0,IF($AM526=1,Settings!$C$6,Settings!$C$7))*100)</f>
        <v/>
      </c>
      <c r="AE526" s="7" t="n"/>
      <c r="AH526" s="11" t="n"/>
      <c r="AJ526">
        <f>IF($C526="","",$C526&amp;"|"&amp;$D526&amp;"")</f>
        <v/>
      </c>
      <c r="AK526">
        <f>IF($C526="","",IF(COUNTIF($AJ$2:$AJ526,$AJ526)=1,1,0))</f>
        <v/>
      </c>
      <c r="AL526">
        <f>IF($AK526=1,SUMPRODUCT(--($AO$2:$AO$1501&lt;$AO526))+1,"")</f>
        <v/>
      </c>
      <c r="AM526">
        <f>IF($C526="","",IF(OR($Q526=TRUE(),$Q526="TRUE"),1,0))</f>
        <v/>
      </c>
      <c r="AN526">
        <f>IF($C526="","",IF($Z526="Yes",1,0))</f>
        <v/>
      </c>
      <c r="AO526">
        <f>IF($AK526=1,IFERROR(IF(VALUE($C526)&lt;100000000,VALUE($C526),1000000000),IFERROR(IF(VALUE(MID($C526,2,20))&lt;100000000,VALUE(MID($C526,2,20)),1000000000),1000000000))+ROW()/100000,"")</f>
        <v/>
      </c>
    </row>
    <row r="527">
      <c r="F527" s="11" t="n"/>
      <c r="N527" s="7">
        <f>IF($C527="","",M527*U527/100)</f>
        <v/>
      </c>
      <c r="T527" s="7" t="n"/>
      <c r="U527" s="7" t="n"/>
      <c r="V527" s="7">
        <f>IF($C527="","",U527*AA527/100)</f>
        <v/>
      </c>
      <c r="W527" s="7">
        <f>IF($C527="","",U527-V527)</f>
        <v/>
      </c>
      <c r="X527" s="7">
        <f>IF($C527="","",W527-N527)</f>
        <v/>
      </c>
      <c r="AA527">
        <f>IF($C527="","",IF($AN527=1,0,IF($AM527=1,Settings!$C$6,Settings!$C$7))*100)</f>
        <v/>
      </c>
      <c r="AE527" s="7" t="n"/>
      <c r="AH527" s="11" t="n"/>
      <c r="AJ527">
        <f>IF($C527="","",$C527&amp;"|"&amp;$D527&amp;"")</f>
        <v/>
      </c>
      <c r="AK527">
        <f>IF($C527="","",IF(COUNTIF($AJ$2:$AJ527,$AJ527)=1,1,0))</f>
        <v/>
      </c>
      <c r="AL527">
        <f>IF($AK527=1,SUMPRODUCT(--($AO$2:$AO$1501&lt;$AO527))+1,"")</f>
        <v/>
      </c>
      <c r="AM527">
        <f>IF($C527="","",IF(OR($Q527=TRUE(),$Q527="TRUE"),1,0))</f>
        <v/>
      </c>
      <c r="AN527">
        <f>IF($C527="","",IF($Z527="Yes",1,0))</f>
        <v/>
      </c>
      <c r="AO527">
        <f>IF($AK527=1,IFERROR(IF(VALUE($C527)&lt;100000000,VALUE($C527),1000000000),IFERROR(IF(VALUE(MID($C527,2,20))&lt;100000000,VALUE(MID($C527,2,20)),1000000000),1000000000))+ROW()/100000,"")</f>
        <v/>
      </c>
    </row>
    <row r="528">
      <c r="F528" s="11" t="n"/>
      <c r="N528" s="7">
        <f>IF($C528="","",M528*U528/100)</f>
        <v/>
      </c>
      <c r="T528" s="7" t="n"/>
      <c r="U528" s="7" t="n"/>
      <c r="V528" s="7">
        <f>IF($C528="","",U528*AA528/100)</f>
        <v/>
      </c>
      <c r="W528" s="7">
        <f>IF($C528="","",U528-V528)</f>
        <v/>
      </c>
      <c r="X528" s="7">
        <f>IF($C528="","",W528-N528)</f>
        <v/>
      </c>
      <c r="AA528">
        <f>IF($C528="","",IF($AN528=1,0,IF($AM528=1,Settings!$C$6,Settings!$C$7))*100)</f>
        <v/>
      </c>
      <c r="AE528" s="7" t="n"/>
      <c r="AH528" s="11" t="n"/>
      <c r="AJ528">
        <f>IF($C528="","",$C528&amp;"|"&amp;$D528&amp;"")</f>
        <v/>
      </c>
      <c r="AK528">
        <f>IF($C528="","",IF(COUNTIF($AJ$2:$AJ528,$AJ528)=1,1,0))</f>
        <v/>
      </c>
      <c r="AL528">
        <f>IF($AK528=1,SUMPRODUCT(--($AO$2:$AO$1501&lt;$AO528))+1,"")</f>
        <v/>
      </c>
      <c r="AM528">
        <f>IF($C528="","",IF(OR($Q528=TRUE(),$Q528="TRUE"),1,0))</f>
        <v/>
      </c>
      <c r="AN528">
        <f>IF($C528="","",IF($Z528="Yes",1,0))</f>
        <v/>
      </c>
      <c r="AO528">
        <f>IF($AK528=1,IFERROR(IF(VALUE($C528)&lt;100000000,VALUE($C528),1000000000),IFERROR(IF(VALUE(MID($C528,2,20))&lt;100000000,VALUE(MID($C528,2,20)),1000000000),1000000000))+ROW()/100000,"")</f>
        <v/>
      </c>
    </row>
    <row r="529">
      <c r="F529" s="11" t="n"/>
      <c r="N529" s="7">
        <f>IF($C529="","",M529*U529/100)</f>
        <v/>
      </c>
      <c r="T529" s="7" t="n"/>
      <c r="U529" s="7" t="n"/>
      <c r="V529" s="7">
        <f>IF($C529="","",U529*AA529/100)</f>
        <v/>
      </c>
      <c r="W529" s="7">
        <f>IF($C529="","",U529-V529)</f>
        <v/>
      </c>
      <c r="X529" s="7">
        <f>IF($C529="","",W529-N529)</f>
        <v/>
      </c>
      <c r="AA529">
        <f>IF($C529="","",IF($AN529=1,0,IF($AM529=1,Settings!$C$6,Settings!$C$7))*100)</f>
        <v/>
      </c>
      <c r="AE529" s="7" t="n"/>
      <c r="AH529" s="11" t="n"/>
      <c r="AJ529">
        <f>IF($C529="","",$C529&amp;"|"&amp;$D529&amp;"")</f>
        <v/>
      </c>
      <c r="AK529">
        <f>IF($C529="","",IF(COUNTIF($AJ$2:$AJ529,$AJ529)=1,1,0))</f>
        <v/>
      </c>
      <c r="AL529">
        <f>IF($AK529=1,SUMPRODUCT(--($AO$2:$AO$1501&lt;$AO529))+1,"")</f>
        <v/>
      </c>
      <c r="AM529">
        <f>IF($C529="","",IF(OR($Q529=TRUE(),$Q529="TRUE"),1,0))</f>
        <v/>
      </c>
      <c r="AN529">
        <f>IF($C529="","",IF($Z529="Yes",1,0))</f>
        <v/>
      </c>
      <c r="AO529">
        <f>IF($AK529=1,IFERROR(IF(VALUE($C529)&lt;100000000,VALUE($C529),1000000000),IFERROR(IF(VALUE(MID($C529,2,20))&lt;100000000,VALUE(MID($C529,2,20)),1000000000),1000000000))+ROW()/100000,"")</f>
        <v/>
      </c>
    </row>
    <row r="530">
      <c r="F530" s="11" t="n"/>
      <c r="N530" s="7">
        <f>IF($C530="","",M530*U530/100)</f>
        <v/>
      </c>
      <c r="T530" s="7" t="n"/>
      <c r="U530" s="7" t="n"/>
      <c r="V530" s="7">
        <f>IF($C530="","",U530*AA530/100)</f>
        <v/>
      </c>
      <c r="W530" s="7">
        <f>IF($C530="","",U530-V530)</f>
        <v/>
      </c>
      <c r="X530" s="7">
        <f>IF($C530="","",W530-N530)</f>
        <v/>
      </c>
      <c r="AA530">
        <f>IF($C530="","",IF($AN530=1,0,IF($AM530=1,Settings!$C$6,Settings!$C$7))*100)</f>
        <v/>
      </c>
      <c r="AE530" s="7" t="n"/>
      <c r="AH530" s="11" t="n"/>
      <c r="AJ530">
        <f>IF($C530="","",$C530&amp;"|"&amp;$D530&amp;"")</f>
        <v/>
      </c>
      <c r="AK530">
        <f>IF($C530="","",IF(COUNTIF($AJ$2:$AJ530,$AJ530)=1,1,0))</f>
        <v/>
      </c>
      <c r="AL530">
        <f>IF($AK530=1,SUMPRODUCT(--($AO$2:$AO$1501&lt;$AO530))+1,"")</f>
        <v/>
      </c>
      <c r="AM530">
        <f>IF($C530="","",IF(OR($Q530=TRUE(),$Q530="TRUE"),1,0))</f>
        <v/>
      </c>
      <c r="AN530">
        <f>IF($C530="","",IF($Z530="Yes",1,0))</f>
        <v/>
      </c>
      <c r="AO530">
        <f>IF($AK530=1,IFERROR(IF(VALUE($C530)&lt;100000000,VALUE($C530),1000000000),IFERROR(IF(VALUE(MID($C530,2,20))&lt;100000000,VALUE(MID($C530,2,20)),1000000000),1000000000))+ROW()/100000,"")</f>
        <v/>
      </c>
    </row>
    <row r="531">
      <c r="F531" s="11" t="n"/>
      <c r="N531" s="7">
        <f>IF($C531="","",M531*U531/100)</f>
        <v/>
      </c>
      <c r="T531" s="7" t="n"/>
      <c r="U531" s="7" t="n"/>
      <c r="V531" s="7">
        <f>IF($C531="","",U531*AA531/100)</f>
        <v/>
      </c>
      <c r="W531" s="7">
        <f>IF($C531="","",U531-V531)</f>
        <v/>
      </c>
      <c r="X531" s="7">
        <f>IF($C531="","",W531-N531)</f>
        <v/>
      </c>
      <c r="AA531">
        <f>IF($C531="","",IF($AN531=1,0,IF($AM531=1,Settings!$C$6,Settings!$C$7))*100)</f>
        <v/>
      </c>
      <c r="AE531" s="7" t="n"/>
      <c r="AH531" s="11" t="n"/>
      <c r="AJ531">
        <f>IF($C531="","",$C531&amp;"|"&amp;$D531&amp;"")</f>
        <v/>
      </c>
      <c r="AK531">
        <f>IF($C531="","",IF(COUNTIF($AJ$2:$AJ531,$AJ531)=1,1,0))</f>
        <v/>
      </c>
      <c r="AL531">
        <f>IF($AK531=1,SUMPRODUCT(--($AO$2:$AO$1501&lt;$AO531))+1,"")</f>
        <v/>
      </c>
      <c r="AM531">
        <f>IF($C531="","",IF(OR($Q531=TRUE(),$Q531="TRUE"),1,0))</f>
        <v/>
      </c>
      <c r="AN531">
        <f>IF($C531="","",IF($Z531="Yes",1,0))</f>
        <v/>
      </c>
      <c r="AO531">
        <f>IF($AK531=1,IFERROR(IF(VALUE($C531)&lt;100000000,VALUE($C531),1000000000),IFERROR(IF(VALUE(MID($C531,2,20))&lt;100000000,VALUE(MID($C531,2,20)),1000000000),1000000000))+ROW()/100000,"")</f>
        <v/>
      </c>
    </row>
    <row r="532">
      <c r="F532" s="11" t="n"/>
      <c r="N532" s="7">
        <f>IF($C532="","",M532*U532/100)</f>
        <v/>
      </c>
      <c r="T532" s="7" t="n"/>
      <c r="U532" s="7" t="n"/>
      <c r="V532" s="7">
        <f>IF($C532="","",U532*AA532/100)</f>
        <v/>
      </c>
      <c r="W532" s="7">
        <f>IF($C532="","",U532-V532)</f>
        <v/>
      </c>
      <c r="X532" s="7">
        <f>IF($C532="","",W532-N532)</f>
        <v/>
      </c>
      <c r="AA532">
        <f>IF($C532="","",IF($AN532=1,0,IF($AM532=1,Settings!$C$6,Settings!$C$7))*100)</f>
        <v/>
      </c>
      <c r="AE532" s="7" t="n"/>
      <c r="AH532" s="11" t="n"/>
      <c r="AJ532">
        <f>IF($C532="","",$C532&amp;"|"&amp;$D532&amp;"")</f>
        <v/>
      </c>
      <c r="AK532">
        <f>IF($C532="","",IF(COUNTIF($AJ$2:$AJ532,$AJ532)=1,1,0))</f>
        <v/>
      </c>
      <c r="AL532">
        <f>IF($AK532=1,SUMPRODUCT(--($AO$2:$AO$1501&lt;$AO532))+1,"")</f>
        <v/>
      </c>
      <c r="AM532">
        <f>IF($C532="","",IF(OR($Q532=TRUE(),$Q532="TRUE"),1,0))</f>
        <v/>
      </c>
      <c r="AN532">
        <f>IF($C532="","",IF($Z532="Yes",1,0))</f>
        <v/>
      </c>
      <c r="AO532">
        <f>IF($AK532=1,IFERROR(IF(VALUE($C532)&lt;100000000,VALUE($C532),1000000000),IFERROR(IF(VALUE(MID($C532,2,20))&lt;100000000,VALUE(MID($C532,2,20)),1000000000),1000000000))+ROW()/100000,"")</f>
        <v/>
      </c>
    </row>
    <row r="533">
      <c r="F533" s="11" t="n"/>
      <c r="N533" s="7">
        <f>IF($C533="","",M533*U533/100)</f>
        <v/>
      </c>
      <c r="T533" s="7" t="n"/>
      <c r="U533" s="7" t="n"/>
      <c r="V533" s="7">
        <f>IF($C533="","",U533*AA533/100)</f>
        <v/>
      </c>
      <c r="W533" s="7">
        <f>IF($C533="","",U533-V533)</f>
        <v/>
      </c>
      <c r="X533" s="7">
        <f>IF($C533="","",W533-N533)</f>
        <v/>
      </c>
      <c r="AA533">
        <f>IF($C533="","",IF($AN533=1,0,IF($AM533=1,Settings!$C$6,Settings!$C$7))*100)</f>
        <v/>
      </c>
      <c r="AE533" s="7" t="n"/>
      <c r="AH533" s="11" t="n"/>
      <c r="AJ533">
        <f>IF($C533="","",$C533&amp;"|"&amp;$D533&amp;"")</f>
        <v/>
      </c>
      <c r="AK533">
        <f>IF($C533="","",IF(COUNTIF($AJ$2:$AJ533,$AJ533)=1,1,0))</f>
        <v/>
      </c>
      <c r="AL533">
        <f>IF($AK533=1,SUMPRODUCT(--($AO$2:$AO$1501&lt;$AO533))+1,"")</f>
        <v/>
      </c>
      <c r="AM533">
        <f>IF($C533="","",IF(OR($Q533=TRUE(),$Q533="TRUE"),1,0))</f>
        <v/>
      </c>
      <c r="AN533">
        <f>IF($C533="","",IF($Z533="Yes",1,0))</f>
        <v/>
      </c>
      <c r="AO533">
        <f>IF($AK533=1,IFERROR(IF(VALUE($C533)&lt;100000000,VALUE($C533),1000000000),IFERROR(IF(VALUE(MID($C533,2,20))&lt;100000000,VALUE(MID($C533,2,20)),1000000000),1000000000))+ROW()/100000,"")</f>
        <v/>
      </c>
    </row>
    <row r="534">
      <c r="F534" s="11" t="n"/>
      <c r="N534" s="7">
        <f>IF($C534="","",M534*U534/100)</f>
        <v/>
      </c>
      <c r="T534" s="7" t="n"/>
      <c r="U534" s="7" t="n"/>
      <c r="V534" s="7">
        <f>IF($C534="","",U534*AA534/100)</f>
        <v/>
      </c>
      <c r="W534" s="7">
        <f>IF($C534="","",U534-V534)</f>
        <v/>
      </c>
      <c r="X534" s="7">
        <f>IF($C534="","",W534-N534)</f>
        <v/>
      </c>
      <c r="AA534">
        <f>IF($C534="","",IF($AN534=1,0,IF($AM534=1,Settings!$C$6,Settings!$C$7))*100)</f>
        <v/>
      </c>
      <c r="AE534" s="7" t="n"/>
      <c r="AH534" s="11" t="n"/>
      <c r="AJ534">
        <f>IF($C534="","",$C534&amp;"|"&amp;$D534&amp;"")</f>
        <v/>
      </c>
      <c r="AK534">
        <f>IF($C534="","",IF(COUNTIF($AJ$2:$AJ534,$AJ534)=1,1,0))</f>
        <v/>
      </c>
      <c r="AL534">
        <f>IF($AK534=1,SUMPRODUCT(--($AO$2:$AO$1501&lt;$AO534))+1,"")</f>
        <v/>
      </c>
      <c r="AM534">
        <f>IF($C534="","",IF(OR($Q534=TRUE(),$Q534="TRUE"),1,0))</f>
        <v/>
      </c>
      <c r="AN534">
        <f>IF($C534="","",IF($Z534="Yes",1,0))</f>
        <v/>
      </c>
      <c r="AO534">
        <f>IF($AK534=1,IFERROR(IF(VALUE($C534)&lt;100000000,VALUE($C534),1000000000),IFERROR(IF(VALUE(MID($C534,2,20))&lt;100000000,VALUE(MID($C534,2,20)),1000000000),1000000000))+ROW()/100000,"")</f>
        <v/>
      </c>
    </row>
    <row r="535">
      <c r="F535" s="11" t="n"/>
      <c r="N535" s="7">
        <f>IF($C535="","",M535*U535/100)</f>
        <v/>
      </c>
      <c r="T535" s="7" t="n"/>
      <c r="U535" s="7" t="n"/>
      <c r="V535" s="7">
        <f>IF($C535="","",U535*AA535/100)</f>
        <v/>
      </c>
      <c r="W535" s="7">
        <f>IF($C535="","",U535-V535)</f>
        <v/>
      </c>
      <c r="X535" s="7">
        <f>IF($C535="","",W535-N535)</f>
        <v/>
      </c>
      <c r="AA535">
        <f>IF($C535="","",IF($AN535=1,0,IF($AM535=1,Settings!$C$6,Settings!$C$7))*100)</f>
        <v/>
      </c>
      <c r="AE535" s="7" t="n"/>
      <c r="AH535" s="11" t="n"/>
      <c r="AJ535">
        <f>IF($C535="","",$C535&amp;"|"&amp;$D535&amp;"")</f>
        <v/>
      </c>
      <c r="AK535">
        <f>IF($C535="","",IF(COUNTIF($AJ$2:$AJ535,$AJ535)=1,1,0))</f>
        <v/>
      </c>
      <c r="AL535">
        <f>IF($AK535=1,SUMPRODUCT(--($AO$2:$AO$1501&lt;$AO535))+1,"")</f>
        <v/>
      </c>
      <c r="AM535">
        <f>IF($C535="","",IF(OR($Q535=TRUE(),$Q535="TRUE"),1,0))</f>
        <v/>
      </c>
      <c r="AN535">
        <f>IF($C535="","",IF($Z535="Yes",1,0))</f>
        <v/>
      </c>
      <c r="AO535">
        <f>IF($AK535=1,IFERROR(IF(VALUE($C535)&lt;100000000,VALUE($C535),1000000000),IFERROR(IF(VALUE(MID($C535,2,20))&lt;100000000,VALUE(MID($C535,2,20)),1000000000),1000000000))+ROW()/100000,"")</f>
        <v/>
      </c>
    </row>
    <row r="536">
      <c r="F536" s="11" t="n"/>
      <c r="N536" s="7">
        <f>IF($C536="","",M536*U536/100)</f>
        <v/>
      </c>
      <c r="T536" s="7" t="n"/>
      <c r="U536" s="7" t="n"/>
      <c r="V536" s="7">
        <f>IF($C536="","",U536*AA536/100)</f>
        <v/>
      </c>
      <c r="W536" s="7">
        <f>IF($C536="","",U536-V536)</f>
        <v/>
      </c>
      <c r="X536" s="7">
        <f>IF($C536="","",W536-N536)</f>
        <v/>
      </c>
      <c r="AA536">
        <f>IF($C536="","",IF($AN536=1,0,IF($AM536=1,Settings!$C$6,Settings!$C$7))*100)</f>
        <v/>
      </c>
      <c r="AE536" s="7" t="n"/>
      <c r="AH536" s="11" t="n"/>
      <c r="AJ536">
        <f>IF($C536="","",$C536&amp;"|"&amp;$D536&amp;"")</f>
        <v/>
      </c>
      <c r="AK536">
        <f>IF($C536="","",IF(COUNTIF($AJ$2:$AJ536,$AJ536)=1,1,0))</f>
        <v/>
      </c>
      <c r="AL536">
        <f>IF($AK536=1,SUMPRODUCT(--($AO$2:$AO$1501&lt;$AO536))+1,"")</f>
        <v/>
      </c>
      <c r="AM536">
        <f>IF($C536="","",IF(OR($Q536=TRUE(),$Q536="TRUE"),1,0))</f>
        <v/>
      </c>
      <c r="AN536">
        <f>IF($C536="","",IF($Z536="Yes",1,0))</f>
        <v/>
      </c>
      <c r="AO536">
        <f>IF($AK536=1,IFERROR(IF(VALUE($C536)&lt;100000000,VALUE($C536),1000000000),IFERROR(IF(VALUE(MID($C536,2,20))&lt;100000000,VALUE(MID($C536,2,20)),1000000000),1000000000))+ROW()/100000,"")</f>
        <v/>
      </c>
    </row>
    <row r="537">
      <c r="F537" s="11" t="n"/>
      <c r="N537" s="7">
        <f>IF($C537="","",M537*U537/100)</f>
        <v/>
      </c>
      <c r="T537" s="7" t="n"/>
      <c r="U537" s="7" t="n"/>
      <c r="V537" s="7">
        <f>IF($C537="","",U537*AA537/100)</f>
        <v/>
      </c>
      <c r="W537" s="7">
        <f>IF($C537="","",U537-V537)</f>
        <v/>
      </c>
      <c r="X537" s="7">
        <f>IF($C537="","",W537-N537)</f>
        <v/>
      </c>
      <c r="AA537">
        <f>IF($C537="","",IF($AN537=1,0,IF($AM537=1,Settings!$C$6,Settings!$C$7))*100)</f>
        <v/>
      </c>
      <c r="AE537" s="7" t="n"/>
      <c r="AH537" s="11" t="n"/>
      <c r="AJ537">
        <f>IF($C537="","",$C537&amp;"|"&amp;$D537&amp;"")</f>
        <v/>
      </c>
      <c r="AK537">
        <f>IF($C537="","",IF(COUNTIF($AJ$2:$AJ537,$AJ537)=1,1,0))</f>
        <v/>
      </c>
      <c r="AL537">
        <f>IF($AK537=1,SUMPRODUCT(--($AO$2:$AO$1501&lt;$AO537))+1,"")</f>
        <v/>
      </c>
      <c r="AM537">
        <f>IF($C537="","",IF(OR($Q537=TRUE(),$Q537="TRUE"),1,0))</f>
        <v/>
      </c>
      <c r="AN537">
        <f>IF($C537="","",IF($Z537="Yes",1,0))</f>
        <v/>
      </c>
      <c r="AO537">
        <f>IF($AK537=1,IFERROR(IF(VALUE($C537)&lt;100000000,VALUE($C537),1000000000),IFERROR(IF(VALUE(MID($C537,2,20))&lt;100000000,VALUE(MID($C537,2,20)),1000000000),1000000000))+ROW()/100000,"")</f>
        <v/>
      </c>
    </row>
    <row r="538">
      <c r="F538" s="11" t="n"/>
      <c r="N538" s="7">
        <f>IF($C538="","",M538*U538/100)</f>
        <v/>
      </c>
      <c r="T538" s="7" t="n"/>
      <c r="U538" s="7" t="n"/>
      <c r="V538" s="7">
        <f>IF($C538="","",U538*AA538/100)</f>
        <v/>
      </c>
      <c r="W538" s="7">
        <f>IF($C538="","",U538-V538)</f>
        <v/>
      </c>
      <c r="X538" s="7">
        <f>IF($C538="","",W538-N538)</f>
        <v/>
      </c>
      <c r="AA538">
        <f>IF($C538="","",IF($AN538=1,0,IF($AM538=1,Settings!$C$6,Settings!$C$7))*100)</f>
        <v/>
      </c>
      <c r="AE538" s="7" t="n"/>
      <c r="AH538" s="11" t="n"/>
      <c r="AJ538">
        <f>IF($C538="","",$C538&amp;"|"&amp;$D538&amp;"")</f>
        <v/>
      </c>
      <c r="AK538">
        <f>IF($C538="","",IF(COUNTIF($AJ$2:$AJ538,$AJ538)=1,1,0))</f>
        <v/>
      </c>
      <c r="AL538">
        <f>IF($AK538=1,SUMPRODUCT(--($AO$2:$AO$1501&lt;$AO538))+1,"")</f>
        <v/>
      </c>
      <c r="AM538">
        <f>IF($C538="","",IF(OR($Q538=TRUE(),$Q538="TRUE"),1,0))</f>
        <v/>
      </c>
      <c r="AN538">
        <f>IF($C538="","",IF($Z538="Yes",1,0))</f>
        <v/>
      </c>
      <c r="AO538">
        <f>IF($AK538=1,IFERROR(IF(VALUE($C538)&lt;100000000,VALUE($C538),1000000000),IFERROR(IF(VALUE(MID($C538,2,20))&lt;100000000,VALUE(MID($C538,2,20)),1000000000),1000000000))+ROW()/100000,"")</f>
        <v/>
      </c>
    </row>
    <row r="539">
      <c r="F539" s="11" t="n"/>
      <c r="N539" s="7">
        <f>IF($C539="","",M539*U539/100)</f>
        <v/>
      </c>
      <c r="T539" s="7" t="n"/>
      <c r="U539" s="7" t="n"/>
      <c r="V539" s="7">
        <f>IF($C539="","",U539*AA539/100)</f>
        <v/>
      </c>
      <c r="W539" s="7">
        <f>IF($C539="","",U539-V539)</f>
        <v/>
      </c>
      <c r="X539" s="7">
        <f>IF($C539="","",W539-N539)</f>
        <v/>
      </c>
      <c r="AA539">
        <f>IF($C539="","",IF($AN539=1,0,IF($AM539=1,Settings!$C$6,Settings!$C$7))*100)</f>
        <v/>
      </c>
      <c r="AE539" s="7" t="n"/>
      <c r="AH539" s="11" t="n"/>
      <c r="AJ539">
        <f>IF($C539="","",$C539&amp;"|"&amp;$D539&amp;"")</f>
        <v/>
      </c>
      <c r="AK539">
        <f>IF($C539="","",IF(COUNTIF($AJ$2:$AJ539,$AJ539)=1,1,0))</f>
        <v/>
      </c>
      <c r="AL539">
        <f>IF($AK539=1,SUMPRODUCT(--($AO$2:$AO$1501&lt;$AO539))+1,"")</f>
        <v/>
      </c>
      <c r="AM539">
        <f>IF($C539="","",IF(OR($Q539=TRUE(),$Q539="TRUE"),1,0))</f>
        <v/>
      </c>
      <c r="AN539">
        <f>IF($C539="","",IF($Z539="Yes",1,0))</f>
        <v/>
      </c>
      <c r="AO539">
        <f>IF($AK539=1,IFERROR(IF(VALUE($C539)&lt;100000000,VALUE($C539),1000000000),IFERROR(IF(VALUE(MID($C539,2,20))&lt;100000000,VALUE(MID($C539,2,20)),1000000000),1000000000))+ROW()/100000,"")</f>
        <v/>
      </c>
    </row>
    <row r="540">
      <c r="F540" s="11" t="n"/>
      <c r="N540" s="7">
        <f>IF($C540="","",M540*U540/100)</f>
        <v/>
      </c>
      <c r="T540" s="7" t="n"/>
      <c r="U540" s="7" t="n"/>
      <c r="V540" s="7">
        <f>IF($C540="","",U540*AA540/100)</f>
        <v/>
      </c>
      <c r="W540" s="7">
        <f>IF($C540="","",U540-V540)</f>
        <v/>
      </c>
      <c r="X540" s="7">
        <f>IF($C540="","",W540-N540)</f>
        <v/>
      </c>
      <c r="AA540">
        <f>IF($C540="","",IF($AN540=1,0,IF($AM540=1,Settings!$C$6,Settings!$C$7))*100)</f>
        <v/>
      </c>
      <c r="AE540" s="7" t="n"/>
      <c r="AH540" s="11" t="n"/>
      <c r="AJ540">
        <f>IF($C540="","",$C540&amp;"|"&amp;$D540&amp;"")</f>
        <v/>
      </c>
      <c r="AK540">
        <f>IF($C540="","",IF(COUNTIF($AJ$2:$AJ540,$AJ540)=1,1,0))</f>
        <v/>
      </c>
      <c r="AL540">
        <f>IF($AK540=1,SUMPRODUCT(--($AO$2:$AO$1501&lt;$AO540))+1,"")</f>
        <v/>
      </c>
      <c r="AM540">
        <f>IF($C540="","",IF(OR($Q540=TRUE(),$Q540="TRUE"),1,0))</f>
        <v/>
      </c>
      <c r="AN540">
        <f>IF($C540="","",IF($Z540="Yes",1,0))</f>
        <v/>
      </c>
      <c r="AO540">
        <f>IF($AK540=1,IFERROR(IF(VALUE($C540)&lt;100000000,VALUE($C540),1000000000),IFERROR(IF(VALUE(MID($C540,2,20))&lt;100000000,VALUE(MID($C540,2,20)),1000000000),1000000000))+ROW()/100000,"")</f>
        <v/>
      </c>
    </row>
    <row r="541">
      <c r="F541" s="11" t="n"/>
      <c r="N541" s="7">
        <f>IF($C541="","",M541*U541/100)</f>
        <v/>
      </c>
      <c r="T541" s="7" t="n"/>
      <c r="U541" s="7" t="n"/>
      <c r="V541" s="7">
        <f>IF($C541="","",U541*AA541/100)</f>
        <v/>
      </c>
      <c r="W541" s="7">
        <f>IF($C541="","",U541-V541)</f>
        <v/>
      </c>
      <c r="X541" s="7">
        <f>IF($C541="","",W541-N541)</f>
        <v/>
      </c>
      <c r="AA541">
        <f>IF($C541="","",IF($AN541=1,0,IF($AM541=1,Settings!$C$6,Settings!$C$7))*100)</f>
        <v/>
      </c>
      <c r="AE541" s="7" t="n"/>
      <c r="AH541" s="11" t="n"/>
      <c r="AJ541">
        <f>IF($C541="","",$C541&amp;"|"&amp;$D541&amp;"")</f>
        <v/>
      </c>
      <c r="AK541">
        <f>IF($C541="","",IF(COUNTIF($AJ$2:$AJ541,$AJ541)=1,1,0))</f>
        <v/>
      </c>
      <c r="AL541">
        <f>IF($AK541=1,SUMPRODUCT(--($AO$2:$AO$1501&lt;$AO541))+1,"")</f>
        <v/>
      </c>
      <c r="AM541">
        <f>IF($C541="","",IF(OR($Q541=TRUE(),$Q541="TRUE"),1,0))</f>
        <v/>
      </c>
      <c r="AN541">
        <f>IF($C541="","",IF($Z541="Yes",1,0))</f>
        <v/>
      </c>
      <c r="AO541">
        <f>IF($AK541=1,IFERROR(IF(VALUE($C541)&lt;100000000,VALUE($C541),1000000000),IFERROR(IF(VALUE(MID($C541,2,20))&lt;100000000,VALUE(MID($C541,2,20)),1000000000),1000000000))+ROW()/100000,"")</f>
        <v/>
      </c>
    </row>
    <row r="542">
      <c r="F542" s="11" t="n"/>
      <c r="N542" s="7">
        <f>IF($C542="","",M542*U542/100)</f>
        <v/>
      </c>
      <c r="T542" s="7" t="n"/>
      <c r="U542" s="7" t="n"/>
      <c r="V542" s="7">
        <f>IF($C542="","",U542*AA542/100)</f>
        <v/>
      </c>
      <c r="W542" s="7">
        <f>IF($C542="","",U542-V542)</f>
        <v/>
      </c>
      <c r="X542" s="7">
        <f>IF($C542="","",W542-N542)</f>
        <v/>
      </c>
      <c r="AA542">
        <f>IF($C542="","",IF($AN542=1,0,IF($AM542=1,Settings!$C$6,Settings!$C$7))*100)</f>
        <v/>
      </c>
      <c r="AE542" s="7" t="n"/>
      <c r="AH542" s="11" t="n"/>
      <c r="AJ542">
        <f>IF($C542="","",$C542&amp;"|"&amp;$D542&amp;"")</f>
        <v/>
      </c>
      <c r="AK542">
        <f>IF($C542="","",IF(COUNTIF($AJ$2:$AJ542,$AJ542)=1,1,0))</f>
        <v/>
      </c>
      <c r="AL542">
        <f>IF($AK542=1,SUMPRODUCT(--($AO$2:$AO$1501&lt;$AO542))+1,"")</f>
        <v/>
      </c>
      <c r="AM542">
        <f>IF($C542="","",IF(OR($Q542=TRUE(),$Q542="TRUE"),1,0))</f>
        <v/>
      </c>
      <c r="AN542">
        <f>IF($C542="","",IF($Z542="Yes",1,0))</f>
        <v/>
      </c>
      <c r="AO542">
        <f>IF($AK542=1,IFERROR(IF(VALUE($C542)&lt;100000000,VALUE($C542),1000000000),IFERROR(IF(VALUE(MID($C542,2,20))&lt;100000000,VALUE(MID($C542,2,20)),1000000000),1000000000))+ROW()/100000,"")</f>
        <v/>
      </c>
    </row>
    <row r="543">
      <c r="F543" s="11" t="n"/>
      <c r="N543" s="7">
        <f>IF($C543="","",M543*U543/100)</f>
        <v/>
      </c>
      <c r="T543" s="7" t="n"/>
      <c r="U543" s="7" t="n"/>
      <c r="V543" s="7">
        <f>IF($C543="","",U543*AA543/100)</f>
        <v/>
      </c>
      <c r="W543" s="7">
        <f>IF($C543="","",U543-V543)</f>
        <v/>
      </c>
      <c r="X543" s="7">
        <f>IF($C543="","",W543-N543)</f>
        <v/>
      </c>
      <c r="AA543">
        <f>IF($C543="","",IF($AN543=1,0,IF($AM543=1,Settings!$C$6,Settings!$C$7))*100)</f>
        <v/>
      </c>
      <c r="AE543" s="7" t="n"/>
      <c r="AH543" s="11" t="n"/>
      <c r="AJ543">
        <f>IF($C543="","",$C543&amp;"|"&amp;$D543&amp;"")</f>
        <v/>
      </c>
      <c r="AK543">
        <f>IF($C543="","",IF(COUNTIF($AJ$2:$AJ543,$AJ543)=1,1,0))</f>
        <v/>
      </c>
      <c r="AL543">
        <f>IF($AK543=1,SUMPRODUCT(--($AO$2:$AO$1501&lt;$AO543))+1,"")</f>
        <v/>
      </c>
      <c r="AM543">
        <f>IF($C543="","",IF(OR($Q543=TRUE(),$Q543="TRUE"),1,0))</f>
        <v/>
      </c>
      <c r="AN543">
        <f>IF($C543="","",IF($Z543="Yes",1,0))</f>
        <v/>
      </c>
      <c r="AO543">
        <f>IF($AK543=1,IFERROR(IF(VALUE($C543)&lt;100000000,VALUE($C543),1000000000),IFERROR(IF(VALUE(MID($C543,2,20))&lt;100000000,VALUE(MID($C543,2,20)),1000000000),1000000000))+ROW()/100000,"")</f>
        <v/>
      </c>
    </row>
    <row r="544">
      <c r="F544" s="11" t="n"/>
      <c r="N544" s="7">
        <f>IF($C544="","",M544*U544/100)</f>
        <v/>
      </c>
      <c r="T544" s="7" t="n"/>
      <c r="U544" s="7" t="n"/>
      <c r="V544" s="7">
        <f>IF($C544="","",U544*AA544/100)</f>
        <v/>
      </c>
      <c r="W544" s="7">
        <f>IF($C544="","",U544-V544)</f>
        <v/>
      </c>
      <c r="X544" s="7">
        <f>IF($C544="","",W544-N544)</f>
        <v/>
      </c>
      <c r="AA544">
        <f>IF($C544="","",IF($AN544=1,0,IF($AM544=1,Settings!$C$6,Settings!$C$7))*100)</f>
        <v/>
      </c>
      <c r="AE544" s="7" t="n"/>
      <c r="AH544" s="11" t="n"/>
      <c r="AJ544">
        <f>IF($C544="","",$C544&amp;"|"&amp;$D544&amp;"")</f>
        <v/>
      </c>
      <c r="AK544">
        <f>IF($C544="","",IF(COUNTIF($AJ$2:$AJ544,$AJ544)=1,1,0))</f>
        <v/>
      </c>
      <c r="AL544">
        <f>IF($AK544=1,SUMPRODUCT(--($AO$2:$AO$1501&lt;$AO544))+1,"")</f>
        <v/>
      </c>
      <c r="AM544">
        <f>IF($C544="","",IF(OR($Q544=TRUE(),$Q544="TRUE"),1,0))</f>
        <v/>
      </c>
      <c r="AN544">
        <f>IF($C544="","",IF($Z544="Yes",1,0))</f>
        <v/>
      </c>
      <c r="AO544">
        <f>IF($AK544=1,IFERROR(IF(VALUE($C544)&lt;100000000,VALUE($C544),1000000000),IFERROR(IF(VALUE(MID($C544,2,20))&lt;100000000,VALUE(MID($C544,2,20)),1000000000),1000000000))+ROW()/100000,"")</f>
        <v/>
      </c>
    </row>
    <row r="545">
      <c r="F545" s="11" t="n"/>
      <c r="N545" s="7">
        <f>IF($C545="","",M545*U545/100)</f>
        <v/>
      </c>
      <c r="T545" s="7" t="n"/>
      <c r="U545" s="7" t="n"/>
      <c r="V545" s="7">
        <f>IF($C545="","",U545*AA545/100)</f>
        <v/>
      </c>
      <c r="W545" s="7">
        <f>IF($C545="","",U545-V545)</f>
        <v/>
      </c>
      <c r="X545" s="7">
        <f>IF($C545="","",W545-N545)</f>
        <v/>
      </c>
      <c r="AA545">
        <f>IF($C545="","",IF($AN545=1,0,IF($AM545=1,Settings!$C$6,Settings!$C$7))*100)</f>
        <v/>
      </c>
      <c r="AE545" s="7" t="n"/>
      <c r="AH545" s="11" t="n"/>
      <c r="AJ545">
        <f>IF($C545="","",$C545&amp;"|"&amp;$D545&amp;"")</f>
        <v/>
      </c>
      <c r="AK545">
        <f>IF($C545="","",IF(COUNTIF($AJ$2:$AJ545,$AJ545)=1,1,0))</f>
        <v/>
      </c>
      <c r="AL545">
        <f>IF($AK545=1,SUMPRODUCT(--($AO$2:$AO$1501&lt;$AO545))+1,"")</f>
        <v/>
      </c>
      <c r="AM545">
        <f>IF($C545="","",IF(OR($Q545=TRUE(),$Q545="TRUE"),1,0))</f>
        <v/>
      </c>
      <c r="AN545">
        <f>IF($C545="","",IF($Z545="Yes",1,0))</f>
        <v/>
      </c>
      <c r="AO545">
        <f>IF($AK545=1,IFERROR(IF(VALUE($C545)&lt;100000000,VALUE($C545),1000000000),IFERROR(IF(VALUE(MID($C545,2,20))&lt;100000000,VALUE(MID($C545,2,20)),1000000000),1000000000))+ROW()/100000,"")</f>
        <v/>
      </c>
    </row>
    <row r="546">
      <c r="F546" s="11" t="n"/>
      <c r="N546" s="7">
        <f>IF($C546="","",M546*U546/100)</f>
        <v/>
      </c>
      <c r="T546" s="7" t="n"/>
      <c r="U546" s="7" t="n"/>
      <c r="V546" s="7">
        <f>IF($C546="","",U546*AA546/100)</f>
        <v/>
      </c>
      <c r="W546" s="7">
        <f>IF($C546="","",U546-V546)</f>
        <v/>
      </c>
      <c r="X546" s="7">
        <f>IF($C546="","",W546-N546)</f>
        <v/>
      </c>
      <c r="AA546">
        <f>IF($C546="","",IF($AN546=1,0,IF($AM546=1,Settings!$C$6,Settings!$C$7))*100)</f>
        <v/>
      </c>
      <c r="AE546" s="7" t="n"/>
      <c r="AH546" s="11" t="n"/>
      <c r="AJ546">
        <f>IF($C546="","",$C546&amp;"|"&amp;$D546&amp;"")</f>
        <v/>
      </c>
      <c r="AK546">
        <f>IF($C546="","",IF(COUNTIF($AJ$2:$AJ546,$AJ546)=1,1,0))</f>
        <v/>
      </c>
      <c r="AL546">
        <f>IF($AK546=1,SUMPRODUCT(--($AO$2:$AO$1501&lt;$AO546))+1,"")</f>
        <v/>
      </c>
      <c r="AM546">
        <f>IF($C546="","",IF(OR($Q546=TRUE(),$Q546="TRUE"),1,0))</f>
        <v/>
      </c>
      <c r="AN546">
        <f>IF($C546="","",IF($Z546="Yes",1,0))</f>
        <v/>
      </c>
      <c r="AO546">
        <f>IF($AK546=1,IFERROR(IF(VALUE($C546)&lt;100000000,VALUE($C546),1000000000),IFERROR(IF(VALUE(MID($C546,2,20))&lt;100000000,VALUE(MID($C546,2,20)),1000000000),1000000000))+ROW()/100000,"")</f>
        <v/>
      </c>
    </row>
    <row r="547">
      <c r="F547" s="11" t="n"/>
      <c r="N547" s="7">
        <f>IF($C547="","",M547*U547/100)</f>
        <v/>
      </c>
      <c r="T547" s="7" t="n"/>
      <c r="U547" s="7" t="n"/>
      <c r="V547" s="7">
        <f>IF($C547="","",U547*AA547/100)</f>
        <v/>
      </c>
      <c r="W547" s="7">
        <f>IF($C547="","",U547-V547)</f>
        <v/>
      </c>
      <c r="X547" s="7">
        <f>IF($C547="","",W547-N547)</f>
        <v/>
      </c>
      <c r="AA547">
        <f>IF($C547="","",IF($AN547=1,0,IF($AM547=1,Settings!$C$6,Settings!$C$7))*100)</f>
        <v/>
      </c>
      <c r="AE547" s="7" t="n"/>
      <c r="AH547" s="11" t="n"/>
      <c r="AJ547">
        <f>IF($C547="","",$C547&amp;"|"&amp;$D547&amp;"")</f>
        <v/>
      </c>
      <c r="AK547">
        <f>IF($C547="","",IF(COUNTIF($AJ$2:$AJ547,$AJ547)=1,1,0))</f>
        <v/>
      </c>
      <c r="AL547">
        <f>IF($AK547=1,SUMPRODUCT(--($AO$2:$AO$1501&lt;$AO547))+1,"")</f>
        <v/>
      </c>
      <c r="AM547">
        <f>IF($C547="","",IF(OR($Q547=TRUE(),$Q547="TRUE"),1,0))</f>
        <v/>
      </c>
      <c r="AN547">
        <f>IF($C547="","",IF($Z547="Yes",1,0))</f>
        <v/>
      </c>
      <c r="AO547">
        <f>IF($AK547=1,IFERROR(IF(VALUE($C547)&lt;100000000,VALUE($C547),1000000000),IFERROR(IF(VALUE(MID($C547,2,20))&lt;100000000,VALUE(MID($C547,2,20)),1000000000),1000000000))+ROW()/100000,"")</f>
        <v/>
      </c>
    </row>
    <row r="548">
      <c r="F548" s="11" t="n"/>
      <c r="N548" s="7">
        <f>IF($C548="","",M548*U548/100)</f>
        <v/>
      </c>
      <c r="T548" s="7" t="n"/>
      <c r="U548" s="7" t="n"/>
      <c r="V548" s="7">
        <f>IF($C548="","",U548*AA548/100)</f>
        <v/>
      </c>
      <c r="W548" s="7">
        <f>IF($C548="","",U548-V548)</f>
        <v/>
      </c>
      <c r="X548" s="7">
        <f>IF($C548="","",W548-N548)</f>
        <v/>
      </c>
      <c r="AA548">
        <f>IF($C548="","",IF($AN548=1,0,IF($AM548=1,Settings!$C$6,Settings!$C$7))*100)</f>
        <v/>
      </c>
      <c r="AE548" s="7" t="n"/>
      <c r="AH548" s="11" t="n"/>
      <c r="AJ548">
        <f>IF($C548="","",$C548&amp;"|"&amp;$D548&amp;"")</f>
        <v/>
      </c>
      <c r="AK548">
        <f>IF($C548="","",IF(COUNTIF($AJ$2:$AJ548,$AJ548)=1,1,0))</f>
        <v/>
      </c>
      <c r="AL548">
        <f>IF($AK548=1,SUMPRODUCT(--($AO$2:$AO$1501&lt;$AO548))+1,"")</f>
        <v/>
      </c>
      <c r="AM548">
        <f>IF($C548="","",IF(OR($Q548=TRUE(),$Q548="TRUE"),1,0))</f>
        <v/>
      </c>
      <c r="AN548">
        <f>IF($C548="","",IF($Z548="Yes",1,0))</f>
        <v/>
      </c>
      <c r="AO548">
        <f>IF($AK548=1,IFERROR(IF(VALUE($C548)&lt;100000000,VALUE($C548),1000000000),IFERROR(IF(VALUE(MID($C548,2,20))&lt;100000000,VALUE(MID($C548,2,20)),1000000000),1000000000))+ROW()/100000,"")</f>
        <v/>
      </c>
    </row>
    <row r="549">
      <c r="F549" s="11" t="n"/>
      <c r="N549" s="7">
        <f>IF($C549="","",M549*U549/100)</f>
        <v/>
      </c>
      <c r="T549" s="7" t="n"/>
      <c r="U549" s="7" t="n"/>
      <c r="V549" s="7">
        <f>IF($C549="","",U549*AA549/100)</f>
        <v/>
      </c>
      <c r="W549" s="7">
        <f>IF($C549="","",U549-V549)</f>
        <v/>
      </c>
      <c r="X549" s="7">
        <f>IF($C549="","",W549-N549)</f>
        <v/>
      </c>
      <c r="AA549">
        <f>IF($C549="","",IF($AN549=1,0,IF($AM549=1,Settings!$C$6,Settings!$C$7))*100)</f>
        <v/>
      </c>
      <c r="AE549" s="7" t="n"/>
      <c r="AH549" s="11" t="n"/>
      <c r="AJ549">
        <f>IF($C549="","",$C549&amp;"|"&amp;$D549&amp;"")</f>
        <v/>
      </c>
      <c r="AK549">
        <f>IF($C549="","",IF(COUNTIF($AJ$2:$AJ549,$AJ549)=1,1,0))</f>
        <v/>
      </c>
      <c r="AL549">
        <f>IF($AK549=1,SUMPRODUCT(--($AO$2:$AO$1501&lt;$AO549))+1,"")</f>
        <v/>
      </c>
      <c r="AM549">
        <f>IF($C549="","",IF(OR($Q549=TRUE(),$Q549="TRUE"),1,0))</f>
        <v/>
      </c>
      <c r="AN549">
        <f>IF($C549="","",IF($Z549="Yes",1,0))</f>
        <v/>
      </c>
      <c r="AO549">
        <f>IF($AK549=1,IFERROR(IF(VALUE($C549)&lt;100000000,VALUE($C549),1000000000),IFERROR(IF(VALUE(MID($C549,2,20))&lt;100000000,VALUE(MID($C549,2,20)),1000000000),1000000000))+ROW()/100000,"")</f>
        <v/>
      </c>
    </row>
    <row r="550">
      <c r="F550" s="11" t="n"/>
      <c r="N550" s="7">
        <f>IF($C550="","",M550*U550/100)</f>
        <v/>
      </c>
      <c r="T550" s="7" t="n"/>
      <c r="U550" s="7" t="n"/>
      <c r="V550" s="7">
        <f>IF($C550="","",U550*AA550/100)</f>
        <v/>
      </c>
      <c r="W550" s="7">
        <f>IF($C550="","",U550-V550)</f>
        <v/>
      </c>
      <c r="X550" s="7">
        <f>IF($C550="","",W550-N550)</f>
        <v/>
      </c>
      <c r="AA550">
        <f>IF($C550="","",IF($AN550=1,0,IF($AM550=1,Settings!$C$6,Settings!$C$7))*100)</f>
        <v/>
      </c>
      <c r="AE550" s="7" t="n"/>
      <c r="AH550" s="11" t="n"/>
      <c r="AJ550">
        <f>IF($C550="","",$C550&amp;"|"&amp;$D550&amp;"")</f>
        <v/>
      </c>
      <c r="AK550">
        <f>IF($C550="","",IF(COUNTIF($AJ$2:$AJ550,$AJ550)=1,1,0))</f>
        <v/>
      </c>
      <c r="AL550">
        <f>IF($AK550=1,SUMPRODUCT(--($AO$2:$AO$1501&lt;$AO550))+1,"")</f>
        <v/>
      </c>
      <c r="AM550">
        <f>IF($C550="","",IF(OR($Q550=TRUE(),$Q550="TRUE"),1,0))</f>
        <v/>
      </c>
      <c r="AN550">
        <f>IF($C550="","",IF($Z550="Yes",1,0))</f>
        <v/>
      </c>
      <c r="AO550">
        <f>IF($AK550=1,IFERROR(IF(VALUE($C550)&lt;100000000,VALUE($C550),1000000000),IFERROR(IF(VALUE(MID($C550,2,20))&lt;100000000,VALUE(MID($C550,2,20)),1000000000),1000000000))+ROW()/100000,"")</f>
        <v/>
      </c>
    </row>
    <row r="551">
      <c r="F551" s="11" t="n"/>
      <c r="N551" s="7">
        <f>IF($C551="","",M551*U551/100)</f>
        <v/>
      </c>
      <c r="T551" s="7" t="n"/>
      <c r="U551" s="7" t="n"/>
      <c r="V551" s="7">
        <f>IF($C551="","",U551*AA551/100)</f>
        <v/>
      </c>
      <c r="W551" s="7">
        <f>IF($C551="","",U551-V551)</f>
        <v/>
      </c>
      <c r="X551" s="7">
        <f>IF($C551="","",W551-N551)</f>
        <v/>
      </c>
      <c r="AA551">
        <f>IF($C551="","",IF($AN551=1,0,IF($AM551=1,Settings!$C$6,Settings!$C$7))*100)</f>
        <v/>
      </c>
      <c r="AE551" s="7" t="n"/>
      <c r="AH551" s="11" t="n"/>
      <c r="AJ551">
        <f>IF($C551="","",$C551&amp;"|"&amp;$D551&amp;"")</f>
        <v/>
      </c>
      <c r="AK551">
        <f>IF($C551="","",IF(COUNTIF($AJ$2:$AJ551,$AJ551)=1,1,0))</f>
        <v/>
      </c>
      <c r="AL551">
        <f>IF($AK551=1,SUMPRODUCT(--($AO$2:$AO$1501&lt;$AO551))+1,"")</f>
        <v/>
      </c>
      <c r="AM551">
        <f>IF($C551="","",IF(OR($Q551=TRUE(),$Q551="TRUE"),1,0))</f>
        <v/>
      </c>
      <c r="AN551">
        <f>IF($C551="","",IF($Z551="Yes",1,0))</f>
        <v/>
      </c>
      <c r="AO551">
        <f>IF($AK551=1,IFERROR(IF(VALUE($C551)&lt;100000000,VALUE($C551),1000000000),IFERROR(IF(VALUE(MID($C551,2,20))&lt;100000000,VALUE(MID($C551,2,20)),1000000000),1000000000))+ROW()/100000,"")</f>
        <v/>
      </c>
    </row>
    <row r="552">
      <c r="F552" s="11" t="n"/>
      <c r="N552" s="7">
        <f>IF($C552="","",M552*U552/100)</f>
        <v/>
      </c>
      <c r="T552" s="7" t="n"/>
      <c r="U552" s="7" t="n"/>
      <c r="V552" s="7">
        <f>IF($C552="","",U552*AA552/100)</f>
        <v/>
      </c>
      <c r="W552" s="7">
        <f>IF($C552="","",U552-V552)</f>
        <v/>
      </c>
      <c r="X552" s="7">
        <f>IF($C552="","",W552-N552)</f>
        <v/>
      </c>
      <c r="AA552">
        <f>IF($C552="","",IF($AN552=1,0,IF($AM552=1,Settings!$C$6,Settings!$C$7))*100)</f>
        <v/>
      </c>
      <c r="AE552" s="7" t="n"/>
      <c r="AH552" s="11" t="n"/>
      <c r="AJ552">
        <f>IF($C552="","",$C552&amp;"|"&amp;$D552&amp;"")</f>
        <v/>
      </c>
      <c r="AK552">
        <f>IF($C552="","",IF(COUNTIF($AJ$2:$AJ552,$AJ552)=1,1,0))</f>
        <v/>
      </c>
      <c r="AL552">
        <f>IF($AK552=1,SUMPRODUCT(--($AO$2:$AO$1501&lt;$AO552))+1,"")</f>
        <v/>
      </c>
      <c r="AM552">
        <f>IF($C552="","",IF(OR($Q552=TRUE(),$Q552="TRUE"),1,0))</f>
        <v/>
      </c>
      <c r="AN552">
        <f>IF($C552="","",IF($Z552="Yes",1,0))</f>
        <v/>
      </c>
      <c r="AO552">
        <f>IF($AK552=1,IFERROR(IF(VALUE($C552)&lt;100000000,VALUE($C552),1000000000),IFERROR(IF(VALUE(MID($C552,2,20))&lt;100000000,VALUE(MID($C552,2,20)),1000000000),1000000000))+ROW()/100000,"")</f>
        <v/>
      </c>
    </row>
    <row r="553">
      <c r="F553" s="11" t="n"/>
      <c r="N553" s="7">
        <f>IF($C553="","",M553*U553/100)</f>
        <v/>
      </c>
      <c r="T553" s="7" t="n"/>
      <c r="U553" s="7" t="n"/>
      <c r="V553" s="7">
        <f>IF($C553="","",U553*AA553/100)</f>
        <v/>
      </c>
      <c r="W553" s="7">
        <f>IF($C553="","",U553-V553)</f>
        <v/>
      </c>
      <c r="X553" s="7">
        <f>IF($C553="","",W553-N553)</f>
        <v/>
      </c>
      <c r="AA553">
        <f>IF($C553="","",IF($AN553=1,0,IF($AM553=1,Settings!$C$6,Settings!$C$7))*100)</f>
        <v/>
      </c>
      <c r="AE553" s="7" t="n"/>
      <c r="AH553" s="11" t="n"/>
      <c r="AJ553">
        <f>IF($C553="","",$C553&amp;"|"&amp;$D553&amp;"")</f>
        <v/>
      </c>
      <c r="AK553">
        <f>IF($C553="","",IF(COUNTIF($AJ$2:$AJ553,$AJ553)=1,1,0))</f>
        <v/>
      </c>
      <c r="AL553">
        <f>IF($AK553=1,SUMPRODUCT(--($AO$2:$AO$1501&lt;$AO553))+1,"")</f>
        <v/>
      </c>
      <c r="AM553">
        <f>IF($C553="","",IF(OR($Q553=TRUE(),$Q553="TRUE"),1,0))</f>
        <v/>
      </c>
      <c r="AN553">
        <f>IF($C553="","",IF($Z553="Yes",1,0))</f>
        <v/>
      </c>
      <c r="AO553">
        <f>IF($AK553=1,IFERROR(IF(VALUE($C553)&lt;100000000,VALUE($C553),1000000000),IFERROR(IF(VALUE(MID($C553,2,20))&lt;100000000,VALUE(MID($C553,2,20)),1000000000),1000000000))+ROW()/100000,"")</f>
        <v/>
      </c>
    </row>
    <row r="554">
      <c r="F554" s="11" t="n"/>
      <c r="N554" s="7">
        <f>IF($C554="","",M554*U554/100)</f>
        <v/>
      </c>
      <c r="T554" s="7" t="n"/>
      <c r="U554" s="7" t="n"/>
      <c r="V554" s="7">
        <f>IF($C554="","",U554*AA554/100)</f>
        <v/>
      </c>
      <c r="W554" s="7">
        <f>IF($C554="","",U554-V554)</f>
        <v/>
      </c>
      <c r="X554" s="7">
        <f>IF($C554="","",W554-N554)</f>
        <v/>
      </c>
      <c r="AA554">
        <f>IF($C554="","",IF($AN554=1,0,IF($AM554=1,Settings!$C$6,Settings!$C$7))*100)</f>
        <v/>
      </c>
      <c r="AE554" s="7" t="n"/>
      <c r="AH554" s="11" t="n"/>
      <c r="AJ554">
        <f>IF($C554="","",$C554&amp;"|"&amp;$D554&amp;"")</f>
        <v/>
      </c>
      <c r="AK554">
        <f>IF($C554="","",IF(COUNTIF($AJ$2:$AJ554,$AJ554)=1,1,0))</f>
        <v/>
      </c>
      <c r="AL554">
        <f>IF($AK554=1,SUMPRODUCT(--($AO$2:$AO$1501&lt;$AO554))+1,"")</f>
        <v/>
      </c>
      <c r="AM554">
        <f>IF($C554="","",IF(OR($Q554=TRUE(),$Q554="TRUE"),1,0))</f>
        <v/>
      </c>
      <c r="AN554">
        <f>IF($C554="","",IF($Z554="Yes",1,0))</f>
        <v/>
      </c>
      <c r="AO554">
        <f>IF($AK554=1,IFERROR(IF(VALUE($C554)&lt;100000000,VALUE($C554),1000000000),IFERROR(IF(VALUE(MID($C554,2,20))&lt;100000000,VALUE(MID($C554,2,20)),1000000000),1000000000))+ROW()/100000,"")</f>
        <v/>
      </c>
    </row>
    <row r="555">
      <c r="F555" s="11" t="n"/>
      <c r="N555" s="7">
        <f>IF($C555="","",M555*U555/100)</f>
        <v/>
      </c>
      <c r="T555" s="7" t="n"/>
      <c r="U555" s="7" t="n"/>
      <c r="V555" s="7">
        <f>IF($C555="","",U555*AA555/100)</f>
        <v/>
      </c>
      <c r="W555" s="7">
        <f>IF($C555="","",U555-V555)</f>
        <v/>
      </c>
      <c r="X555" s="7">
        <f>IF($C555="","",W555-N555)</f>
        <v/>
      </c>
      <c r="AA555">
        <f>IF($C555="","",IF($AN555=1,0,IF($AM555=1,Settings!$C$6,Settings!$C$7))*100)</f>
        <v/>
      </c>
      <c r="AE555" s="7" t="n"/>
      <c r="AH555" s="11" t="n"/>
      <c r="AJ555">
        <f>IF($C555="","",$C555&amp;"|"&amp;$D555&amp;"")</f>
        <v/>
      </c>
      <c r="AK555">
        <f>IF($C555="","",IF(COUNTIF($AJ$2:$AJ555,$AJ555)=1,1,0))</f>
        <v/>
      </c>
      <c r="AL555">
        <f>IF($AK555=1,SUMPRODUCT(--($AO$2:$AO$1501&lt;$AO555))+1,"")</f>
        <v/>
      </c>
      <c r="AM555">
        <f>IF($C555="","",IF(OR($Q555=TRUE(),$Q555="TRUE"),1,0))</f>
        <v/>
      </c>
      <c r="AN555">
        <f>IF($C555="","",IF($Z555="Yes",1,0))</f>
        <v/>
      </c>
      <c r="AO555">
        <f>IF($AK555=1,IFERROR(IF(VALUE($C555)&lt;100000000,VALUE($C555),1000000000),IFERROR(IF(VALUE(MID($C555,2,20))&lt;100000000,VALUE(MID($C555,2,20)),1000000000),1000000000))+ROW()/100000,"")</f>
        <v/>
      </c>
    </row>
    <row r="556">
      <c r="F556" s="11" t="n"/>
      <c r="N556" s="7">
        <f>IF($C556="","",M556*U556/100)</f>
        <v/>
      </c>
      <c r="T556" s="7" t="n"/>
      <c r="U556" s="7" t="n"/>
      <c r="V556" s="7">
        <f>IF($C556="","",U556*AA556/100)</f>
        <v/>
      </c>
      <c r="W556" s="7">
        <f>IF($C556="","",U556-V556)</f>
        <v/>
      </c>
      <c r="X556" s="7">
        <f>IF($C556="","",W556-N556)</f>
        <v/>
      </c>
      <c r="AA556">
        <f>IF($C556="","",IF($AN556=1,0,IF($AM556=1,Settings!$C$6,Settings!$C$7))*100)</f>
        <v/>
      </c>
      <c r="AE556" s="7" t="n"/>
      <c r="AH556" s="11" t="n"/>
      <c r="AJ556">
        <f>IF($C556="","",$C556&amp;"|"&amp;$D556&amp;"")</f>
        <v/>
      </c>
      <c r="AK556">
        <f>IF($C556="","",IF(COUNTIF($AJ$2:$AJ556,$AJ556)=1,1,0))</f>
        <v/>
      </c>
      <c r="AL556">
        <f>IF($AK556=1,SUMPRODUCT(--($AO$2:$AO$1501&lt;$AO556))+1,"")</f>
        <v/>
      </c>
      <c r="AM556">
        <f>IF($C556="","",IF(OR($Q556=TRUE(),$Q556="TRUE"),1,0))</f>
        <v/>
      </c>
      <c r="AN556">
        <f>IF($C556="","",IF($Z556="Yes",1,0))</f>
        <v/>
      </c>
      <c r="AO556">
        <f>IF($AK556=1,IFERROR(IF(VALUE($C556)&lt;100000000,VALUE($C556),1000000000),IFERROR(IF(VALUE(MID($C556,2,20))&lt;100000000,VALUE(MID($C556,2,20)),1000000000),1000000000))+ROW()/100000,"")</f>
        <v/>
      </c>
    </row>
    <row r="557">
      <c r="F557" s="11" t="n"/>
      <c r="N557" s="7">
        <f>IF($C557="","",M557*U557/100)</f>
        <v/>
      </c>
      <c r="T557" s="7" t="n"/>
      <c r="U557" s="7" t="n"/>
      <c r="V557" s="7">
        <f>IF($C557="","",U557*AA557/100)</f>
        <v/>
      </c>
      <c r="W557" s="7">
        <f>IF($C557="","",U557-V557)</f>
        <v/>
      </c>
      <c r="X557" s="7">
        <f>IF($C557="","",W557-N557)</f>
        <v/>
      </c>
      <c r="AA557">
        <f>IF($C557="","",IF($AN557=1,0,IF($AM557=1,Settings!$C$6,Settings!$C$7))*100)</f>
        <v/>
      </c>
      <c r="AE557" s="7" t="n"/>
      <c r="AH557" s="11" t="n"/>
      <c r="AJ557">
        <f>IF($C557="","",$C557&amp;"|"&amp;$D557&amp;"")</f>
        <v/>
      </c>
      <c r="AK557">
        <f>IF($C557="","",IF(COUNTIF($AJ$2:$AJ557,$AJ557)=1,1,0))</f>
        <v/>
      </c>
      <c r="AL557">
        <f>IF($AK557=1,SUMPRODUCT(--($AO$2:$AO$1501&lt;$AO557))+1,"")</f>
        <v/>
      </c>
      <c r="AM557">
        <f>IF($C557="","",IF(OR($Q557=TRUE(),$Q557="TRUE"),1,0))</f>
        <v/>
      </c>
      <c r="AN557">
        <f>IF($C557="","",IF($Z557="Yes",1,0))</f>
        <v/>
      </c>
      <c r="AO557">
        <f>IF($AK557=1,IFERROR(IF(VALUE($C557)&lt;100000000,VALUE($C557),1000000000),IFERROR(IF(VALUE(MID($C557,2,20))&lt;100000000,VALUE(MID($C557,2,20)),1000000000),1000000000))+ROW()/100000,"")</f>
        <v/>
      </c>
    </row>
    <row r="558">
      <c r="F558" s="11" t="n"/>
      <c r="N558" s="7">
        <f>IF($C558="","",M558*U558/100)</f>
        <v/>
      </c>
      <c r="T558" s="7" t="n"/>
      <c r="U558" s="7" t="n"/>
      <c r="V558" s="7">
        <f>IF($C558="","",U558*AA558/100)</f>
        <v/>
      </c>
      <c r="W558" s="7">
        <f>IF($C558="","",U558-V558)</f>
        <v/>
      </c>
      <c r="X558" s="7">
        <f>IF($C558="","",W558-N558)</f>
        <v/>
      </c>
      <c r="AA558">
        <f>IF($C558="","",IF($AN558=1,0,IF($AM558=1,Settings!$C$6,Settings!$C$7))*100)</f>
        <v/>
      </c>
      <c r="AE558" s="7" t="n"/>
      <c r="AH558" s="11" t="n"/>
      <c r="AJ558">
        <f>IF($C558="","",$C558&amp;"|"&amp;$D558&amp;"")</f>
        <v/>
      </c>
      <c r="AK558">
        <f>IF($C558="","",IF(COUNTIF($AJ$2:$AJ558,$AJ558)=1,1,0))</f>
        <v/>
      </c>
      <c r="AL558">
        <f>IF($AK558=1,SUMPRODUCT(--($AO$2:$AO$1501&lt;$AO558))+1,"")</f>
        <v/>
      </c>
      <c r="AM558">
        <f>IF($C558="","",IF(OR($Q558=TRUE(),$Q558="TRUE"),1,0))</f>
        <v/>
      </c>
      <c r="AN558">
        <f>IF($C558="","",IF($Z558="Yes",1,0))</f>
        <v/>
      </c>
      <c r="AO558">
        <f>IF($AK558=1,IFERROR(IF(VALUE($C558)&lt;100000000,VALUE($C558),1000000000),IFERROR(IF(VALUE(MID($C558,2,20))&lt;100000000,VALUE(MID($C558,2,20)),1000000000),1000000000))+ROW()/100000,"")</f>
        <v/>
      </c>
    </row>
    <row r="559">
      <c r="F559" s="11" t="n"/>
      <c r="N559" s="7">
        <f>IF($C559="","",M559*U559/100)</f>
        <v/>
      </c>
      <c r="T559" s="7" t="n"/>
      <c r="U559" s="7" t="n"/>
      <c r="V559" s="7">
        <f>IF($C559="","",U559*AA559/100)</f>
        <v/>
      </c>
      <c r="W559" s="7">
        <f>IF($C559="","",U559-V559)</f>
        <v/>
      </c>
      <c r="X559" s="7">
        <f>IF($C559="","",W559-N559)</f>
        <v/>
      </c>
      <c r="AA559">
        <f>IF($C559="","",IF($AN559=1,0,IF($AM559=1,Settings!$C$6,Settings!$C$7))*100)</f>
        <v/>
      </c>
      <c r="AE559" s="7" t="n"/>
      <c r="AH559" s="11" t="n"/>
      <c r="AJ559">
        <f>IF($C559="","",$C559&amp;"|"&amp;$D559&amp;"")</f>
        <v/>
      </c>
      <c r="AK559">
        <f>IF($C559="","",IF(COUNTIF($AJ$2:$AJ559,$AJ559)=1,1,0))</f>
        <v/>
      </c>
      <c r="AL559">
        <f>IF($AK559=1,SUMPRODUCT(--($AO$2:$AO$1501&lt;$AO559))+1,"")</f>
        <v/>
      </c>
      <c r="AM559">
        <f>IF($C559="","",IF(OR($Q559=TRUE(),$Q559="TRUE"),1,0))</f>
        <v/>
      </c>
      <c r="AN559">
        <f>IF($C559="","",IF($Z559="Yes",1,0))</f>
        <v/>
      </c>
      <c r="AO559">
        <f>IF($AK559=1,IFERROR(IF(VALUE($C559)&lt;100000000,VALUE($C559),1000000000),IFERROR(IF(VALUE(MID($C559,2,20))&lt;100000000,VALUE(MID($C559,2,20)),1000000000),1000000000))+ROW()/100000,"")</f>
        <v/>
      </c>
    </row>
    <row r="560">
      <c r="F560" s="11" t="n"/>
      <c r="N560" s="7">
        <f>IF($C560="","",M560*U560/100)</f>
        <v/>
      </c>
      <c r="T560" s="7" t="n"/>
      <c r="U560" s="7" t="n"/>
      <c r="V560" s="7">
        <f>IF($C560="","",U560*AA560/100)</f>
        <v/>
      </c>
      <c r="W560" s="7">
        <f>IF($C560="","",U560-V560)</f>
        <v/>
      </c>
      <c r="X560" s="7">
        <f>IF($C560="","",W560-N560)</f>
        <v/>
      </c>
      <c r="AA560">
        <f>IF($C560="","",IF($AN560=1,0,IF($AM560=1,Settings!$C$6,Settings!$C$7))*100)</f>
        <v/>
      </c>
      <c r="AE560" s="7" t="n"/>
      <c r="AH560" s="11" t="n"/>
      <c r="AJ560">
        <f>IF($C560="","",$C560&amp;"|"&amp;$D560&amp;"")</f>
        <v/>
      </c>
      <c r="AK560">
        <f>IF($C560="","",IF(COUNTIF($AJ$2:$AJ560,$AJ560)=1,1,0))</f>
        <v/>
      </c>
      <c r="AL560">
        <f>IF($AK560=1,SUMPRODUCT(--($AO$2:$AO$1501&lt;$AO560))+1,"")</f>
        <v/>
      </c>
      <c r="AM560">
        <f>IF($C560="","",IF(OR($Q560=TRUE(),$Q560="TRUE"),1,0))</f>
        <v/>
      </c>
      <c r="AN560">
        <f>IF($C560="","",IF($Z560="Yes",1,0))</f>
        <v/>
      </c>
      <c r="AO560">
        <f>IF($AK560=1,IFERROR(IF(VALUE($C560)&lt;100000000,VALUE($C560),1000000000),IFERROR(IF(VALUE(MID($C560,2,20))&lt;100000000,VALUE(MID($C560,2,20)),1000000000),1000000000))+ROW()/100000,"")</f>
        <v/>
      </c>
    </row>
    <row r="561">
      <c r="F561" s="11" t="n"/>
      <c r="N561" s="7">
        <f>IF($C561="","",M561*U561/100)</f>
        <v/>
      </c>
      <c r="T561" s="7" t="n"/>
      <c r="U561" s="7" t="n"/>
      <c r="V561" s="7">
        <f>IF($C561="","",U561*AA561/100)</f>
        <v/>
      </c>
      <c r="W561" s="7">
        <f>IF($C561="","",U561-V561)</f>
        <v/>
      </c>
      <c r="X561" s="7">
        <f>IF($C561="","",W561-N561)</f>
        <v/>
      </c>
      <c r="AA561">
        <f>IF($C561="","",IF($AN561=1,0,IF($AM561=1,Settings!$C$6,Settings!$C$7))*100)</f>
        <v/>
      </c>
      <c r="AE561" s="7" t="n"/>
      <c r="AH561" s="11" t="n"/>
      <c r="AJ561">
        <f>IF($C561="","",$C561&amp;"|"&amp;$D561&amp;"")</f>
        <v/>
      </c>
      <c r="AK561">
        <f>IF($C561="","",IF(COUNTIF($AJ$2:$AJ561,$AJ561)=1,1,0))</f>
        <v/>
      </c>
      <c r="AL561">
        <f>IF($AK561=1,SUMPRODUCT(--($AO$2:$AO$1501&lt;$AO561))+1,"")</f>
        <v/>
      </c>
      <c r="AM561">
        <f>IF($C561="","",IF(OR($Q561=TRUE(),$Q561="TRUE"),1,0))</f>
        <v/>
      </c>
      <c r="AN561">
        <f>IF($C561="","",IF($Z561="Yes",1,0))</f>
        <v/>
      </c>
      <c r="AO561">
        <f>IF($AK561=1,IFERROR(IF(VALUE($C561)&lt;100000000,VALUE($C561),1000000000),IFERROR(IF(VALUE(MID($C561,2,20))&lt;100000000,VALUE(MID($C561,2,20)),1000000000),1000000000))+ROW()/100000,"")</f>
        <v/>
      </c>
    </row>
    <row r="562">
      <c r="F562" s="11" t="n"/>
      <c r="N562" s="7">
        <f>IF($C562="","",M562*U562/100)</f>
        <v/>
      </c>
      <c r="T562" s="7" t="n"/>
      <c r="U562" s="7" t="n"/>
      <c r="V562" s="7">
        <f>IF($C562="","",U562*AA562/100)</f>
        <v/>
      </c>
      <c r="W562" s="7">
        <f>IF($C562="","",U562-V562)</f>
        <v/>
      </c>
      <c r="X562" s="7">
        <f>IF($C562="","",W562-N562)</f>
        <v/>
      </c>
      <c r="AA562">
        <f>IF($C562="","",IF($AN562=1,0,IF($AM562=1,Settings!$C$6,Settings!$C$7))*100)</f>
        <v/>
      </c>
      <c r="AE562" s="7" t="n"/>
      <c r="AH562" s="11" t="n"/>
      <c r="AJ562">
        <f>IF($C562="","",$C562&amp;"|"&amp;$D562&amp;"")</f>
        <v/>
      </c>
      <c r="AK562">
        <f>IF($C562="","",IF(COUNTIF($AJ$2:$AJ562,$AJ562)=1,1,0))</f>
        <v/>
      </c>
      <c r="AL562">
        <f>IF($AK562=1,SUMPRODUCT(--($AO$2:$AO$1501&lt;$AO562))+1,"")</f>
        <v/>
      </c>
      <c r="AM562">
        <f>IF($C562="","",IF(OR($Q562=TRUE(),$Q562="TRUE"),1,0))</f>
        <v/>
      </c>
      <c r="AN562">
        <f>IF($C562="","",IF($Z562="Yes",1,0))</f>
        <v/>
      </c>
      <c r="AO562">
        <f>IF($AK562=1,IFERROR(IF(VALUE($C562)&lt;100000000,VALUE($C562),1000000000),IFERROR(IF(VALUE(MID($C562,2,20))&lt;100000000,VALUE(MID($C562,2,20)),1000000000),1000000000))+ROW()/100000,"")</f>
        <v/>
      </c>
    </row>
    <row r="563">
      <c r="F563" s="11" t="n"/>
      <c r="N563" s="7">
        <f>IF($C563="","",M563*U563/100)</f>
        <v/>
      </c>
      <c r="T563" s="7" t="n"/>
      <c r="U563" s="7" t="n"/>
      <c r="V563" s="7">
        <f>IF($C563="","",U563*AA563/100)</f>
        <v/>
      </c>
      <c r="W563" s="7">
        <f>IF($C563="","",U563-V563)</f>
        <v/>
      </c>
      <c r="X563" s="7">
        <f>IF($C563="","",W563-N563)</f>
        <v/>
      </c>
      <c r="AA563">
        <f>IF($C563="","",IF($AN563=1,0,IF($AM563=1,Settings!$C$6,Settings!$C$7))*100)</f>
        <v/>
      </c>
      <c r="AE563" s="7" t="n"/>
      <c r="AH563" s="11" t="n"/>
      <c r="AJ563">
        <f>IF($C563="","",$C563&amp;"|"&amp;$D563&amp;"")</f>
        <v/>
      </c>
      <c r="AK563">
        <f>IF($C563="","",IF(COUNTIF($AJ$2:$AJ563,$AJ563)=1,1,0))</f>
        <v/>
      </c>
      <c r="AL563">
        <f>IF($AK563=1,SUMPRODUCT(--($AO$2:$AO$1501&lt;$AO563))+1,"")</f>
        <v/>
      </c>
      <c r="AM563">
        <f>IF($C563="","",IF(OR($Q563=TRUE(),$Q563="TRUE"),1,0))</f>
        <v/>
      </c>
      <c r="AN563">
        <f>IF($C563="","",IF($Z563="Yes",1,0))</f>
        <v/>
      </c>
      <c r="AO563">
        <f>IF($AK563=1,IFERROR(IF(VALUE($C563)&lt;100000000,VALUE($C563),1000000000),IFERROR(IF(VALUE(MID($C563,2,20))&lt;100000000,VALUE(MID($C563,2,20)),1000000000),1000000000))+ROW()/100000,"")</f>
        <v/>
      </c>
    </row>
    <row r="564">
      <c r="F564" s="11" t="n"/>
      <c r="N564" s="7">
        <f>IF($C564="","",M564*U564/100)</f>
        <v/>
      </c>
      <c r="T564" s="7" t="n"/>
      <c r="U564" s="7" t="n"/>
      <c r="V564" s="7">
        <f>IF($C564="","",U564*AA564/100)</f>
        <v/>
      </c>
      <c r="W564" s="7">
        <f>IF($C564="","",U564-V564)</f>
        <v/>
      </c>
      <c r="X564" s="7">
        <f>IF($C564="","",W564-N564)</f>
        <v/>
      </c>
      <c r="AA564">
        <f>IF($C564="","",IF($AN564=1,0,IF($AM564=1,Settings!$C$6,Settings!$C$7))*100)</f>
        <v/>
      </c>
      <c r="AE564" s="7" t="n"/>
      <c r="AH564" s="11" t="n"/>
      <c r="AJ564">
        <f>IF($C564="","",$C564&amp;"|"&amp;$D564&amp;"")</f>
        <v/>
      </c>
      <c r="AK564">
        <f>IF($C564="","",IF(COUNTIF($AJ$2:$AJ564,$AJ564)=1,1,0))</f>
        <v/>
      </c>
      <c r="AL564">
        <f>IF($AK564=1,SUMPRODUCT(--($AO$2:$AO$1501&lt;$AO564))+1,"")</f>
        <v/>
      </c>
      <c r="AM564">
        <f>IF($C564="","",IF(OR($Q564=TRUE(),$Q564="TRUE"),1,0))</f>
        <v/>
      </c>
      <c r="AN564">
        <f>IF($C564="","",IF($Z564="Yes",1,0))</f>
        <v/>
      </c>
      <c r="AO564">
        <f>IF($AK564=1,IFERROR(IF(VALUE($C564)&lt;100000000,VALUE($C564),1000000000),IFERROR(IF(VALUE(MID($C564,2,20))&lt;100000000,VALUE(MID($C564,2,20)),1000000000),1000000000))+ROW()/100000,"")</f>
        <v/>
      </c>
    </row>
    <row r="565">
      <c r="F565" s="11" t="n"/>
      <c r="N565" s="7">
        <f>IF($C565="","",M565*U565/100)</f>
        <v/>
      </c>
      <c r="T565" s="7" t="n"/>
      <c r="U565" s="7" t="n"/>
      <c r="V565" s="7">
        <f>IF($C565="","",U565*AA565/100)</f>
        <v/>
      </c>
      <c r="W565" s="7">
        <f>IF($C565="","",U565-V565)</f>
        <v/>
      </c>
      <c r="X565" s="7">
        <f>IF($C565="","",W565-N565)</f>
        <v/>
      </c>
      <c r="AA565">
        <f>IF($C565="","",IF($AN565=1,0,IF($AM565=1,Settings!$C$6,Settings!$C$7))*100)</f>
        <v/>
      </c>
      <c r="AE565" s="7" t="n"/>
      <c r="AH565" s="11" t="n"/>
      <c r="AJ565">
        <f>IF($C565="","",$C565&amp;"|"&amp;$D565&amp;"")</f>
        <v/>
      </c>
      <c r="AK565">
        <f>IF($C565="","",IF(COUNTIF($AJ$2:$AJ565,$AJ565)=1,1,0))</f>
        <v/>
      </c>
      <c r="AL565">
        <f>IF($AK565=1,SUMPRODUCT(--($AO$2:$AO$1501&lt;$AO565))+1,"")</f>
        <v/>
      </c>
      <c r="AM565">
        <f>IF($C565="","",IF(OR($Q565=TRUE(),$Q565="TRUE"),1,0))</f>
        <v/>
      </c>
      <c r="AN565">
        <f>IF($C565="","",IF($Z565="Yes",1,0))</f>
        <v/>
      </c>
      <c r="AO565">
        <f>IF($AK565=1,IFERROR(IF(VALUE($C565)&lt;100000000,VALUE($C565),1000000000),IFERROR(IF(VALUE(MID($C565,2,20))&lt;100000000,VALUE(MID($C565,2,20)),1000000000),1000000000))+ROW()/100000,"")</f>
        <v/>
      </c>
    </row>
    <row r="566">
      <c r="F566" s="11" t="n"/>
      <c r="N566" s="7">
        <f>IF($C566="","",M566*U566/100)</f>
        <v/>
      </c>
      <c r="T566" s="7" t="n"/>
      <c r="U566" s="7" t="n"/>
      <c r="V566" s="7">
        <f>IF($C566="","",U566*AA566/100)</f>
        <v/>
      </c>
      <c r="W566" s="7">
        <f>IF($C566="","",U566-V566)</f>
        <v/>
      </c>
      <c r="X566" s="7">
        <f>IF($C566="","",W566-N566)</f>
        <v/>
      </c>
      <c r="AA566">
        <f>IF($C566="","",IF($AN566=1,0,IF($AM566=1,Settings!$C$6,Settings!$C$7))*100)</f>
        <v/>
      </c>
      <c r="AE566" s="7" t="n"/>
      <c r="AH566" s="11" t="n"/>
      <c r="AJ566">
        <f>IF($C566="","",$C566&amp;"|"&amp;$D566&amp;"")</f>
        <v/>
      </c>
      <c r="AK566">
        <f>IF($C566="","",IF(COUNTIF($AJ$2:$AJ566,$AJ566)=1,1,0))</f>
        <v/>
      </c>
      <c r="AL566">
        <f>IF($AK566=1,SUMPRODUCT(--($AO$2:$AO$1501&lt;$AO566))+1,"")</f>
        <v/>
      </c>
      <c r="AM566">
        <f>IF($C566="","",IF(OR($Q566=TRUE(),$Q566="TRUE"),1,0))</f>
        <v/>
      </c>
      <c r="AN566">
        <f>IF($C566="","",IF($Z566="Yes",1,0))</f>
        <v/>
      </c>
      <c r="AO566">
        <f>IF($AK566=1,IFERROR(IF(VALUE($C566)&lt;100000000,VALUE($C566),1000000000),IFERROR(IF(VALUE(MID($C566,2,20))&lt;100000000,VALUE(MID($C566,2,20)),1000000000),1000000000))+ROW()/100000,"")</f>
        <v/>
      </c>
    </row>
    <row r="567">
      <c r="F567" s="11" t="n"/>
      <c r="N567" s="7">
        <f>IF($C567="","",M567*U567/100)</f>
        <v/>
      </c>
      <c r="T567" s="7" t="n"/>
      <c r="U567" s="7" t="n"/>
      <c r="V567" s="7">
        <f>IF($C567="","",U567*AA567/100)</f>
        <v/>
      </c>
      <c r="W567" s="7">
        <f>IF($C567="","",U567-V567)</f>
        <v/>
      </c>
      <c r="X567" s="7">
        <f>IF($C567="","",W567-N567)</f>
        <v/>
      </c>
      <c r="AA567">
        <f>IF($C567="","",IF($AN567=1,0,IF($AM567=1,Settings!$C$6,Settings!$C$7))*100)</f>
        <v/>
      </c>
      <c r="AE567" s="7" t="n"/>
      <c r="AH567" s="11" t="n"/>
      <c r="AJ567">
        <f>IF($C567="","",$C567&amp;"|"&amp;$D567&amp;"")</f>
        <v/>
      </c>
      <c r="AK567">
        <f>IF($C567="","",IF(COUNTIF($AJ$2:$AJ567,$AJ567)=1,1,0))</f>
        <v/>
      </c>
      <c r="AL567">
        <f>IF($AK567=1,SUMPRODUCT(--($AO$2:$AO$1501&lt;$AO567))+1,"")</f>
        <v/>
      </c>
      <c r="AM567">
        <f>IF($C567="","",IF(OR($Q567=TRUE(),$Q567="TRUE"),1,0))</f>
        <v/>
      </c>
      <c r="AN567">
        <f>IF($C567="","",IF($Z567="Yes",1,0))</f>
        <v/>
      </c>
      <c r="AO567">
        <f>IF($AK567=1,IFERROR(IF(VALUE($C567)&lt;100000000,VALUE($C567),1000000000),IFERROR(IF(VALUE(MID($C567,2,20))&lt;100000000,VALUE(MID($C567,2,20)),1000000000),1000000000))+ROW()/100000,"")</f>
        <v/>
      </c>
    </row>
    <row r="568">
      <c r="F568" s="11" t="n"/>
      <c r="N568" s="7">
        <f>IF($C568="","",M568*U568/100)</f>
        <v/>
      </c>
      <c r="T568" s="7" t="n"/>
      <c r="U568" s="7" t="n"/>
      <c r="V568" s="7">
        <f>IF($C568="","",U568*AA568/100)</f>
        <v/>
      </c>
      <c r="W568" s="7">
        <f>IF($C568="","",U568-V568)</f>
        <v/>
      </c>
      <c r="X568" s="7">
        <f>IF($C568="","",W568-N568)</f>
        <v/>
      </c>
      <c r="AA568">
        <f>IF($C568="","",IF($AN568=1,0,IF($AM568=1,Settings!$C$6,Settings!$C$7))*100)</f>
        <v/>
      </c>
      <c r="AE568" s="7" t="n"/>
      <c r="AH568" s="11" t="n"/>
      <c r="AJ568">
        <f>IF($C568="","",$C568&amp;"|"&amp;$D568&amp;"")</f>
        <v/>
      </c>
      <c r="AK568">
        <f>IF($C568="","",IF(COUNTIF($AJ$2:$AJ568,$AJ568)=1,1,0))</f>
        <v/>
      </c>
      <c r="AL568">
        <f>IF($AK568=1,SUMPRODUCT(--($AO$2:$AO$1501&lt;$AO568))+1,"")</f>
        <v/>
      </c>
      <c r="AM568">
        <f>IF($C568="","",IF(OR($Q568=TRUE(),$Q568="TRUE"),1,0))</f>
        <v/>
      </c>
      <c r="AN568">
        <f>IF($C568="","",IF($Z568="Yes",1,0))</f>
        <v/>
      </c>
      <c r="AO568">
        <f>IF($AK568=1,IFERROR(IF(VALUE($C568)&lt;100000000,VALUE($C568),1000000000),IFERROR(IF(VALUE(MID($C568,2,20))&lt;100000000,VALUE(MID($C568,2,20)),1000000000),1000000000))+ROW()/100000,"")</f>
        <v/>
      </c>
    </row>
    <row r="569">
      <c r="F569" s="11" t="n"/>
      <c r="N569" s="7">
        <f>IF($C569="","",M569*U569/100)</f>
        <v/>
      </c>
      <c r="T569" s="7" t="n"/>
      <c r="U569" s="7" t="n"/>
      <c r="V569" s="7">
        <f>IF($C569="","",U569*AA569/100)</f>
        <v/>
      </c>
      <c r="W569" s="7">
        <f>IF($C569="","",U569-V569)</f>
        <v/>
      </c>
      <c r="X569" s="7">
        <f>IF($C569="","",W569-N569)</f>
        <v/>
      </c>
      <c r="AA569">
        <f>IF($C569="","",IF($AN569=1,0,IF($AM569=1,Settings!$C$6,Settings!$C$7))*100)</f>
        <v/>
      </c>
      <c r="AE569" s="7" t="n"/>
      <c r="AH569" s="11" t="n"/>
      <c r="AJ569">
        <f>IF($C569="","",$C569&amp;"|"&amp;$D569&amp;"")</f>
        <v/>
      </c>
      <c r="AK569">
        <f>IF($C569="","",IF(COUNTIF($AJ$2:$AJ569,$AJ569)=1,1,0))</f>
        <v/>
      </c>
      <c r="AL569">
        <f>IF($AK569=1,SUMPRODUCT(--($AO$2:$AO$1501&lt;$AO569))+1,"")</f>
        <v/>
      </c>
      <c r="AM569">
        <f>IF($C569="","",IF(OR($Q569=TRUE(),$Q569="TRUE"),1,0))</f>
        <v/>
      </c>
      <c r="AN569">
        <f>IF($C569="","",IF($Z569="Yes",1,0))</f>
        <v/>
      </c>
      <c r="AO569">
        <f>IF($AK569=1,IFERROR(IF(VALUE($C569)&lt;100000000,VALUE($C569),1000000000),IFERROR(IF(VALUE(MID($C569,2,20))&lt;100000000,VALUE(MID($C569,2,20)),1000000000),1000000000))+ROW()/100000,"")</f>
        <v/>
      </c>
    </row>
    <row r="570">
      <c r="F570" s="11" t="n"/>
      <c r="N570" s="7">
        <f>IF($C570="","",M570*U570/100)</f>
        <v/>
      </c>
      <c r="T570" s="7" t="n"/>
      <c r="U570" s="7" t="n"/>
      <c r="V570" s="7">
        <f>IF($C570="","",U570*AA570/100)</f>
        <v/>
      </c>
      <c r="W570" s="7">
        <f>IF($C570="","",U570-V570)</f>
        <v/>
      </c>
      <c r="X570" s="7">
        <f>IF($C570="","",W570-N570)</f>
        <v/>
      </c>
      <c r="AA570">
        <f>IF($C570="","",IF($AN570=1,0,IF($AM570=1,Settings!$C$6,Settings!$C$7))*100)</f>
        <v/>
      </c>
      <c r="AE570" s="7" t="n"/>
      <c r="AH570" s="11" t="n"/>
      <c r="AJ570">
        <f>IF($C570="","",$C570&amp;"|"&amp;$D570&amp;"")</f>
        <v/>
      </c>
      <c r="AK570">
        <f>IF($C570="","",IF(COUNTIF($AJ$2:$AJ570,$AJ570)=1,1,0))</f>
        <v/>
      </c>
      <c r="AL570">
        <f>IF($AK570=1,SUMPRODUCT(--($AO$2:$AO$1501&lt;$AO570))+1,"")</f>
        <v/>
      </c>
      <c r="AM570">
        <f>IF($C570="","",IF(OR($Q570=TRUE(),$Q570="TRUE"),1,0))</f>
        <v/>
      </c>
      <c r="AN570">
        <f>IF($C570="","",IF($Z570="Yes",1,0))</f>
        <v/>
      </c>
      <c r="AO570">
        <f>IF($AK570=1,IFERROR(IF(VALUE($C570)&lt;100000000,VALUE($C570),1000000000),IFERROR(IF(VALUE(MID($C570,2,20))&lt;100000000,VALUE(MID($C570,2,20)),1000000000),1000000000))+ROW()/100000,"")</f>
        <v/>
      </c>
    </row>
    <row r="571">
      <c r="F571" s="11" t="n"/>
      <c r="N571" s="7">
        <f>IF($C571="","",M571*U571/100)</f>
        <v/>
      </c>
      <c r="T571" s="7" t="n"/>
      <c r="U571" s="7" t="n"/>
      <c r="V571" s="7">
        <f>IF($C571="","",U571*AA571/100)</f>
        <v/>
      </c>
      <c r="W571" s="7">
        <f>IF($C571="","",U571-V571)</f>
        <v/>
      </c>
      <c r="X571" s="7">
        <f>IF($C571="","",W571-N571)</f>
        <v/>
      </c>
      <c r="AA571">
        <f>IF($C571="","",IF($AN571=1,0,IF($AM571=1,Settings!$C$6,Settings!$C$7))*100)</f>
        <v/>
      </c>
      <c r="AE571" s="7" t="n"/>
      <c r="AH571" s="11" t="n"/>
      <c r="AJ571">
        <f>IF($C571="","",$C571&amp;"|"&amp;$D571&amp;"")</f>
        <v/>
      </c>
      <c r="AK571">
        <f>IF($C571="","",IF(COUNTIF($AJ$2:$AJ571,$AJ571)=1,1,0))</f>
        <v/>
      </c>
      <c r="AL571">
        <f>IF($AK571=1,SUMPRODUCT(--($AO$2:$AO$1501&lt;$AO571))+1,"")</f>
        <v/>
      </c>
      <c r="AM571">
        <f>IF($C571="","",IF(OR($Q571=TRUE(),$Q571="TRUE"),1,0))</f>
        <v/>
      </c>
      <c r="AN571">
        <f>IF($C571="","",IF($Z571="Yes",1,0))</f>
        <v/>
      </c>
      <c r="AO571">
        <f>IF($AK571=1,IFERROR(IF(VALUE($C571)&lt;100000000,VALUE($C571),1000000000),IFERROR(IF(VALUE(MID($C571,2,20))&lt;100000000,VALUE(MID($C571,2,20)),1000000000),1000000000))+ROW()/100000,"")</f>
        <v/>
      </c>
    </row>
    <row r="572">
      <c r="F572" s="11" t="n"/>
      <c r="N572" s="7">
        <f>IF($C572="","",M572*U572/100)</f>
        <v/>
      </c>
      <c r="T572" s="7" t="n"/>
      <c r="U572" s="7" t="n"/>
      <c r="V572" s="7">
        <f>IF($C572="","",U572*AA572/100)</f>
        <v/>
      </c>
      <c r="W572" s="7">
        <f>IF($C572="","",U572-V572)</f>
        <v/>
      </c>
      <c r="X572" s="7">
        <f>IF($C572="","",W572-N572)</f>
        <v/>
      </c>
      <c r="AA572">
        <f>IF($C572="","",IF($AN572=1,0,IF($AM572=1,Settings!$C$6,Settings!$C$7))*100)</f>
        <v/>
      </c>
      <c r="AE572" s="7" t="n"/>
      <c r="AH572" s="11" t="n"/>
      <c r="AJ572">
        <f>IF($C572="","",$C572&amp;"|"&amp;$D572&amp;"")</f>
        <v/>
      </c>
      <c r="AK572">
        <f>IF($C572="","",IF(COUNTIF($AJ$2:$AJ572,$AJ572)=1,1,0))</f>
        <v/>
      </c>
      <c r="AL572">
        <f>IF($AK572=1,SUMPRODUCT(--($AO$2:$AO$1501&lt;$AO572))+1,"")</f>
        <v/>
      </c>
      <c r="AM572">
        <f>IF($C572="","",IF(OR($Q572=TRUE(),$Q572="TRUE"),1,0))</f>
        <v/>
      </c>
      <c r="AN572">
        <f>IF($C572="","",IF($Z572="Yes",1,0))</f>
        <v/>
      </c>
      <c r="AO572">
        <f>IF($AK572=1,IFERROR(IF(VALUE($C572)&lt;100000000,VALUE($C572),1000000000),IFERROR(IF(VALUE(MID($C572,2,20))&lt;100000000,VALUE(MID($C572,2,20)),1000000000),1000000000))+ROW()/100000,"")</f>
        <v/>
      </c>
    </row>
    <row r="573">
      <c r="F573" s="11" t="n"/>
      <c r="N573" s="7">
        <f>IF($C573="","",M573*U573/100)</f>
        <v/>
      </c>
      <c r="T573" s="7" t="n"/>
      <c r="U573" s="7" t="n"/>
      <c r="V573" s="7">
        <f>IF($C573="","",U573*AA573/100)</f>
        <v/>
      </c>
      <c r="W573" s="7">
        <f>IF($C573="","",U573-V573)</f>
        <v/>
      </c>
      <c r="X573" s="7">
        <f>IF($C573="","",W573-N573)</f>
        <v/>
      </c>
      <c r="AA573">
        <f>IF($C573="","",IF($AN573=1,0,IF($AM573=1,Settings!$C$6,Settings!$C$7))*100)</f>
        <v/>
      </c>
      <c r="AE573" s="7" t="n"/>
      <c r="AH573" s="11" t="n"/>
      <c r="AJ573">
        <f>IF($C573="","",$C573&amp;"|"&amp;$D573&amp;"")</f>
        <v/>
      </c>
      <c r="AK573">
        <f>IF($C573="","",IF(COUNTIF($AJ$2:$AJ573,$AJ573)=1,1,0))</f>
        <v/>
      </c>
      <c r="AL573">
        <f>IF($AK573=1,SUMPRODUCT(--($AO$2:$AO$1501&lt;$AO573))+1,"")</f>
        <v/>
      </c>
      <c r="AM573">
        <f>IF($C573="","",IF(OR($Q573=TRUE(),$Q573="TRUE"),1,0))</f>
        <v/>
      </c>
      <c r="AN573">
        <f>IF($C573="","",IF($Z573="Yes",1,0))</f>
        <v/>
      </c>
      <c r="AO573">
        <f>IF($AK573=1,IFERROR(IF(VALUE($C573)&lt;100000000,VALUE($C573),1000000000),IFERROR(IF(VALUE(MID($C573,2,20))&lt;100000000,VALUE(MID($C573,2,20)),1000000000),1000000000))+ROW()/100000,"")</f>
        <v/>
      </c>
    </row>
    <row r="574">
      <c r="F574" s="11" t="n"/>
      <c r="N574" s="7">
        <f>IF($C574="","",M574*U574/100)</f>
        <v/>
      </c>
      <c r="T574" s="7" t="n"/>
      <c r="U574" s="7" t="n"/>
      <c r="V574" s="7">
        <f>IF($C574="","",U574*AA574/100)</f>
        <v/>
      </c>
      <c r="W574" s="7">
        <f>IF($C574="","",U574-V574)</f>
        <v/>
      </c>
      <c r="X574" s="7">
        <f>IF($C574="","",W574-N574)</f>
        <v/>
      </c>
      <c r="AA574">
        <f>IF($C574="","",IF($AN574=1,0,IF($AM574=1,Settings!$C$6,Settings!$C$7))*100)</f>
        <v/>
      </c>
      <c r="AE574" s="7" t="n"/>
      <c r="AH574" s="11" t="n"/>
      <c r="AJ574">
        <f>IF($C574="","",$C574&amp;"|"&amp;$D574&amp;"")</f>
        <v/>
      </c>
      <c r="AK574">
        <f>IF($C574="","",IF(COUNTIF($AJ$2:$AJ574,$AJ574)=1,1,0))</f>
        <v/>
      </c>
      <c r="AL574">
        <f>IF($AK574=1,SUMPRODUCT(--($AO$2:$AO$1501&lt;$AO574))+1,"")</f>
        <v/>
      </c>
      <c r="AM574">
        <f>IF($C574="","",IF(OR($Q574=TRUE(),$Q574="TRUE"),1,0))</f>
        <v/>
      </c>
      <c r="AN574">
        <f>IF($C574="","",IF($Z574="Yes",1,0))</f>
        <v/>
      </c>
      <c r="AO574">
        <f>IF($AK574=1,IFERROR(IF(VALUE($C574)&lt;100000000,VALUE($C574),1000000000),IFERROR(IF(VALUE(MID($C574,2,20))&lt;100000000,VALUE(MID($C574,2,20)),1000000000),1000000000))+ROW()/100000,"")</f>
        <v/>
      </c>
    </row>
    <row r="575">
      <c r="F575" s="11" t="n"/>
      <c r="N575" s="7">
        <f>IF($C575="","",M575*U575/100)</f>
        <v/>
      </c>
      <c r="T575" s="7" t="n"/>
      <c r="U575" s="7" t="n"/>
      <c r="V575" s="7">
        <f>IF($C575="","",U575*AA575/100)</f>
        <v/>
      </c>
      <c r="W575" s="7">
        <f>IF($C575="","",U575-V575)</f>
        <v/>
      </c>
      <c r="X575" s="7">
        <f>IF($C575="","",W575-N575)</f>
        <v/>
      </c>
      <c r="AA575">
        <f>IF($C575="","",IF($AN575=1,0,IF($AM575=1,Settings!$C$6,Settings!$C$7))*100)</f>
        <v/>
      </c>
      <c r="AE575" s="7" t="n"/>
      <c r="AH575" s="11" t="n"/>
      <c r="AJ575">
        <f>IF($C575="","",$C575&amp;"|"&amp;$D575&amp;"")</f>
        <v/>
      </c>
      <c r="AK575">
        <f>IF($C575="","",IF(COUNTIF($AJ$2:$AJ575,$AJ575)=1,1,0))</f>
        <v/>
      </c>
      <c r="AL575">
        <f>IF($AK575=1,SUMPRODUCT(--($AO$2:$AO$1501&lt;$AO575))+1,"")</f>
        <v/>
      </c>
      <c r="AM575">
        <f>IF($C575="","",IF(OR($Q575=TRUE(),$Q575="TRUE"),1,0))</f>
        <v/>
      </c>
      <c r="AN575">
        <f>IF($C575="","",IF($Z575="Yes",1,0))</f>
        <v/>
      </c>
      <c r="AO575">
        <f>IF($AK575=1,IFERROR(IF(VALUE($C575)&lt;100000000,VALUE($C575),1000000000),IFERROR(IF(VALUE(MID($C575,2,20))&lt;100000000,VALUE(MID($C575,2,20)),1000000000),1000000000))+ROW()/100000,"")</f>
        <v/>
      </c>
    </row>
    <row r="576">
      <c r="F576" s="11" t="n"/>
      <c r="N576" s="7">
        <f>IF($C576="","",M576*U576/100)</f>
        <v/>
      </c>
      <c r="T576" s="7" t="n"/>
      <c r="U576" s="7" t="n"/>
      <c r="V576" s="7">
        <f>IF($C576="","",U576*AA576/100)</f>
        <v/>
      </c>
      <c r="W576" s="7">
        <f>IF($C576="","",U576-V576)</f>
        <v/>
      </c>
      <c r="X576" s="7">
        <f>IF($C576="","",W576-N576)</f>
        <v/>
      </c>
      <c r="AA576">
        <f>IF($C576="","",IF($AN576=1,0,IF($AM576=1,Settings!$C$6,Settings!$C$7))*100)</f>
        <v/>
      </c>
      <c r="AE576" s="7" t="n"/>
      <c r="AH576" s="11" t="n"/>
      <c r="AJ576">
        <f>IF($C576="","",$C576&amp;"|"&amp;$D576&amp;"")</f>
        <v/>
      </c>
      <c r="AK576">
        <f>IF($C576="","",IF(COUNTIF($AJ$2:$AJ576,$AJ576)=1,1,0))</f>
        <v/>
      </c>
      <c r="AL576">
        <f>IF($AK576=1,SUMPRODUCT(--($AO$2:$AO$1501&lt;$AO576))+1,"")</f>
        <v/>
      </c>
      <c r="AM576">
        <f>IF($C576="","",IF(OR($Q576=TRUE(),$Q576="TRUE"),1,0))</f>
        <v/>
      </c>
      <c r="AN576">
        <f>IF($C576="","",IF($Z576="Yes",1,0))</f>
        <v/>
      </c>
      <c r="AO576">
        <f>IF($AK576=1,IFERROR(IF(VALUE($C576)&lt;100000000,VALUE($C576),1000000000),IFERROR(IF(VALUE(MID($C576,2,20))&lt;100000000,VALUE(MID($C576,2,20)),1000000000),1000000000))+ROW()/100000,"")</f>
        <v/>
      </c>
    </row>
    <row r="577">
      <c r="F577" s="11" t="n"/>
      <c r="N577" s="7">
        <f>IF($C577="","",M577*U577/100)</f>
        <v/>
      </c>
      <c r="T577" s="7" t="n"/>
      <c r="U577" s="7" t="n"/>
      <c r="V577" s="7">
        <f>IF($C577="","",U577*AA577/100)</f>
        <v/>
      </c>
      <c r="W577" s="7">
        <f>IF($C577="","",U577-V577)</f>
        <v/>
      </c>
      <c r="X577" s="7">
        <f>IF($C577="","",W577-N577)</f>
        <v/>
      </c>
      <c r="AA577">
        <f>IF($C577="","",IF($AN577=1,0,IF($AM577=1,Settings!$C$6,Settings!$C$7))*100)</f>
        <v/>
      </c>
      <c r="AE577" s="7" t="n"/>
      <c r="AH577" s="11" t="n"/>
      <c r="AJ577">
        <f>IF($C577="","",$C577&amp;"|"&amp;$D577&amp;"")</f>
        <v/>
      </c>
      <c r="AK577">
        <f>IF($C577="","",IF(COUNTIF($AJ$2:$AJ577,$AJ577)=1,1,0))</f>
        <v/>
      </c>
      <c r="AL577">
        <f>IF($AK577=1,SUMPRODUCT(--($AO$2:$AO$1501&lt;$AO577))+1,"")</f>
        <v/>
      </c>
      <c r="AM577">
        <f>IF($C577="","",IF(OR($Q577=TRUE(),$Q577="TRUE"),1,0))</f>
        <v/>
      </c>
      <c r="AN577">
        <f>IF($C577="","",IF($Z577="Yes",1,0))</f>
        <v/>
      </c>
      <c r="AO577">
        <f>IF($AK577=1,IFERROR(IF(VALUE($C577)&lt;100000000,VALUE($C577),1000000000),IFERROR(IF(VALUE(MID($C577,2,20))&lt;100000000,VALUE(MID($C577,2,20)),1000000000),1000000000))+ROW()/100000,"")</f>
        <v/>
      </c>
    </row>
    <row r="578">
      <c r="F578" s="11" t="n"/>
      <c r="N578" s="7">
        <f>IF($C578="","",M578*U578/100)</f>
        <v/>
      </c>
      <c r="T578" s="7" t="n"/>
      <c r="U578" s="7" t="n"/>
      <c r="V578" s="7">
        <f>IF($C578="","",U578*AA578/100)</f>
        <v/>
      </c>
      <c r="W578" s="7">
        <f>IF($C578="","",U578-V578)</f>
        <v/>
      </c>
      <c r="X578" s="7">
        <f>IF($C578="","",W578-N578)</f>
        <v/>
      </c>
      <c r="AA578">
        <f>IF($C578="","",IF($AN578=1,0,IF($AM578=1,Settings!$C$6,Settings!$C$7))*100)</f>
        <v/>
      </c>
      <c r="AE578" s="7" t="n"/>
      <c r="AH578" s="11" t="n"/>
      <c r="AJ578">
        <f>IF($C578="","",$C578&amp;"|"&amp;$D578&amp;"")</f>
        <v/>
      </c>
      <c r="AK578">
        <f>IF($C578="","",IF(COUNTIF($AJ$2:$AJ578,$AJ578)=1,1,0))</f>
        <v/>
      </c>
      <c r="AL578">
        <f>IF($AK578=1,SUMPRODUCT(--($AO$2:$AO$1501&lt;$AO578))+1,"")</f>
        <v/>
      </c>
      <c r="AM578">
        <f>IF($C578="","",IF(OR($Q578=TRUE(),$Q578="TRUE"),1,0))</f>
        <v/>
      </c>
      <c r="AN578">
        <f>IF($C578="","",IF($Z578="Yes",1,0))</f>
        <v/>
      </c>
      <c r="AO578">
        <f>IF($AK578=1,IFERROR(IF(VALUE($C578)&lt;100000000,VALUE($C578),1000000000),IFERROR(IF(VALUE(MID($C578,2,20))&lt;100000000,VALUE(MID($C578,2,20)),1000000000),1000000000))+ROW()/100000,"")</f>
        <v/>
      </c>
    </row>
    <row r="579">
      <c r="F579" s="11" t="n"/>
      <c r="N579" s="7">
        <f>IF($C579="","",M579*U579/100)</f>
        <v/>
      </c>
      <c r="T579" s="7" t="n"/>
      <c r="U579" s="7" t="n"/>
      <c r="V579" s="7">
        <f>IF($C579="","",U579*AA579/100)</f>
        <v/>
      </c>
      <c r="W579" s="7">
        <f>IF($C579="","",U579-V579)</f>
        <v/>
      </c>
      <c r="X579" s="7">
        <f>IF($C579="","",W579-N579)</f>
        <v/>
      </c>
      <c r="AA579">
        <f>IF($C579="","",IF($AN579=1,0,IF($AM579=1,Settings!$C$6,Settings!$C$7))*100)</f>
        <v/>
      </c>
      <c r="AE579" s="7" t="n"/>
      <c r="AH579" s="11" t="n"/>
      <c r="AJ579">
        <f>IF($C579="","",$C579&amp;"|"&amp;$D579&amp;"")</f>
        <v/>
      </c>
      <c r="AK579">
        <f>IF($C579="","",IF(COUNTIF($AJ$2:$AJ579,$AJ579)=1,1,0))</f>
        <v/>
      </c>
      <c r="AL579">
        <f>IF($AK579=1,SUMPRODUCT(--($AO$2:$AO$1501&lt;$AO579))+1,"")</f>
        <v/>
      </c>
      <c r="AM579">
        <f>IF($C579="","",IF(OR($Q579=TRUE(),$Q579="TRUE"),1,0))</f>
        <v/>
      </c>
      <c r="AN579">
        <f>IF($C579="","",IF($Z579="Yes",1,0))</f>
        <v/>
      </c>
      <c r="AO579">
        <f>IF($AK579=1,IFERROR(IF(VALUE($C579)&lt;100000000,VALUE($C579),1000000000),IFERROR(IF(VALUE(MID($C579,2,20))&lt;100000000,VALUE(MID($C579,2,20)),1000000000),1000000000))+ROW()/100000,"")</f>
        <v/>
      </c>
    </row>
    <row r="580">
      <c r="F580" s="11" t="n"/>
      <c r="N580" s="7">
        <f>IF($C580="","",M580*U580/100)</f>
        <v/>
      </c>
      <c r="T580" s="7" t="n"/>
      <c r="U580" s="7" t="n"/>
      <c r="V580" s="7">
        <f>IF($C580="","",U580*AA580/100)</f>
        <v/>
      </c>
      <c r="W580" s="7">
        <f>IF($C580="","",U580-V580)</f>
        <v/>
      </c>
      <c r="X580" s="7">
        <f>IF($C580="","",W580-N580)</f>
        <v/>
      </c>
      <c r="AA580">
        <f>IF($C580="","",IF($AN580=1,0,IF($AM580=1,Settings!$C$6,Settings!$C$7))*100)</f>
        <v/>
      </c>
      <c r="AE580" s="7" t="n"/>
      <c r="AH580" s="11" t="n"/>
      <c r="AJ580">
        <f>IF($C580="","",$C580&amp;"|"&amp;$D580&amp;"")</f>
        <v/>
      </c>
      <c r="AK580">
        <f>IF($C580="","",IF(COUNTIF($AJ$2:$AJ580,$AJ580)=1,1,0))</f>
        <v/>
      </c>
      <c r="AL580">
        <f>IF($AK580=1,SUMPRODUCT(--($AO$2:$AO$1501&lt;$AO580))+1,"")</f>
        <v/>
      </c>
      <c r="AM580">
        <f>IF($C580="","",IF(OR($Q580=TRUE(),$Q580="TRUE"),1,0))</f>
        <v/>
      </c>
      <c r="AN580">
        <f>IF($C580="","",IF($Z580="Yes",1,0))</f>
        <v/>
      </c>
      <c r="AO580">
        <f>IF($AK580=1,IFERROR(IF(VALUE($C580)&lt;100000000,VALUE($C580),1000000000),IFERROR(IF(VALUE(MID($C580,2,20))&lt;100000000,VALUE(MID($C580,2,20)),1000000000),1000000000))+ROW()/100000,"")</f>
        <v/>
      </c>
    </row>
    <row r="581">
      <c r="F581" s="11" t="n"/>
      <c r="N581" s="7">
        <f>IF($C581="","",M581*U581/100)</f>
        <v/>
      </c>
      <c r="T581" s="7" t="n"/>
      <c r="U581" s="7" t="n"/>
      <c r="V581" s="7">
        <f>IF($C581="","",U581*AA581/100)</f>
        <v/>
      </c>
      <c r="W581" s="7">
        <f>IF($C581="","",U581-V581)</f>
        <v/>
      </c>
      <c r="X581" s="7">
        <f>IF($C581="","",W581-N581)</f>
        <v/>
      </c>
      <c r="AA581">
        <f>IF($C581="","",IF($AN581=1,0,IF($AM581=1,Settings!$C$6,Settings!$C$7))*100)</f>
        <v/>
      </c>
      <c r="AE581" s="7" t="n"/>
      <c r="AH581" s="11" t="n"/>
      <c r="AJ581">
        <f>IF($C581="","",$C581&amp;"|"&amp;$D581&amp;"")</f>
        <v/>
      </c>
      <c r="AK581">
        <f>IF($C581="","",IF(COUNTIF($AJ$2:$AJ581,$AJ581)=1,1,0))</f>
        <v/>
      </c>
      <c r="AL581">
        <f>IF($AK581=1,SUMPRODUCT(--($AO$2:$AO$1501&lt;$AO581))+1,"")</f>
        <v/>
      </c>
      <c r="AM581">
        <f>IF($C581="","",IF(OR($Q581=TRUE(),$Q581="TRUE"),1,0))</f>
        <v/>
      </c>
      <c r="AN581">
        <f>IF($C581="","",IF($Z581="Yes",1,0))</f>
        <v/>
      </c>
      <c r="AO581">
        <f>IF($AK581=1,IFERROR(IF(VALUE($C581)&lt;100000000,VALUE($C581),1000000000),IFERROR(IF(VALUE(MID($C581,2,20))&lt;100000000,VALUE(MID($C581,2,20)),1000000000),1000000000))+ROW()/100000,"")</f>
        <v/>
      </c>
    </row>
    <row r="582">
      <c r="F582" s="11" t="n"/>
      <c r="N582" s="7">
        <f>IF($C582="","",M582*U582/100)</f>
        <v/>
      </c>
      <c r="T582" s="7" t="n"/>
      <c r="U582" s="7" t="n"/>
      <c r="V582" s="7">
        <f>IF($C582="","",U582*AA582/100)</f>
        <v/>
      </c>
      <c r="W582" s="7">
        <f>IF($C582="","",U582-V582)</f>
        <v/>
      </c>
      <c r="X582" s="7">
        <f>IF($C582="","",W582-N582)</f>
        <v/>
      </c>
      <c r="AA582">
        <f>IF($C582="","",IF($AN582=1,0,IF($AM582=1,Settings!$C$6,Settings!$C$7))*100)</f>
        <v/>
      </c>
      <c r="AE582" s="7" t="n"/>
      <c r="AH582" s="11" t="n"/>
      <c r="AJ582">
        <f>IF($C582="","",$C582&amp;"|"&amp;$D582&amp;"")</f>
        <v/>
      </c>
      <c r="AK582">
        <f>IF($C582="","",IF(COUNTIF($AJ$2:$AJ582,$AJ582)=1,1,0))</f>
        <v/>
      </c>
      <c r="AL582">
        <f>IF($AK582=1,SUMPRODUCT(--($AO$2:$AO$1501&lt;$AO582))+1,"")</f>
        <v/>
      </c>
      <c r="AM582">
        <f>IF($C582="","",IF(OR($Q582=TRUE(),$Q582="TRUE"),1,0))</f>
        <v/>
      </c>
      <c r="AN582">
        <f>IF($C582="","",IF($Z582="Yes",1,0))</f>
        <v/>
      </c>
      <c r="AO582">
        <f>IF($AK582=1,IFERROR(IF(VALUE($C582)&lt;100000000,VALUE($C582),1000000000),IFERROR(IF(VALUE(MID($C582,2,20))&lt;100000000,VALUE(MID($C582,2,20)),1000000000),1000000000))+ROW()/100000,"")</f>
        <v/>
      </c>
    </row>
    <row r="583">
      <c r="F583" s="11" t="n"/>
      <c r="N583" s="7">
        <f>IF($C583="","",M583*U583/100)</f>
        <v/>
      </c>
      <c r="T583" s="7" t="n"/>
      <c r="U583" s="7" t="n"/>
      <c r="V583" s="7">
        <f>IF($C583="","",U583*AA583/100)</f>
        <v/>
      </c>
      <c r="W583" s="7">
        <f>IF($C583="","",U583-V583)</f>
        <v/>
      </c>
      <c r="X583" s="7">
        <f>IF($C583="","",W583-N583)</f>
        <v/>
      </c>
      <c r="AA583">
        <f>IF($C583="","",IF($AN583=1,0,IF($AM583=1,Settings!$C$6,Settings!$C$7))*100)</f>
        <v/>
      </c>
      <c r="AE583" s="7" t="n"/>
      <c r="AH583" s="11" t="n"/>
      <c r="AJ583">
        <f>IF($C583="","",$C583&amp;"|"&amp;$D583&amp;"")</f>
        <v/>
      </c>
      <c r="AK583">
        <f>IF($C583="","",IF(COUNTIF($AJ$2:$AJ583,$AJ583)=1,1,0))</f>
        <v/>
      </c>
      <c r="AL583">
        <f>IF($AK583=1,SUMPRODUCT(--($AO$2:$AO$1501&lt;$AO583))+1,"")</f>
        <v/>
      </c>
      <c r="AM583">
        <f>IF($C583="","",IF(OR($Q583=TRUE(),$Q583="TRUE"),1,0))</f>
        <v/>
      </c>
      <c r="AN583">
        <f>IF($C583="","",IF($Z583="Yes",1,0))</f>
        <v/>
      </c>
      <c r="AO583">
        <f>IF($AK583=1,IFERROR(IF(VALUE($C583)&lt;100000000,VALUE($C583),1000000000),IFERROR(IF(VALUE(MID($C583,2,20))&lt;100000000,VALUE(MID($C583,2,20)),1000000000),1000000000))+ROW()/100000,"")</f>
        <v/>
      </c>
    </row>
    <row r="584">
      <c r="F584" s="11" t="n"/>
      <c r="N584" s="7">
        <f>IF($C584="","",M584*U584/100)</f>
        <v/>
      </c>
      <c r="T584" s="7" t="n"/>
      <c r="U584" s="7" t="n"/>
      <c r="V584" s="7">
        <f>IF($C584="","",U584*AA584/100)</f>
        <v/>
      </c>
      <c r="W584" s="7">
        <f>IF($C584="","",U584-V584)</f>
        <v/>
      </c>
      <c r="X584" s="7">
        <f>IF($C584="","",W584-N584)</f>
        <v/>
      </c>
      <c r="AA584">
        <f>IF($C584="","",IF($AN584=1,0,IF($AM584=1,Settings!$C$6,Settings!$C$7))*100)</f>
        <v/>
      </c>
      <c r="AE584" s="7" t="n"/>
      <c r="AH584" s="11" t="n"/>
      <c r="AJ584">
        <f>IF($C584="","",$C584&amp;"|"&amp;$D584&amp;"")</f>
        <v/>
      </c>
      <c r="AK584">
        <f>IF($C584="","",IF(COUNTIF($AJ$2:$AJ584,$AJ584)=1,1,0))</f>
        <v/>
      </c>
      <c r="AL584">
        <f>IF($AK584=1,SUMPRODUCT(--($AO$2:$AO$1501&lt;$AO584))+1,"")</f>
        <v/>
      </c>
      <c r="AM584">
        <f>IF($C584="","",IF(OR($Q584=TRUE(),$Q584="TRUE"),1,0))</f>
        <v/>
      </c>
      <c r="AN584">
        <f>IF($C584="","",IF($Z584="Yes",1,0))</f>
        <v/>
      </c>
      <c r="AO584">
        <f>IF($AK584=1,IFERROR(IF(VALUE($C584)&lt;100000000,VALUE($C584),1000000000),IFERROR(IF(VALUE(MID($C584,2,20))&lt;100000000,VALUE(MID($C584,2,20)),1000000000),1000000000))+ROW()/100000,"")</f>
        <v/>
      </c>
    </row>
    <row r="585">
      <c r="F585" s="11" t="n"/>
      <c r="N585" s="7">
        <f>IF($C585="","",M585*U585/100)</f>
        <v/>
      </c>
      <c r="T585" s="7" t="n"/>
      <c r="U585" s="7" t="n"/>
      <c r="V585" s="7">
        <f>IF($C585="","",U585*AA585/100)</f>
        <v/>
      </c>
      <c r="W585" s="7">
        <f>IF($C585="","",U585-V585)</f>
        <v/>
      </c>
      <c r="X585" s="7">
        <f>IF($C585="","",W585-N585)</f>
        <v/>
      </c>
      <c r="AA585">
        <f>IF($C585="","",IF($AN585=1,0,IF($AM585=1,Settings!$C$6,Settings!$C$7))*100)</f>
        <v/>
      </c>
      <c r="AE585" s="7" t="n"/>
      <c r="AH585" s="11" t="n"/>
      <c r="AJ585">
        <f>IF($C585="","",$C585&amp;"|"&amp;$D585&amp;"")</f>
        <v/>
      </c>
      <c r="AK585">
        <f>IF($C585="","",IF(COUNTIF($AJ$2:$AJ585,$AJ585)=1,1,0))</f>
        <v/>
      </c>
      <c r="AL585">
        <f>IF($AK585=1,SUMPRODUCT(--($AO$2:$AO$1501&lt;$AO585))+1,"")</f>
        <v/>
      </c>
      <c r="AM585">
        <f>IF($C585="","",IF(OR($Q585=TRUE(),$Q585="TRUE"),1,0))</f>
        <v/>
      </c>
      <c r="AN585">
        <f>IF($C585="","",IF($Z585="Yes",1,0))</f>
        <v/>
      </c>
      <c r="AO585">
        <f>IF($AK585=1,IFERROR(IF(VALUE($C585)&lt;100000000,VALUE($C585),1000000000),IFERROR(IF(VALUE(MID($C585,2,20))&lt;100000000,VALUE(MID($C585,2,20)),1000000000),1000000000))+ROW()/100000,"")</f>
        <v/>
      </c>
    </row>
    <row r="586">
      <c r="F586" s="11" t="n"/>
      <c r="N586" s="7">
        <f>IF($C586="","",M586*U586/100)</f>
        <v/>
      </c>
      <c r="T586" s="7" t="n"/>
      <c r="U586" s="7" t="n"/>
      <c r="V586" s="7">
        <f>IF($C586="","",U586*AA586/100)</f>
        <v/>
      </c>
      <c r="W586" s="7">
        <f>IF($C586="","",U586-V586)</f>
        <v/>
      </c>
      <c r="X586" s="7">
        <f>IF($C586="","",W586-N586)</f>
        <v/>
      </c>
      <c r="AA586">
        <f>IF($C586="","",IF($AN586=1,0,IF($AM586=1,Settings!$C$6,Settings!$C$7))*100)</f>
        <v/>
      </c>
      <c r="AE586" s="7" t="n"/>
      <c r="AH586" s="11" t="n"/>
      <c r="AJ586">
        <f>IF($C586="","",$C586&amp;"|"&amp;$D586&amp;"")</f>
        <v/>
      </c>
      <c r="AK586">
        <f>IF($C586="","",IF(COUNTIF($AJ$2:$AJ586,$AJ586)=1,1,0))</f>
        <v/>
      </c>
      <c r="AL586">
        <f>IF($AK586=1,SUMPRODUCT(--($AO$2:$AO$1501&lt;$AO586))+1,"")</f>
        <v/>
      </c>
      <c r="AM586">
        <f>IF($C586="","",IF(OR($Q586=TRUE(),$Q586="TRUE"),1,0))</f>
        <v/>
      </c>
      <c r="AN586">
        <f>IF($C586="","",IF($Z586="Yes",1,0))</f>
        <v/>
      </c>
      <c r="AO586">
        <f>IF($AK586=1,IFERROR(IF(VALUE($C586)&lt;100000000,VALUE($C586),1000000000),IFERROR(IF(VALUE(MID($C586,2,20))&lt;100000000,VALUE(MID($C586,2,20)),1000000000),1000000000))+ROW()/100000,"")</f>
        <v/>
      </c>
    </row>
    <row r="587">
      <c r="F587" s="11" t="n"/>
      <c r="N587" s="7">
        <f>IF($C587="","",M587*U587/100)</f>
        <v/>
      </c>
      <c r="T587" s="7" t="n"/>
      <c r="U587" s="7" t="n"/>
      <c r="V587" s="7">
        <f>IF($C587="","",U587*AA587/100)</f>
        <v/>
      </c>
      <c r="W587" s="7">
        <f>IF($C587="","",U587-V587)</f>
        <v/>
      </c>
      <c r="X587" s="7">
        <f>IF($C587="","",W587-N587)</f>
        <v/>
      </c>
      <c r="AA587">
        <f>IF($C587="","",IF($AN587=1,0,IF($AM587=1,Settings!$C$6,Settings!$C$7))*100)</f>
        <v/>
      </c>
      <c r="AE587" s="7" t="n"/>
      <c r="AH587" s="11" t="n"/>
      <c r="AJ587">
        <f>IF($C587="","",$C587&amp;"|"&amp;$D587&amp;"")</f>
        <v/>
      </c>
      <c r="AK587">
        <f>IF($C587="","",IF(COUNTIF($AJ$2:$AJ587,$AJ587)=1,1,0))</f>
        <v/>
      </c>
      <c r="AL587">
        <f>IF($AK587=1,SUMPRODUCT(--($AO$2:$AO$1501&lt;$AO587))+1,"")</f>
        <v/>
      </c>
      <c r="AM587">
        <f>IF($C587="","",IF(OR($Q587=TRUE(),$Q587="TRUE"),1,0))</f>
        <v/>
      </c>
      <c r="AN587">
        <f>IF($C587="","",IF($Z587="Yes",1,0))</f>
        <v/>
      </c>
      <c r="AO587">
        <f>IF($AK587=1,IFERROR(IF(VALUE($C587)&lt;100000000,VALUE($C587),1000000000),IFERROR(IF(VALUE(MID($C587,2,20))&lt;100000000,VALUE(MID($C587,2,20)),1000000000),1000000000))+ROW()/100000,"")</f>
        <v/>
      </c>
    </row>
    <row r="588">
      <c r="F588" s="11" t="n"/>
      <c r="N588" s="7">
        <f>IF($C588="","",M588*U588/100)</f>
        <v/>
      </c>
      <c r="T588" s="7" t="n"/>
      <c r="U588" s="7" t="n"/>
      <c r="V588" s="7">
        <f>IF($C588="","",U588*AA588/100)</f>
        <v/>
      </c>
      <c r="W588" s="7">
        <f>IF($C588="","",U588-V588)</f>
        <v/>
      </c>
      <c r="X588" s="7">
        <f>IF($C588="","",W588-N588)</f>
        <v/>
      </c>
      <c r="AA588">
        <f>IF($C588="","",IF($AN588=1,0,IF($AM588=1,Settings!$C$6,Settings!$C$7))*100)</f>
        <v/>
      </c>
      <c r="AE588" s="7" t="n"/>
      <c r="AH588" s="11" t="n"/>
      <c r="AJ588">
        <f>IF($C588="","",$C588&amp;"|"&amp;$D588&amp;"")</f>
        <v/>
      </c>
      <c r="AK588">
        <f>IF($C588="","",IF(COUNTIF($AJ$2:$AJ588,$AJ588)=1,1,0))</f>
        <v/>
      </c>
      <c r="AL588">
        <f>IF($AK588=1,SUMPRODUCT(--($AO$2:$AO$1501&lt;$AO588))+1,"")</f>
        <v/>
      </c>
      <c r="AM588">
        <f>IF($C588="","",IF(OR($Q588=TRUE(),$Q588="TRUE"),1,0))</f>
        <v/>
      </c>
      <c r="AN588">
        <f>IF($C588="","",IF($Z588="Yes",1,0))</f>
        <v/>
      </c>
      <c r="AO588">
        <f>IF($AK588=1,IFERROR(IF(VALUE($C588)&lt;100000000,VALUE($C588),1000000000),IFERROR(IF(VALUE(MID($C588,2,20))&lt;100000000,VALUE(MID($C588,2,20)),1000000000),1000000000))+ROW()/100000,"")</f>
        <v/>
      </c>
    </row>
    <row r="589">
      <c r="F589" s="11" t="n"/>
      <c r="N589" s="7">
        <f>IF($C589="","",M589*U589/100)</f>
        <v/>
      </c>
      <c r="T589" s="7" t="n"/>
      <c r="U589" s="7" t="n"/>
      <c r="V589" s="7">
        <f>IF($C589="","",U589*AA589/100)</f>
        <v/>
      </c>
      <c r="W589" s="7">
        <f>IF($C589="","",U589-V589)</f>
        <v/>
      </c>
      <c r="X589" s="7">
        <f>IF($C589="","",W589-N589)</f>
        <v/>
      </c>
      <c r="AA589">
        <f>IF($C589="","",IF($AN589=1,0,IF($AM589=1,Settings!$C$6,Settings!$C$7))*100)</f>
        <v/>
      </c>
      <c r="AE589" s="7" t="n"/>
      <c r="AH589" s="11" t="n"/>
      <c r="AJ589">
        <f>IF($C589="","",$C589&amp;"|"&amp;$D589&amp;"")</f>
        <v/>
      </c>
      <c r="AK589">
        <f>IF($C589="","",IF(COUNTIF($AJ$2:$AJ589,$AJ589)=1,1,0))</f>
        <v/>
      </c>
      <c r="AL589">
        <f>IF($AK589=1,SUMPRODUCT(--($AO$2:$AO$1501&lt;$AO589))+1,"")</f>
        <v/>
      </c>
      <c r="AM589">
        <f>IF($C589="","",IF(OR($Q589=TRUE(),$Q589="TRUE"),1,0))</f>
        <v/>
      </c>
      <c r="AN589">
        <f>IF($C589="","",IF($Z589="Yes",1,0))</f>
        <v/>
      </c>
      <c r="AO589">
        <f>IF($AK589=1,IFERROR(IF(VALUE($C589)&lt;100000000,VALUE($C589),1000000000),IFERROR(IF(VALUE(MID($C589,2,20))&lt;100000000,VALUE(MID($C589,2,20)),1000000000),1000000000))+ROW()/100000,"")</f>
        <v/>
      </c>
    </row>
    <row r="590">
      <c r="F590" s="11" t="n"/>
      <c r="N590" s="7">
        <f>IF($C590="","",M590*U590/100)</f>
        <v/>
      </c>
      <c r="T590" s="7" t="n"/>
      <c r="U590" s="7" t="n"/>
      <c r="V590" s="7">
        <f>IF($C590="","",U590*AA590/100)</f>
        <v/>
      </c>
      <c r="W590" s="7">
        <f>IF($C590="","",U590-V590)</f>
        <v/>
      </c>
      <c r="X590" s="7">
        <f>IF($C590="","",W590-N590)</f>
        <v/>
      </c>
      <c r="AA590">
        <f>IF($C590="","",IF($AN590=1,0,IF($AM590=1,Settings!$C$6,Settings!$C$7))*100)</f>
        <v/>
      </c>
      <c r="AE590" s="7" t="n"/>
      <c r="AH590" s="11" t="n"/>
      <c r="AJ590">
        <f>IF($C590="","",$C590&amp;"|"&amp;$D590&amp;"")</f>
        <v/>
      </c>
      <c r="AK590">
        <f>IF($C590="","",IF(COUNTIF($AJ$2:$AJ590,$AJ590)=1,1,0))</f>
        <v/>
      </c>
      <c r="AL590">
        <f>IF($AK590=1,SUMPRODUCT(--($AO$2:$AO$1501&lt;$AO590))+1,"")</f>
        <v/>
      </c>
      <c r="AM590">
        <f>IF($C590="","",IF(OR($Q590=TRUE(),$Q590="TRUE"),1,0))</f>
        <v/>
      </c>
      <c r="AN590">
        <f>IF($C590="","",IF($Z590="Yes",1,0))</f>
        <v/>
      </c>
      <c r="AO590">
        <f>IF($AK590=1,IFERROR(IF(VALUE($C590)&lt;100000000,VALUE($C590),1000000000),IFERROR(IF(VALUE(MID($C590,2,20))&lt;100000000,VALUE(MID($C590,2,20)),1000000000),1000000000))+ROW()/100000,"")</f>
        <v/>
      </c>
    </row>
    <row r="591">
      <c r="F591" s="11" t="n"/>
      <c r="N591" s="7">
        <f>IF($C591="","",M591*U591/100)</f>
        <v/>
      </c>
      <c r="T591" s="7" t="n"/>
      <c r="U591" s="7" t="n"/>
      <c r="V591" s="7">
        <f>IF($C591="","",U591*AA591/100)</f>
        <v/>
      </c>
      <c r="W591" s="7">
        <f>IF($C591="","",U591-V591)</f>
        <v/>
      </c>
      <c r="X591" s="7">
        <f>IF($C591="","",W591-N591)</f>
        <v/>
      </c>
      <c r="AA591">
        <f>IF($C591="","",IF($AN591=1,0,IF($AM591=1,Settings!$C$6,Settings!$C$7))*100)</f>
        <v/>
      </c>
      <c r="AE591" s="7" t="n"/>
      <c r="AH591" s="11" t="n"/>
      <c r="AJ591">
        <f>IF($C591="","",$C591&amp;"|"&amp;$D591&amp;"")</f>
        <v/>
      </c>
      <c r="AK591">
        <f>IF($C591="","",IF(COUNTIF($AJ$2:$AJ591,$AJ591)=1,1,0))</f>
        <v/>
      </c>
      <c r="AL591">
        <f>IF($AK591=1,SUMPRODUCT(--($AO$2:$AO$1501&lt;$AO591))+1,"")</f>
        <v/>
      </c>
      <c r="AM591">
        <f>IF($C591="","",IF(OR($Q591=TRUE(),$Q591="TRUE"),1,0))</f>
        <v/>
      </c>
      <c r="AN591">
        <f>IF($C591="","",IF($Z591="Yes",1,0))</f>
        <v/>
      </c>
      <c r="AO591">
        <f>IF($AK591=1,IFERROR(IF(VALUE($C591)&lt;100000000,VALUE($C591),1000000000),IFERROR(IF(VALUE(MID($C591,2,20))&lt;100000000,VALUE(MID($C591,2,20)),1000000000),1000000000))+ROW()/100000,"")</f>
        <v/>
      </c>
    </row>
    <row r="592">
      <c r="F592" s="11" t="n"/>
      <c r="N592" s="7">
        <f>IF($C592="","",M592*U592/100)</f>
        <v/>
      </c>
      <c r="T592" s="7" t="n"/>
      <c r="U592" s="7" t="n"/>
      <c r="V592" s="7">
        <f>IF($C592="","",U592*AA592/100)</f>
        <v/>
      </c>
      <c r="W592" s="7">
        <f>IF($C592="","",U592-V592)</f>
        <v/>
      </c>
      <c r="X592" s="7">
        <f>IF($C592="","",W592-N592)</f>
        <v/>
      </c>
      <c r="AA592">
        <f>IF($C592="","",IF($AN592=1,0,IF($AM592=1,Settings!$C$6,Settings!$C$7))*100)</f>
        <v/>
      </c>
      <c r="AE592" s="7" t="n"/>
      <c r="AH592" s="11" t="n"/>
      <c r="AJ592">
        <f>IF($C592="","",$C592&amp;"|"&amp;$D592&amp;"")</f>
        <v/>
      </c>
      <c r="AK592">
        <f>IF($C592="","",IF(COUNTIF($AJ$2:$AJ592,$AJ592)=1,1,0))</f>
        <v/>
      </c>
      <c r="AL592">
        <f>IF($AK592=1,SUMPRODUCT(--($AO$2:$AO$1501&lt;$AO592))+1,"")</f>
        <v/>
      </c>
      <c r="AM592">
        <f>IF($C592="","",IF(OR($Q592=TRUE(),$Q592="TRUE"),1,0))</f>
        <v/>
      </c>
      <c r="AN592">
        <f>IF($C592="","",IF($Z592="Yes",1,0))</f>
        <v/>
      </c>
      <c r="AO592">
        <f>IF($AK592=1,IFERROR(IF(VALUE($C592)&lt;100000000,VALUE($C592),1000000000),IFERROR(IF(VALUE(MID($C592,2,20))&lt;100000000,VALUE(MID($C592,2,20)),1000000000),1000000000))+ROW()/100000,"")</f>
        <v/>
      </c>
    </row>
    <row r="593">
      <c r="F593" s="11" t="n"/>
      <c r="N593" s="7">
        <f>IF($C593="","",M593*U593/100)</f>
        <v/>
      </c>
      <c r="T593" s="7" t="n"/>
      <c r="U593" s="7" t="n"/>
      <c r="V593" s="7">
        <f>IF($C593="","",U593*AA593/100)</f>
        <v/>
      </c>
      <c r="W593" s="7">
        <f>IF($C593="","",U593-V593)</f>
        <v/>
      </c>
      <c r="X593" s="7">
        <f>IF($C593="","",W593-N593)</f>
        <v/>
      </c>
      <c r="AA593">
        <f>IF($C593="","",IF($AN593=1,0,IF($AM593=1,Settings!$C$6,Settings!$C$7))*100)</f>
        <v/>
      </c>
      <c r="AE593" s="7" t="n"/>
      <c r="AH593" s="11" t="n"/>
      <c r="AJ593">
        <f>IF($C593="","",$C593&amp;"|"&amp;$D593&amp;"")</f>
        <v/>
      </c>
      <c r="AK593">
        <f>IF($C593="","",IF(COUNTIF($AJ$2:$AJ593,$AJ593)=1,1,0))</f>
        <v/>
      </c>
      <c r="AL593">
        <f>IF($AK593=1,SUMPRODUCT(--($AO$2:$AO$1501&lt;$AO593))+1,"")</f>
        <v/>
      </c>
      <c r="AM593">
        <f>IF($C593="","",IF(OR($Q593=TRUE(),$Q593="TRUE"),1,0))</f>
        <v/>
      </c>
      <c r="AN593">
        <f>IF($C593="","",IF($Z593="Yes",1,0))</f>
        <v/>
      </c>
      <c r="AO593">
        <f>IF($AK593=1,IFERROR(IF(VALUE($C593)&lt;100000000,VALUE($C593),1000000000),IFERROR(IF(VALUE(MID($C593,2,20))&lt;100000000,VALUE(MID($C593,2,20)),1000000000),1000000000))+ROW()/100000,"")</f>
        <v/>
      </c>
    </row>
    <row r="594">
      <c r="F594" s="11" t="n"/>
      <c r="N594" s="7">
        <f>IF($C594="","",M594*U594/100)</f>
        <v/>
      </c>
      <c r="T594" s="7" t="n"/>
      <c r="U594" s="7" t="n"/>
      <c r="V594" s="7">
        <f>IF($C594="","",U594*AA594/100)</f>
        <v/>
      </c>
      <c r="W594" s="7">
        <f>IF($C594="","",U594-V594)</f>
        <v/>
      </c>
      <c r="X594" s="7">
        <f>IF($C594="","",W594-N594)</f>
        <v/>
      </c>
      <c r="AA594">
        <f>IF($C594="","",IF($AN594=1,0,IF($AM594=1,Settings!$C$6,Settings!$C$7))*100)</f>
        <v/>
      </c>
      <c r="AE594" s="7" t="n"/>
      <c r="AH594" s="11" t="n"/>
      <c r="AJ594">
        <f>IF($C594="","",$C594&amp;"|"&amp;$D594&amp;"")</f>
        <v/>
      </c>
      <c r="AK594">
        <f>IF($C594="","",IF(COUNTIF($AJ$2:$AJ594,$AJ594)=1,1,0))</f>
        <v/>
      </c>
      <c r="AL594">
        <f>IF($AK594=1,SUMPRODUCT(--($AO$2:$AO$1501&lt;$AO594))+1,"")</f>
        <v/>
      </c>
      <c r="AM594">
        <f>IF($C594="","",IF(OR($Q594=TRUE(),$Q594="TRUE"),1,0))</f>
        <v/>
      </c>
      <c r="AN594">
        <f>IF($C594="","",IF($Z594="Yes",1,0))</f>
        <v/>
      </c>
      <c r="AO594">
        <f>IF($AK594=1,IFERROR(IF(VALUE($C594)&lt;100000000,VALUE($C594),1000000000),IFERROR(IF(VALUE(MID($C594,2,20))&lt;100000000,VALUE(MID($C594,2,20)),1000000000),1000000000))+ROW()/100000,"")</f>
        <v/>
      </c>
    </row>
    <row r="595">
      <c r="F595" s="11" t="n"/>
      <c r="N595" s="7">
        <f>IF($C595="","",M595*U595/100)</f>
        <v/>
      </c>
      <c r="T595" s="7" t="n"/>
      <c r="U595" s="7" t="n"/>
      <c r="V595" s="7">
        <f>IF($C595="","",U595*AA595/100)</f>
        <v/>
      </c>
      <c r="W595" s="7">
        <f>IF($C595="","",U595-V595)</f>
        <v/>
      </c>
      <c r="X595" s="7">
        <f>IF($C595="","",W595-N595)</f>
        <v/>
      </c>
      <c r="AA595">
        <f>IF($C595="","",IF($AN595=1,0,IF($AM595=1,Settings!$C$6,Settings!$C$7))*100)</f>
        <v/>
      </c>
      <c r="AE595" s="7" t="n"/>
      <c r="AH595" s="11" t="n"/>
      <c r="AJ595">
        <f>IF($C595="","",$C595&amp;"|"&amp;$D595&amp;"")</f>
        <v/>
      </c>
      <c r="AK595">
        <f>IF($C595="","",IF(COUNTIF($AJ$2:$AJ595,$AJ595)=1,1,0))</f>
        <v/>
      </c>
      <c r="AL595">
        <f>IF($AK595=1,SUMPRODUCT(--($AO$2:$AO$1501&lt;$AO595))+1,"")</f>
        <v/>
      </c>
      <c r="AM595">
        <f>IF($C595="","",IF(OR($Q595=TRUE(),$Q595="TRUE"),1,0))</f>
        <v/>
      </c>
      <c r="AN595">
        <f>IF($C595="","",IF($Z595="Yes",1,0))</f>
        <v/>
      </c>
      <c r="AO595">
        <f>IF($AK595=1,IFERROR(IF(VALUE($C595)&lt;100000000,VALUE($C595),1000000000),IFERROR(IF(VALUE(MID($C595,2,20))&lt;100000000,VALUE(MID($C595,2,20)),1000000000),1000000000))+ROW()/100000,"")</f>
        <v/>
      </c>
    </row>
    <row r="596">
      <c r="F596" s="11" t="n"/>
      <c r="N596" s="7">
        <f>IF($C596="","",M596*U596/100)</f>
        <v/>
      </c>
      <c r="T596" s="7" t="n"/>
      <c r="U596" s="7" t="n"/>
      <c r="V596" s="7">
        <f>IF($C596="","",U596*AA596/100)</f>
        <v/>
      </c>
      <c r="W596" s="7">
        <f>IF($C596="","",U596-V596)</f>
        <v/>
      </c>
      <c r="X596" s="7">
        <f>IF($C596="","",W596-N596)</f>
        <v/>
      </c>
      <c r="AA596">
        <f>IF($C596="","",IF($AN596=1,0,IF($AM596=1,Settings!$C$6,Settings!$C$7))*100)</f>
        <v/>
      </c>
      <c r="AE596" s="7" t="n"/>
      <c r="AH596" s="11" t="n"/>
      <c r="AJ596">
        <f>IF($C596="","",$C596&amp;"|"&amp;$D596&amp;"")</f>
        <v/>
      </c>
      <c r="AK596">
        <f>IF($C596="","",IF(COUNTIF($AJ$2:$AJ596,$AJ596)=1,1,0))</f>
        <v/>
      </c>
      <c r="AL596">
        <f>IF($AK596=1,SUMPRODUCT(--($AO$2:$AO$1501&lt;$AO596))+1,"")</f>
        <v/>
      </c>
      <c r="AM596">
        <f>IF($C596="","",IF(OR($Q596=TRUE(),$Q596="TRUE"),1,0))</f>
        <v/>
      </c>
      <c r="AN596">
        <f>IF($C596="","",IF($Z596="Yes",1,0))</f>
        <v/>
      </c>
      <c r="AO596">
        <f>IF($AK596=1,IFERROR(IF(VALUE($C596)&lt;100000000,VALUE($C596),1000000000),IFERROR(IF(VALUE(MID($C596,2,20))&lt;100000000,VALUE(MID($C596,2,20)),1000000000),1000000000))+ROW()/100000,"")</f>
        <v/>
      </c>
    </row>
    <row r="597">
      <c r="F597" s="11" t="n"/>
      <c r="N597" s="7">
        <f>IF($C597="","",M597*U597/100)</f>
        <v/>
      </c>
      <c r="T597" s="7" t="n"/>
      <c r="U597" s="7" t="n"/>
      <c r="V597" s="7">
        <f>IF($C597="","",U597*AA597/100)</f>
        <v/>
      </c>
      <c r="W597" s="7">
        <f>IF($C597="","",U597-V597)</f>
        <v/>
      </c>
      <c r="X597" s="7">
        <f>IF($C597="","",W597-N597)</f>
        <v/>
      </c>
      <c r="AA597">
        <f>IF($C597="","",IF($AN597=1,0,IF($AM597=1,Settings!$C$6,Settings!$C$7))*100)</f>
        <v/>
      </c>
      <c r="AE597" s="7" t="n"/>
      <c r="AH597" s="11" t="n"/>
      <c r="AJ597">
        <f>IF($C597="","",$C597&amp;"|"&amp;$D597&amp;"")</f>
        <v/>
      </c>
      <c r="AK597">
        <f>IF($C597="","",IF(COUNTIF($AJ$2:$AJ597,$AJ597)=1,1,0))</f>
        <v/>
      </c>
      <c r="AL597">
        <f>IF($AK597=1,SUMPRODUCT(--($AO$2:$AO$1501&lt;$AO597))+1,"")</f>
        <v/>
      </c>
      <c r="AM597">
        <f>IF($C597="","",IF(OR($Q597=TRUE(),$Q597="TRUE"),1,0))</f>
        <v/>
      </c>
      <c r="AN597">
        <f>IF($C597="","",IF($Z597="Yes",1,0))</f>
        <v/>
      </c>
      <c r="AO597">
        <f>IF($AK597=1,IFERROR(IF(VALUE($C597)&lt;100000000,VALUE($C597),1000000000),IFERROR(IF(VALUE(MID($C597,2,20))&lt;100000000,VALUE(MID($C597,2,20)),1000000000),1000000000))+ROW()/100000,"")</f>
        <v/>
      </c>
    </row>
    <row r="598">
      <c r="F598" s="11" t="n"/>
      <c r="N598" s="7">
        <f>IF($C598="","",M598*U598/100)</f>
        <v/>
      </c>
      <c r="T598" s="7" t="n"/>
      <c r="U598" s="7" t="n"/>
      <c r="V598" s="7">
        <f>IF($C598="","",U598*AA598/100)</f>
        <v/>
      </c>
      <c r="W598" s="7">
        <f>IF($C598="","",U598-V598)</f>
        <v/>
      </c>
      <c r="X598" s="7">
        <f>IF($C598="","",W598-N598)</f>
        <v/>
      </c>
      <c r="AA598">
        <f>IF($C598="","",IF($AN598=1,0,IF($AM598=1,Settings!$C$6,Settings!$C$7))*100)</f>
        <v/>
      </c>
      <c r="AE598" s="7" t="n"/>
      <c r="AH598" s="11" t="n"/>
      <c r="AJ598">
        <f>IF($C598="","",$C598&amp;"|"&amp;$D598&amp;"")</f>
        <v/>
      </c>
      <c r="AK598">
        <f>IF($C598="","",IF(COUNTIF($AJ$2:$AJ598,$AJ598)=1,1,0))</f>
        <v/>
      </c>
      <c r="AL598">
        <f>IF($AK598=1,SUMPRODUCT(--($AO$2:$AO$1501&lt;$AO598))+1,"")</f>
        <v/>
      </c>
      <c r="AM598">
        <f>IF($C598="","",IF(OR($Q598=TRUE(),$Q598="TRUE"),1,0))</f>
        <v/>
      </c>
      <c r="AN598">
        <f>IF($C598="","",IF($Z598="Yes",1,0))</f>
        <v/>
      </c>
      <c r="AO598">
        <f>IF($AK598=1,IFERROR(IF(VALUE($C598)&lt;100000000,VALUE($C598),1000000000),IFERROR(IF(VALUE(MID($C598,2,20))&lt;100000000,VALUE(MID($C598,2,20)),1000000000),1000000000))+ROW()/100000,"")</f>
        <v/>
      </c>
    </row>
    <row r="599">
      <c r="F599" s="11" t="n"/>
      <c r="N599" s="7">
        <f>IF($C599="","",M599*U599/100)</f>
        <v/>
      </c>
      <c r="T599" s="7" t="n"/>
      <c r="U599" s="7" t="n"/>
      <c r="V599" s="7">
        <f>IF($C599="","",U599*AA599/100)</f>
        <v/>
      </c>
      <c r="W599" s="7">
        <f>IF($C599="","",U599-V599)</f>
        <v/>
      </c>
      <c r="X599" s="7">
        <f>IF($C599="","",W599-N599)</f>
        <v/>
      </c>
      <c r="AA599">
        <f>IF($C599="","",IF($AN599=1,0,IF($AM599=1,Settings!$C$6,Settings!$C$7))*100)</f>
        <v/>
      </c>
      <c r="AE599" s="7" t="n"/>
      <c r="AH599" s="11" t="n"/>
      <c r="AJ599">
        <f>IF($C599="","",$C599&amp;"|"&amp;$D599&amp;"")</f>
        <v/>
      </c>
      <c r="AK599">
        <f>IF($C599="","",IF(COUNTIF($AJ$2:$AJ599,$AJ599)=1,1,0))</f>
        <v/>
      </c>
      <c r="AL599">
        <f>IF($AK599=1,SUMPRODUCT(--($AO$2:$AO$1501&lt;$AO599))+1,"")</f>
        <v/>
      </c>
      <c r="AM599">
        <f>IF($C599="","",IF(OR($Q599=TRUE(),$Q599="TRUE"),1,0))</f>
        <v/>
      </c>
      <c r="AN599">
        <f>IF($C599="","",IF($Z599="Yes",1,0))</f>
        <v/>
      </c>
      <c r="AO599">
        <f>IF($AK599=1,IFERROR(IF(VALUE($C599)&lt;100000000,VALUE($C599),1000000000),IFERROR(IF(VALUE(MID($C599,2,20))&lt;100000000,VALUE(MID($C599,2,20)),1000000000),1000000000))+ROW()/100000,"")</f>
        <v/>
      </c>
    </row>
    <row r="600">
      <c r="F600" s="11" t="n"/>
      <c r="N600" s="7">
        <f>IF($C600="","",M600*U600/100)</f>
        <v/>
      </c>
      <c r="T600" s="7" t="n"/>
      <c r="U600" s="7" t="n"/>
      <c r="V600" s="7">
        <f>IF($C600="","",U600*AA600/100)</f>
        <v/>
      </c>
      <c r="W600" s="7">
        <f>IF($C600="","",U600-V600)</f>
        <v/>
      </c>
      <c r="X600" s="7">
        <f>IF($C600="","",W600-N600)</f>
        <v/>
      </c>
      <c r="AA600">
        <f>IF($C600="","",IF($AN600=1,0,IF($AM600=1,Settings!$C$6,Settings!$C$7))*100)</f>
        <v/>
      </c>
      <c r="AE600" s="7" t="n"/>
      <c r="AH600" s="11" t="n"/>
      <c r="AJ600">
        <f>IF($C600="","",$C600&amp;"|"&amp;$D600&amp;"")</f>
        <v/>
      </c>
      <c r="AK600">
        <f>IF($C600="","",IF(COUNTIF($AJ$2:$AJ600,$AJ600)=1,1,0))</f>
        <v/>
      </c>
      <c r="AL600">
        <f>IF($AK600=1,SUMPRODUCT(--($AO$2:$AO$1501&lt;$AO600))+1,"")</f>
        <v/>
      </c>
      <c r="AM600">
        <f>IF($C600="","",IF(OR($Q600=TRUE(),$Q600="TRUE"),1,0))</f>
        <v/>
      </c>
      <c r="AN600">
        <f>IF($C600="","",IF($Z600="Yes",1,0))</f>
        <v/>
      </c>
      <c r="AO600">
        <f>IF($AK600=1,IFERROR(IF(VALUE($C600)&lt;100000000,VALUE($C600),1000000000),IFERROR(IF(VALUE(MID($C600,2,20))&lt;100000000,VALUE(MID($C600,2,20)),1000000000),1000000000))+ROW()/100000,"")</f>
        <v/>
      </c>
    </row>
    <row r="601">
      <c r="F601" s="11" t="n"/>
      <c r="N601" s="7">
        <f>IF($C601="","",M601*U601/100)</f>
        <v/>
      </c>
      <c r="T601" s="7" t="n"/>
      <c r="U601" s="7" t="n"/>
      <c r="V601" s="7">
        <f>IF($C601="","",U601*AA601/100)</f>
        <v/>
      </c>
      <c r="W601" s="7">
        <f>IF($C601="","",U601-V601)</f>
        <v/>
      </c>
      <c r="X601" s="7">
        <f>IF($C601="","",W601-N601)</f>
        <v/>
      </c>
      <c r="AA601">
        <f>IF($C601="","",IF($AN601=1,0,IF($AM601=1,Settings!$C$6,Settings!$C$7))*100)</f>
        <v/>
      </c>
      <c r="AE601" s="7" t="n"/>
      <c r="AH601" s="11" t="n"/>
      <c r="AJ601">
        <f>IF($C601="","",$C601&amp;"|"&amp;$D601&amp;"")</f>
        <v/>
      </c>
      <c r="AK601">
        <f>IF($C601="","",IF(COUNTIF($AJ$2:$AJ601,$AJ601)=1,1,0))</f>
        <v/>
      </c>
      <c r="AL601">
        <f>IF($AK601=1,SUMPRODUCT(--($AO$2:$AO$1501&lt;$AO601))+1,"")</f>
        <v/>
      </c>
      <c r="AM601">
        <f>IF($C601="","",IF(OR($Q601=TRUE(),$Q601="TRUE"),1,0))</f>
        <v/>
      </c>
      <c r="AN601">
        <f>IF($C601="","",IF($Z601="Yes",1,0))</f>
        <v/>
      </c>
      <c r="AO601">
        <f>IF($AK601=1,IFERROR(IF(VALUE($C601)&lt;100000000,VALUE($C601),1000000000),IFERROR(IF(VALUE(MID($C601,2,20))&lt;100000000,VALUE(MID($C601,2,20)),1000000000),1000000000))+ROW()/100000,"")</f>
        <v/>
      </c>
    </row>
    <row r="602">
      <c r="F602" s="11" t="n"/>
      <c r="N602" s="7">
        <f>IF($C602="","",M602*U602/100)</f>
        <v/>
      </c>
      <c r="T602" s="7" t="n"/>
      <c r="U602" s="7" t="n"/>
      <c r="V602" s="7">
        <f>IF($C602="","",U602*AA602/100)</f>
        <v/>
      </c>
      <c r="W602" s="7">
        <f>IF($C602="","",U602-V602)</f>
        <v/>
      </c>
      <c r="X602" s="7">
        <f>IF($C602="","",W602-N602)</f>
        <v/>
      </c>
      <c r="AA602">
        <f>IF($C602="","",IF($AN602=1,0,IF($AM602=1,Settings!$C$6,Settings!$C$7))*100)</f>
        <v/>
      </c>
      <c r="AE602" s="7" t="n"/>
      <c r="AH602" s="11" t="n"/>
      <c r="AJ602">
        <f>IF($C602="","",$C602&amp;"|"&amp;$D602&amp;"")</f>
        <v/>
      </c>
      <c r="AK602">
        <f>IF($C602="","",IF(COUNTIF($AJ$2:$AJ602,$AJ602)=1,1,0))</f>
        <v/>
      </c>
      <c r="AL602">
        <f>IF($AK602=1,SUMPRODUCT(--($AO$2:$AO$1501&lt;$AO602))+1,"")</f>
        <v/>
      </c>
      <c r="AM602">
        <f>IF($C602="","",IF(OR($Q602=TRUE(),$Q602="TRUE"),1,0))</f>
        <v/>
      </c>
      <c r="AN602">
        <f>IF($C602="","",IF($Z602="Yes",1,0))</f>
        <v/>
      </c>
      <c r="AO602">
        <f>IF($AK602=1,IFERROR(IF(VALUE($C602)&lt;100000000,VALUE($C602),1000000000),IFERROR(IF(VALUE(MID($C602,2,20))&lt;100000000,VALUE(MID($C602,2,20)),1000000000),1000000000))+ROW()/100000,"")</f>
        <v/>
      </c>
    </row>
    <row r="603">
      <c r="F603" s="11" t="n"/>
      <c r="N603" s="7">
        <f>IF($C603="","",M603*U603/100)</f>
        <v/>
      </c>
      <c r="T603" s="7" t="n"/>
      <c r="U603" s="7" t="n"/>
      <c r="V603" s="7">
        <f>IF($C603="","",U603*AA603/100)</f>
        <v/>
      </c>
      <c r="W603" s="7">
        <f>IF($C603="","",U603-V603)</f>
        <v/>
      </c>
      <c r="X603" s="7">
        <f>IF($C603="","",W603-N603)</f>
        <v/>
      </c>
      <c r="AA603">
        <f>IF($C603="","",IF($AN603=1,0,IF($AM603=1,Settings!$C$6,Settings!$C$7))*100)</f>
        <v/>
      </c>
      <c r="AE603" s="7" t="n"/>
      <c r="AH603" s="11" t="n"/>
      <c r="AJ603">
        <f>IF($C603="","",$C603&amp;"|"&amp;$D603&amp;"")</f>
        <v/>
      </c>
      <c r="AK603">
        <f>IF($C603="","",IF(COUNTIF($AJ$2:$AJ603,$AJ603)=1,1,0))</f>
        <v/>
      </c>
      <c r="AL603">
        <f>IF($AK603=1,SUMPRODUCT(--($AO$2:$AO$1501&lt;$AO603))+1,"")</f>
        <v/>
      </c>
      <c r="AM603">
        <f>IF($C603="","",IF(OR($Q603=TRUE(),$Q603="TRUE"),1,0))</f>
        <v/>
      </c>
      <c r="AN603">
        <f>IF($C603="","",IF($Z603="Yes",1,0))</f>
        <v/>
      </c>
      <c r="AO603">
        <f>IF($AK603=1,IFERROR(IF(VALUE($C603)&lt;100000000,VALUE($C603),1000000000),IFERROR(IF(VALUE(MID($C603,2,20))&lt;100000000,VALUE(MID($C603,2,20)),1000000000),1000000000))+ROW()/100000,"")</f>
        <v/>
      </c>
    </row>
    <row r="604">
      <c r="F604" s="11" t="n"/>
      <c r="N604" s="7">
        <f>IF($C604="","",M604*U604/100)</f>
        <v/>
      </c>
      <c r="T604" s="7" t="n"/>
      <c r="U604" s="7" t="n"/>
      <c r="V604" s="7">
        <f>IF($C604="","",U604*AA604/100)</f>
        <v/>
      </c>
      <c r="W604" s="7">
        <f>IF($C604="","",U604-V604)</f>
        <v/>
      </c>
      <c r="X604" s="7">
        <f>IF($C604="","",W604-N604)</f>
        <v/>
      </c>
      <c r="AA604">
        <f>IF($C604="","",IF($AN604=1,0,IF($AM604=1,Settings!$C$6,Settings!$C$7))*100)</f>
        <v/>
      </c>
      <c r="AE604" s="7" t="n"/>
      <c r="AH604" s="11" t="n"/>
      <c r="AJ604">
        <f>IF($C604="","",$C604&amp;"|"&amp;$D604&amp;"")</f>
        <v/>
      </c>
      <c r="AK604">
        <f>IF($C604="","",IF(COUNTIF($AJ$2:$AJ604,$AJ604)=1,1,0))</f>
        <v/>
      </c>
      <c r="AL604">
        <f>IF($AK604=1,SUMPRODUCT(--($AO$2:$AO$1501&lt;$AO604))+1,"")</f>
        <v/>
      </c>
      <c r="AM604">
        <f>IF($C604="","",IF(OR($Q604=TRUE(),$Q604="TRUE"),1,0))</f>
        <v/>
      </c>
      <c r="AN604">
        <f>IF($C604="","",IF($Z604="Yes",1,0))</f>
        <v/>
      </c>
      <c r="AO604">
        <f>IF($AK604=1,IFERROR(IF(VALUE($C604)&lt;100000000,VALUE($C604),1000000000),IFERROR(IF(VALUE(MID($C604,2,20))&lt;100000000,VALUE(MID($C604,2,20)),1000000000),1000000000))+ROW()/100000,"")</f>
        <v/>
      </c>
    </row>
    <row r="605">
      <c r="F605" s="11" t="n"/>
      <c r="N605" s="7">
        <f>IF($C605="","",M605*U605/100)</f>
        <v/>
      </c>
      <c r="T605" s="7" t="n"/>
      <c r="U605" s="7" t="n"/>
      <c r="V605" s="7">
        <f>IF($C605="","",U605*AA605/100)</f>
        <v/>
      </c>
      <c r="W605" s="7">
        <f>IF($C605="","",U605-V605)</f>
        <v/>
      </c>
      <c r="X605" s="7">
        <f>IF($C605="","",W605-N605)</f>
        <v/>
      </c>
      <c r="AA605">
        <f>IF($C605="","",IF($AN605=1,0,IF($AM605=1,Settings!$C$6,Settings!$C$7))*100)</f>
        <v/>
      </c>
      <c r="AE605" s="7" t="n"/>
      <c r="AH605" s="11" t="n"/>
      <c r="AJ605">
        <f>IF($C605="","",$C605&amp;"|"&amp;$D605&amp;"")</f>
        <v/>
      </c>
      <c r="AK605">
        <f>IF($C605="","",IF(COUNTIF($AJ$2:$AJ605,$AJ605)=1,1,0))</f>
        <v/>
      </c>
      <c r="AL605">
        <f>IF($AK605=1,SUMPRODUCT(--($AO$2:$AO$1501&lt;$AO605))+1,"")</f>
        <v/>
      </c>
      <c r="AM605">
        <f>IF($C605="","",IF(OR($Q605=TRUE(),$Q605="TRUE"),1,0))</f>
        <v/>
      </c>
      <c r="AN605">
        <f>IF($C605="","",IF($Z605="Yes",1,0))</f>
        <v/>
      </c>
      <c r="AO605">
        <f>IF($AK605=1,IFERROR(IF(VALUE($C605)&lt;100000000,VALUE($C605),1000000000),IFERROR(IF(VALUE(MID($C605,2,20))&lt;100000000,VALUE(MID($C605,2,20)),1000000000),1000000000))+ROW()/100000,"")</f>
        <v/>
      </c>
    </row>
    <row r="606">
      <c r="F606" s="11" t="n"/>
      <c r="N606" s="7">
        <f>IF($C606="","",M606*U606/100)</f>
        <v/>
      </c>
      <c r="T606" s="7" t="n"/>
      <c r="U606" s="7" t="n"/>
      <c r="V606" s="7">
        <f>IF($C606="","",U606*AA606/100)</f>
        <v/>
      </c>
      <c r="W606" s="7">
        <f>IF($C606="","",U606-V606)</f>
        <v/>
      </c>
      <c r="X606" s="7">
        <f>IF($C606="","",W606-N606)</f>
        <v/>
      </c>
      <c r="AA606">
        <f>IF($C606="","",IF($AN606=1,0,IF($AM606=1,Settings!$C$6,Settings!$C$7))*100)</f>
        <v/>
      </c>
      <c r="AE606" s="7" t="n"/>
      <c r="AH606" s="11" t="n"/>
      <c r="AJ606">
        <f>IF($C606="","",$C606&amp;"|"&amp;$D606&amp;"")</f>
        <v/>
      </c>
      <c r="AK606">
        <f>IF($C606="","",IF(COUNTIF($AJ$2:$AJ606,$AJ606)=1,1,0))</f>
        <v/>
      </c>
      <c r="AL606">
        <f>IF($AK606=1,SUMPRODUCT(--($AO$2:$AO$1501&lt;$AO606))+1,"")</f>
        <v/>
      </c>
      <c r="AM606">
        <f>IF($C606="","",IF(OR($Q606=TRUE(),$Q606="TRUE"),1,0))</f>
        <v/>
      </c>
      <c r="AN606">
        <f>IF($C606="","",IF($Z606="Yes",1,0))</f>
        <v/>
      </c>
      <c r="AO606">
        <f>IF($AK606=1,IFERROR(IF(VALUE($C606)&lt;100000000,VALUE($C606),1000000000),IFERROR(IF(VALUE(MID($C606,2,20))&lt;100000000,VALUE(MID($C606,2,20)),1000000000),1000000000))+ROW()/100000,"")</f>
        <v/>
      </c>
    </row>
    <row r="607">
      <c r="F607" s="11" t="n"/>
      <c r="N607" s="7">
        <f>IF($C607="","",M607*U607/100)</f>
        <v/>
      </c>
      <c r="T607" s="7" t="n"/>
      <c r="U607" s="7" t="n"/>
      <c r="V607" s="7">
        <f>IF($C607="","",U607*AA607/100)</f>
        <v/>
      </c>
      <c r="W607" s="7">
        <f>IF($C607="","",U607-V607)</f>
        <v/>
      </c>
      <c r="X607" s="7">
        <f>IF($C607="","",W607-N607)</f>
        <v/>
      </c>
      <c r="AA607">
        <f>IF($C607="","",IF($AN607=1,0,IF($AM607=1,Settings!$C$6,Settings!$C$7))*100)</f>
        <v/>
      </c>
      <c r="AE607" s="7" t="n"/>
      <c r="AH607" s="11" t="n"/>
      <c r="AJ607">
        <f>IF($C607="","",$C607&amp;"|"&amp;$D607&amp;"")</f>
        <v/>
      </c>
      <c r="AK607">
        <f>IF($C607="","",IF(COUNTIF($AJ$2:$AJ607,$AJ607)=1,1,0))</f>
        <v/>
      </c>
      <c r="AL607">
        <f>IF($AK607=1,SUMPRODUCT(--($AO$2:$AO$1501&lt;$AO607))+1,"")</f>
        <v/>
      </c>
      <c r="AM607">
        <f>IF($C607="","",IF(OR($Q607=TRUE(),$Q607="TRUE"),1,0))</f>
        <v/>
      </c>
      <c r="AN607">
        <f>IF($C607="","",IF($Z607="Yes",1,0))</f>
        <v/>
      </c>
      <c r="AO607">
        <f>IF($AK607=1,IFERROR(IF(VALUE($C607)&lt;100000000,VALUE($C607),1000000000),IFERROR(IF(VALUE(MID($C607,2,20))&lt;100000000,VALUE(MID($C607,2,20)),1000000000),1000000000))+ROW()/100000,"")</f>
        <v/>
      </c>
    </row>
    <row r="608">
      <c r="F608" s="11" t="n"/>
      <c r="N608" s="7">
        <f>IF($C608="","",M608*U608/100)</f>
        <v/>
      </c>
      <c r="T608" s="7" t="n"/>
      <c r="U608" s="7" t="n"/>
      <c r="V608" s="7">
        <f>IF($C608="","",U608*AA608/100)</f>
        <v/>
      </c>
      <c r="W608" s="7">
        <f>IF($C608="","",U608-V608)</f>
        <v/>
      </c>
      <c r="X608" s="7">
        <f>IF($C608="","",W608-N608)</f>
        <v/>
      </c>
      <c r="AA608">
        <f>IF($C608="","",IF($AN608=1,0,IF($AM608=1,Settings!$C$6,Settings!$C$7))*100)</f>
        <v/>
      </c>
      <c r="AE608" s="7" t="n"/>
      <c r="AH608" s="11" t="n"/>
      <c r="AJ608">
        <f>IF($C608="","",$C608&amp;"|"&amp;$D608&amp;"")</f>
        <v/>
      </c>
      <c r="AK608">
        <f>IF($C608="","",IF(COUNTIF($AJ$2:$AJ608,$AJ608)=1,1,0))</f>
        <v/>
      </c>
      <c r="AL608">
        <f>IF($AK608=1,SUMPRODUCT(--($AO$2:$AO$1501&lt;$AO608))+1,"")</f>
        <v/>
      </c>
      <c r="AM608">
        <f>IF($C608="","",IF(OR($Q608=TRUE(),$Q608="TRUE"),1,0))</f>
        <v/>
      </c>
      <c r="AN608">
        <f>IF($C608="","",IF($Z608="Yes",1,0))</f>
        <v/>
      </c>
      <c r="AO608">
        <f>IF($AK608=1,IFERROR(IF(VALUE($C608)&lt;100000000,VALUE($C608),1000000000),IFERROR(IF(VALUE(MID($C608,2,20))&lt;100000000,VALUE(MID($C608,2,20)),1000000000),1000000000))+ROW()/100000,"")</f>
        <v/>
      </c>
    </row>
    <row r="609">
      <c r="F609" s="11" t="n"/>
      <c r="N609" s="7">
        <f>IF($C609="","",M609*U609/100)</f>
        <v/>
      </c>
      <c r="T609" s="7" t="n"/>
      <c r="U609" s="7" t="n"/>
      <c r="V609" s="7">
        <f>IF($C609="","",U609*AA609/100)</f>
        <v/>
      </c>
      <c r="W609" s="7">
        <f>IF($C609="","",U609-V609)</f>
        <v/>
      </c>
      <c r="X609" s="7">
        <f>IF($C609="","",W609-N609)</f>
        <v/>
      </c>
      <c r="AA609">
        <f>IF($C609="","",IF($AN609=1,0,IF($AM609=1,Settings!$C$6,Settings!$C$7))*100)</f>
        <v/>
      </c>
      <c r="AE609" s="7" t="n"/>
      <c r="AH609" s="11" t="n"/>
      <c r="AJ609">
        <f>IF($C609="","",$C609&amp;"|"&amp;$D609&amp;"")</f>
        <v/>
      </c>
      <c r="AK609">
        <f>IF($C609="","",IF(COUNTIF($AJ$2:$AJ609,$AJ609)=1,1,0))</f>
        <v/>
      </c>
      <c r="AL609">
        <f>IF($AK609=1,SUMPRODUCT(--($AO$2:$AO$1501&lt;$AO609))+1,"")</f>
        <v/>
      </c>
      <c r="AM609">
        <f>IF($C609="","",IF(OR($Q609=TRUE(),$Q609="TRUE"),1,0))</f>
        <v/>
      </c>
      <c r="AN609">
        <f>IF($C609="","",IF($Z609="Yes",1,0))</f>
        <v/>
      </c>
      <c r="AO609">
        <f>IF($AK609=1,IFERROR(IF(VALUE($C609)&lt;100000000,VALUE($C609),1000000000),IFERROR(IF(VALUE(MID($C609,2,20))&lt;100000000,VALUE(MID($C609,2,20)),1000000000),1000000000))+ROW()/100000,"")</f>
        <v/>
      </c>
    </row>
    <row r="610">
      <c r="F610" s="11" t="n"/>
      <c r="N610" s="7">
        <f>IF($C610="","",M610*U610/100)</f>
        <v/>
      </c>
      <c r="T610" s="7" t="n"/>
      <c r="U610" s="7" t="n"/>
      <c r="V610" s="7">
        <f>IF($C610="","",U610*AA610/100)</f>
        <v/>
      </c>
      <c r="W610" s="7">
        <f>IF($C610="","",U610-V610)</f>
        <v/>
      </c>
      <c r="X610" s="7">
        <f>IF($C610="","",W610-N610)</f>
        <v/>
      </c>
      <c r="AA610">
        <f>IF($C610="","",IF($AN610=1,0,IF($AM610=1,Settings!$C$6,Settings!$C$7))*100)</f>
        <v/>
      </c>
      <c r="AE610" s="7" t="n"/>
      <c r="AH610" s="11" t="n"/>
      <c r="AJ610">
        <f>IF($C610="","",$C610&amp;"|"&amp;$D610&amp;"")</f>
        <v/>
      </c>
      <c r="AK610">
        <f>IF($C610="","",IF(COUNTIF($AJ$2:$AJ610,$AJ610)=1,1,0))</f>
        <v/>
      </c>
      <c r="AL610">
        <f>IF($AK610=1,SUMPRODUCT(--($AO$2:$AO$1501&lt;$AO610))+1,"")</f>
        <v/>
      </c>
      <c r="AM610">
        <f>IF($C610="","",IF(OR($Q610=TRUE(),$Q610="TRUE"),1,0))</f>
        <v/>
      </c>
      <c r="AN610">
        <f>IF($C610="","",IF($Z610="Yes",1,0))</f>
        <v/>
      </c>
      <c r="AO610">
        <f>IF($AK610=1,IFERROR(IF(VALUE($C610)&lt;100000000,VALUE($C610),1000000000),IFERROR(IF(VALUE(MID($C610,2,20))&lt;100000000,VALUE(MID($C610,2,20)),1000000000),1000000000))+ROW()/100000,"")</f>
        <v/>
      </c>
    </row>
    <row r="611">
      <c r="F611" s="11" t="n"/>
      <c r="N611" s="7">
        <f>IF($C611="","",M611*U611/100)</f>
        <v/>
      </c>
      <c r="T611" s="7" t="n"/>
      <c r="U611" s="7" t="n"/>
      <c r="V611" s="7">
        <f>IF($C611="","",U611*AA611/100)</f>
        <v/>
      </c>
      <c r="W611" s="7">
        <f>IF($C611="","",U611-V611)</f>
        <v/>
      </c>
      <c r="X611" s="7">
        <f>IF($C611="","",W611-N611)</f>
        <v/>
      </c>
      <c r="AA611">
        <f>IF($C611="","",IF($AN611=1,0,IF($AM611=1,Settings!$C$6,Settings!$C$7))*100)</f>
        <v/>
      </c>
      <c r="AE611" s="7" t="n"/>
      <c r="AH611" s="11" t="n"/>
      <c r="AJ611">
        <f>IF($C611="","",$C611&amp;"|"&amp;$D611&amp;"")</f>
        <v/>
      </c>
      <c r="AK611">
        <f>IF($C611="","",IF(COUNTIF($AJ$2:$AJ611,$AJ611)=1,1,0))</f>
        <v/>
      </c>
      <c r="AL611">
        <f>IF($AK611=1,SUMPRODUCT(--($AO$2:$AO$1501&lt;$AO611))+1,"")</f>
        <v/>
      </c>
      <c r="AM611">
        <f>IF($C611="","",IF(OR($Q611=TRUE(),$Q611="TRUE"),1,0))</f>
        <v/>
      </c>
      <c r="AN611">
        <f>IF($C611="","",IF($Z611="Yes",1,0))</f>
        <v/>
      </c>
      <c r="AO611">
        <f>IF($AK611=1,IFERROR(IF(VALUE($C611)&lt;100000000,VALUE($C611),1000000000),IFERROR(IF(VALUE(MID($C611,2,20))&lt;100000000,VALUE(MID($C611,2,20)),1000000000),1000000000))+ROW()/100000,"")</f>
        <v/>
      </c>
    </row>
    <row r="612">
      <c r="F612" s="11" t="n"/>
      <c r="N612" s="7">
        <f>IF($C612="","",M612*U612/100)</f>
        <v/>
      </c>
      <c r="T612" s="7" t="n"/>
      <c r="U612" s="7" t="n"/>
      <c r="V612" s="7">
        <f>IF($C612="","",U612*AA612/100)</f>
        <v/>
      </c>
      <c r="W612" s="7">
        <f>IF($C612="","",U612-V612)</f>
        <v/>
      </c>
      <c r="X612" s="7">
        <f>IF($C612="","",W612-N612)</f>
        <v/>
      </c>
      <c r="AA612">
        <f>IF($C612="","",IF($AN612=1,0,IF($AM612=1,Settings!$C$6,Settings!$C$7))*100)</f>
        <v/>
      </c>
      <c r="AE612" s="7" t="n"/>
      <c r="AH612" s="11" t="n"/>
      <c r="AJ612">
        <f>IF($C612="","",$C612&amp;"|"&amp;$D612&amp;"")</f>
        <v/>
      </c>
      <c r="AK612">
        <f>IF($C612="","",IF(COUNTIF($AJ$2:$AJ612,$AJ612)=1,1,0))</f>
        <v/>
      </c>
      <c r="AL612">
        <f>IF($AK612=1,SUMPRODUCT(--($AO$2:$AO$1501&lt;$AO612))+1,"")</f>
        <v/>
      </c>
      <c r="AM612">
        <f>IF($C612="","",IF(OR($Q612=TRUE(),$Q612="TRUE"),1,0))</f>
        <v/>
      </c>
      <c r="AN612">
        <f>IF($C612="","",IF($Z612="Yes",1,0))</f>
        <v/>
      </c>
      <c r="AO612">
        <f>IF($AK612=1,IFERROR(IF(VALUE($C612)&lt;100000000,VALUE($C612),1000000000),IFERROR(IF(VALUE(MID($C612,2,20))&lt;100000000,VALUE(MID($C612,2,20)),1000000000),1000000000))+ROW()/100000,"")</f>
        <v/>
      </c>
    </row>
    <row r="613">
      <c r="F613" s="11" t="n"/>
      <c r="N613" s="7">
        <f>IF($C613="","",M613*U613/100)</f>
        <v/>
      </c>
      <c r="T613" s="7" t="n"/>
      <c r="U613" s="7" t="n"/>
      <c r="V613" s="7">
        <f>IF($C613="","",U613*AA613/100)</f>
        <v/>
      </c>
      <c r="W613" s="7">
        <f>IF($C613="","",U613-V613)</f>
        <v/>
      </c>
      <c r="X613" s="7">
        <f>IF($C613="","",W613-N613)</f>
        <v/>
      </c>
      <c r="AA613">
        <f>IF($C613="","",IF($AN613=1,0,IF($AM613=1,Settings!$C$6,Settings!$C$7))*100)</f>
        <v/>
      </c>
      <c r="AE613" s="7" t="n"/>
      <c r="AH613" s="11" t="n"/>
      <c r="AJ613">
        <f>IF($C613="","",$C613&amp;"|"&amp;$D613&amp;"")</f>
        <v/>
      </c>
      <c r="AK613">
        <f>IF($C613="","",IF(COUNTIF($AJ$2:$AJ613,$AJ613)=1,1,0))</f>
        <v/>
      </c>
      <c r="AL613">
        <f>IF($AK613=1,SUMPRODUCT(--($AO$2:$AO$1501&lt;$AO613))+1,"")</f>
        <v/>
      </c>
      <c r="AM613">
        <f>IF($C613="","",IF(OR($Q613=TRUE(),$Q613="TRUE"),1,0))</f>
        <v/>
      </c>
      <c r="AN613">
        <f>IF($C613="","",IF($Z613="Yes",1,0))</f>
        <v/>
      </c>
      <c r="AO613">
        <f>IF($AK613=1,IFERROR(IF(VALUE($C613)&lt;100000000,VALUE($C613),1000000000),IFERROR(IF(VALUE(MID($C613,2,20))&lt;100000000,VALUE(MID($C613,2,20)),1000000000),1000000000))+ROW()/100000,"")</f>
        <v/>
      </c>
    </row>
    <row r="614">
      <c r="F614" s="11" t="n"/>
      <c r="N614" s="7">
        <f>IF($C614="","",M614*U614/100)</f>
        <v/>
      </c>
      <c r="T614" s="7" t="n"/>
      <c r="U614" s="7" t="n"/>
      <c r="V614" s="7">
        <f>IF($C614="","",U614*AA614/100)</f>
        <v/>
      </c>
      <c r="W614" s="7">
        <f>IF($C614="","",U614-V614)</f>
        <v/>
      </c>
      <c r="X614" s="7">
        <f>IF($C614="","",W614-N614)</f>
        <v/>
      </c>
      <c r="AA614">
        <f>IF($C614="","",IF($AN614=1,0,IF($AM614=1,Settings!$C$6,Settings!$C$7))*100)</f>
        <v/>
      </c>
      <c r="AE614" s="7" t="n"/>
      <c r="AH614" s="11" t="n"/>
      <c r="AJ614">
        <f>IF($C614="","",$C614&amp;"|"&amp;$D614&amp;"")</f>
        <v/>
      </c>
      <c r="AK614">
        <f>IF($C614="","",IF(COUNTIF($AJ$2:$AJ614,$AJ614)=1,1,0))</f>
        <v/>
      </c>
      <c r="AL614">
        <f>IF($AK614=1,SUMPRODUCT(--($AO$2:$AO$1501&lt;$AO614))+1,"")</f>
        <v/>
      </c>
      <c r="AM614">
        <f>IF($C614="","",IF(OR($Q614=TRUE(),$Q614="TRUE"),1,0))</f>
        <v/>
      </c>
      <c r="AN614">
        <f>IF($C614="","",IF($Z614="Yes",1,0))</f>
        <v/>
      </c>
      <c r="AO614">
        <f>IF($AK614=1,IFERROR(IF(VALUE($C614)&lt;100000000,VALUE($C614),1000000000),IFERROR(IF(VALUE(MID($C614,2,20))&lt;100000000,VALUE(MID($C614,2,20)),1000000000),1000000000))+ROW()/100000,"")</f>
        <v/>
      </c>
    </row>
    <row r="615">
      <c r="F615" s="11" t="n"/>
      <c r="N615" s="7">
        <f>IF($C615="","",M615*U615/100)</f>
        <v/>
      </c>
      <c r="T615" s="7" t="n"/>
      <c r="U615" s="7" t="n"/>
      <c r="V615" s="7">
        <f>IF($C615="","",U615*AA615/100)</f>
        <v/>
      </c>
      <c r="W615" s="7">
        <f>IF($C615="","",U615-V615)</f>
        <v/>
      </c>
      <c r="X615" s="7">
        <f>IF($C615="","",W615-N615)</f>
        <v/>
      </c>
      <c r="AA615">
        <f>IF($C615="","",IF($AN615=1,0,IF($AM615=1,Settings!$C$6,Settings!$C$7))*100)</f>
        <v/>
      </c>
      <c r="AE615" s="7" t="n"/>
      <c r="AH615" s="11" t="n"/>
      <c r="AJ615">
        <f>IF($C615="","",$C615&amp;"|"&amp;$D615&amp;"")</f>
        <v/>
      </c>
      <c r="AK615">
        <f>IF($C615="","",IF(COUNTIF($AJ$2:$AJ615,$AJ615)=1,1,0))</f>
        <v/>
      </c>
      <c r="AL615">
        <f>IF($AK615=1,SUMPRODUCT(--($AO$2:$AO$1501&lt;$AO615))+1,"")</f>
        <v/>
      </c>
      <c r="AM615">
        <f>IF($C615="","",IF(OR($Q615=TRUE(),$Q615="TRUE"),1,0))</f>
        <v/>
      </c>
      <c r="AN615">
        <f>IF($C615="","",IF($Z615="Yes",1,0))</f>
        <v/>
      </c>
      <c r="AO615">
        <f>IF($AK615=1,IFERROR(IF(VALUE($C615)&lt;100000000,VALUE($C615),1000000000),IFERROR(IF(VALUE(MID($C615,2,20))&lt;100000000,VALUE(MID($C615,2,20)),1000000000),1000000000))+ROW()/100000,"")</f>
        <v/>
      </c>
    </row>
    <row r="616">
      <c r="F616" s="11" t="n"/>
      <c r="N616" s="7">
        <f>IF($C616="","",M616*U616/100)</f>
        <v/>
      </c>
      <c r="T616" s="7" t="n"/>
      <c r="U616" s="7" t="n"/>
      <c r="V616" s="7">
        <f>IF($C616="","",U616*AA616/100)</f>
        <v/>
      </c>
      <c r="W616" s="7">
        <f>IF($C616="","",U616-V616)</f>
        <v/>
      </c>
      <c r="X616" s="7">
        <f>IF($C616="","",W616-N616)</f>
        <v/>
      </c>
      <c r="AA616">
        <f>IF($C616="","",IF($AN616=1,0,IF($AM616=1,Settings!$C$6,Settings!$C$7))*100)</f>
        <v/>
      </c>
      <c r="AE616" s="7" t="n"/>
      <c r="AH616" s="11" t="n"/>
      <c r="AJ616">
        <f>IF($C616="","",$C616&amp;"|"&amp;$D616&amp;"")</f>
        <v/>
      </c>
      <c r="AK616">
        <f>IF($C616="","",IF(COUNTIF($AJ$2:$AJ616,$AJ616)=1,1,0))</f>
        <v/>
      </c>
      <c r="AL616">
        <f>IF($AK616=1,SUMPRODUCT(--($AO$2:$AO$1501&lt;$AO616))+1,"")</f>
        <v/>
      </c>
      <c r="AM616">
        <f>IF($C616="","",IF(OR($Q616=TRUE(),$Q616="TRUE"),1,0))</f>
        <v/>
      </c>
      <c r="AN616">
        <f>IF($C616="","",IF($Z616="Yes",1,0))</f>
        <v/>
      </c>
      <c r="AO616">
        <f>IF($AK616=1,IFERROR(IF(VALUE($C616)&lt;100000000,VALUE($C616),1000000000),IFERROR(IF(VALUE(MID($C616,2,20))&lt;100000000,VALUE(MID($C616,2,20)),1000000000),1000000000))+ROW()/100000,"")</f>
        <v/>
      </c>
    </row>
    <row r="617">
      <c r="F617" s="11" t="n"/>
      <c r="N617" s="7">
        <f>IF($C617="","",M617*U617/100)</f>
        <v/>
      </c>
      <c r="T617" s="7" t="n"/>
      <c r="U617" s="7" t="n"/>
      <c r="V617" s="7">
        <f>IF($C617="","",U617*AA617/100)</f>
        <v/>
      </c>
      <c r="W617" s="7">
        <f>IF($C617="","",U617-V617)</f>
        <v/>
      </c>
      <c r="X617" s="7">
        <f>IF($C617="","",W617-N617)</f>
        <v/>
      </c>
      <c r="AA617">
        <f>IF($C617="","",IF($AN617=1,0,IF($AM617=1,Settings!$C$6,Settings!$C$7))*100)</f>
        <v/>
      </c>
      <c r="AE617" s="7" t="n"/>
      <c r="AH617" s="11" t="n"/>
      <c r="AJ617">
        <f>IF($C617="","",$C617&amp;"|"&amp;$D617&amp;"")</f>
        <v/>
      </c>
      <c r="AK617">
        <f>IF($C617="","",IF(COUNTIF($AJ$2:$AJ617,$AJ617)=1,1,0))</f>
        <v/>
      </c>
      <c r="AL617">
        <f>IF($AK617=1,SUMPRODUCT(--($AO$2:$AO$1501&lt;$AO617))+1,"")</f>
        <v/>
      </c>
      <c r="AM617">
        <f>IF($C617="","",IF(OR($Q617=TRUE(),$Q617="TRUE"),1,0))</f>
        <v/>
      </c>
      <c r="AN617">
        <f>IF($C617="","",IF($Z617="Yes",1,0))</f>
        <v/>
      </c>
      <c r="AO617">
        <f>IF($AK617=1,IFERROR(IF(VALUE($C617)&lt;100000000,VALUE($C617),1000000000),IFERROR(IF(VALUE(MID($C617,2,20))&lt;100000000,VALUE(MID($C617,2,20)),1000000000),1000000000))+ROW()/100000,"")</f>
        <v/>
      </c>
    </row>
    <row r="618">
      <c r="F618" s="11" t="n"/>
      <c r="N618" s="7">
        <f>IF($C618="","",M618*U618/100)</f>
        <v/>
      </c>
      <c r="T618" s="7" t="n"/>
      <c r="U618" s="7" t="n"/>
      <c r="V618" s="7">
        <f>IF($C618="","",U618*AA618/100)</f>
        <v/>
      </c>
      <c r="W618" s="7">
        <f>IF($C618="","",U618-V618)</f>
        <v/>
      </c>
      <c r="X618" s="7">
        <f>IF($C618="","",W618-N618)</f>
        <v/>
      </c>
      <c r="AA618">
        <f>IF($C618="","",IF($AN618=1,0,IF($AM618=1,Settings!$C$6,Settings!$C$7))*100)</f>
        <v/>
      </c>
      <c r="AE618" s="7" t="n"/>
      <c r="AH618" s="11" t="n"/>
      <c r="AJ618">
        <f>IF($C618="","",$C618&amp;"|"&amp;$D618&amp;"")</f>
        <v/>
      </c>
      <c r="AK618">
        <f>IF($C618="","",IF(COUNTIF($AJ$2:$AJ618,$AJ618)=1,1,0))</f>
        <v/>
      </c>
      <c r="AL618">
        <f>IF($AK618=1,SUMPRODUCT(--($AO$2:$AO$1501&lt;$AO618))+1,"")</f>
        <v/>
      </c>
      <c r="AM618">
        <f>IF($C618="","",IF(OR($Q618=TRUE(),$Q618="TRUE"),1,0))</f>
        <v/>
      </c>
      <c r="AN618">
        <f>IF($C618="","",IF($Z618="Yes",1,0))</f>
        <v/>
      </c>
      <c r="AO618">
        <f>IF($AK618=1,IFERROR(IF(VALUE($C618)&lt;100000000,VALUE($C618),1000000000),IFERROR(IF(VALUE(MID($C618,2,20))&lt;100000000,VALUE(MID($C618,2,20)),1000000000),1000000000))+ROW()/100000,"")</f>
        <v/>
      </c>
    </row>
    <row r="619">
      <c r="F619" s="11" t="n"/>
      <c r="N619" s="7">
        <f>IF($C619="","",M619*U619/100)</f>
        <v/>
      </c>
      <c r="T619" s="7" t="n"/>
      <c r="U619" s="7" t="n"/>
      <c r="V619" s="7">
        <f>IF($C619="","",U619*AA619/100)</f>
        <v/>
      </c>
      <c r="W619" s="7">
        <f>IF($C619="","",U619-V619)</f>
        <v/>
      </c>
      <c r="X619" s="7">
        <f>IF($C619="","",W619-N619)</f>
        <v/>
      </c>
      <c r="AA619">
        <f>IF($C619="","",IF($AN619=1,0,IF($AM619=1,Settings!$C$6,Settings!$C$7))*100)</f>
        <v/>
      </c>
      <c r="AE619" s="7" t="n"/>
      <c r="AH619" s="11" t="n"/>
      <c r="AJ619">
        <f>IF($C619="","",$C619&amp;"|"&amp;$D619&amp;"")</f>
        <v/>
      </c>
      <c r="AK619">
        <f>IF($C619="","",IF(COUNTIF($AJ$2:$AJ619,$AJ619)=1,1,0))</f>
        <v/>
      </c>
      <c r="AL619">
        <f>IF($AK619=1,SUMPRODUCT(--($AO$2:$AO$1501&lt;$AO619))+1,"")</f>
        <v/>
      </c>
      <c r="AM619">
        <f>IF($C619="","",IF(OR($Q619=TRUE(),$Q619="TRUE"),1,0))</f>
        <v/>
      </c>
      <c r="AN619">
        <f>IF($C619="","",IF($Z619="Yes",1,0))</f>
        <v/>
      </c>
      <c r="AO619">
        <f>IF($AK619=1,IFERROR(IF(VALUE($C619)&lt;100000000,VALUE($C619),1000000000),IFERROR(IF(VALUE(MID($C619,2,20))&lt;100000000,VALUE(MID($C619,2,20)),1000000000),1000000000))+ROW()/100000,"")</f>
        <v/>
      </c>
    </row>
    <row r="620">
      <c r="F620" s="11" t="n"/>
      <c r="N620" s="7">
        <f>IF($C620="","",M620*U620/100)</f>
        <v/>
      </c>
      <c r="T620" s="7" t="n"/>
      <c r="U620" s="7" t="n"/>
      <c r="V620" s="7">
        <f>IF($C620="","",U620*AA620/100)</f>
        <v/>
      </c>
      <c r="W620" s="7">
        <f>IF($C620="","",U620-V620)</f>
        <v/>
      </c>
      <c r="X620" s="7">
        <f>IF($C620="","",W620-N620)</f>
        <v/>
      </c>
      <c r="AA620">
        <f>IF($C620="","",IF($AN620=1,0,IF($AM620=1,Settings!$C$6,Settings!$C$7))*100)</f>
        <v/>
      </c>
      <c r="AE620" s="7" t="n"/>
      <c r="AH620" s="11" t="n"/>
      <c r="AJ620">
        <f>IF($C620="","",$C620&amp;"|"&amp;$D620&amp;"")</f>
        <v/>
      </c>
      <c r="AK620">
        <f>IF($C620="","",IF(COUNTIF($AJ$2:$AJ620,$AJ620)=1,1,0))</f>
        <v/>
      </c>
      <c r="AL620">
        <f>IF($AK620=1,SUMPRODUCT(--($AO$2:$AO$1501&lt;$AO620))+1,"")</f>
        <v/>
      </c>
      <c r="AM620">
        <f>IF($C620="","",IF(OR($Q620=TRUE(),$Q620="TRUE"),1,0))</f>
        <v/>
      </c>
      <c r="AN620">
        <f>IF($C620="","",IF($Z620="Yes",1,0))</f>
        <v/>
      </c>
      <c r="AO620">
        <f>IF($AK620=1,IFERROR(IF(VALUE($C620)&lt;100000000,VALUE($C620),1000000000),IFERROR(IF(VALUE(MID($C620,2,20))&lt;100000000,VALUE(MID($C620,2,20)),1000000000),1000000000))+ROW()/100000,"")</f>
        <v/>
      </c>
    </row>
    <row r="621">
      <c r="F621" s="11" t="n"/>
      <c r="N621" s="7">
        <f>IF($C621="","",M621*U621/100)</f>
        <v/>
      </c>
      <c r="T621" s="7" t="n"/>
      <c r="U621" s="7" t="n"/>
      <c r="V621" s="7">
        <f>IF($C621="","",U621*AA621/100)</f>
        <v/>
      </c>
      <c r="W621" s="7">
        <f>IF($C621="","",U621-V621)</f>
        <v/>
      </c>
      <c r="X621" s="7">
        <f>IF($C621="","",W621-N621)</f>
        <v/>
      </c>
      <c r="AA621">
        <f>IF($C621="","",IF($AN621=1,0,IF($AM621=1,Settings!$C$6,Settings!$C$7))*100)</f>
        <v/>
      </c>
      <c r="AE621" s="7" t="n"/>
      <c r="AH621" s="11" t="n"/>
      <c r="AJ621">
        <f>IF($C621="","",$C621&amp;"|"&amp;$D621&amp;"")</f>
        <v/>
      </c>
      <c r="AK621">
        <f>IF($C621="","",IF(COUNTIF($AJ$2:$AJ621,$AJ621)=1,1,0))</f>
        <v/>
      </c>
      <c r="AL621">
        <f>IF($AK621=1,SUMPRODUCT(--($AO$2:$AO$1501&lt;$AO621))+1,"")</f>
        <v/>
      </c>
      <c r="AM621">
        <f>IF($C621="","",IF(OR($Q621=TRUE(),$Q621="TRUE"),1,0))</f>
        <v/>
      </c>
      <c r="AN621">
        <f>IF($C621="","",IF($Z621="Yes",1,0))</f>
        <v/>
      </c>
      <c r="AO621">
        <f>IF($AK621=1,IFERROR(IF(VALUE($C621)&lt;100000000,VALUE($C621),1000000000),IFERROR(IF(VALUE(MID($C621,2,20))&lt;100000000,VALUE(MID($C621,2,20)),1000000000),1000000000))+ROW()/100000,"")</f>
        <v/>
      </c>
    </row>
    <row r="622">
      <c r="F622" s="11" t="n"/>
      <c r="N622" s="7">
        <f>IF($C622="","",M622*U622/100)</f>
        <v/>
      </c>
      <c r="T622" s="7" t="n"/>
      <c r="U622" s="7" t="n"/>
      <c r="V622" s="7">
        <f>IF($C622="","",U622*AA622/100)</f>
        <v/>
      </c>
      <c r="W622" s="7">
        <f>IF($C622="","",U622-V622)</f>
        <v/>
      </c>
      <c r="X622" s="7">
        <f>IF($C622="","",W622-N622)</f>
        <v/>
      </c>
      <c r="AA622">
        <f>IF($C622="","",IF($AN622=1,0,IF($AM622=1,Settings!$C$6,Settings!$C$7))*100)</f>
        <v/>
      </c>
      <c r="AE622" s="7" t="n"/>
      <c r="AH622" s="11" t="n"/>
      <c r="AJ622">
        <f>IF($C622="","",$C622&amp;"|"&amp;$D622&amp;"")</f>
        <v/>
      </c>
      <c r="AK622">
        <f>IF($C622="","",IF(COUNTIF($AJ$2:$AJ622,$AJ622)=1,1,0))</f>
        <v/>
      </c>
      <c r="AL622">
        <f>IF($AK622=1,SUMPRODUCT(--($AO$2:$AO$1501&lt;$AO622))+1,"")</f>
        <v/>
      </c>
      <c r="AM622">
        <f>IF($C622="","",IF(OR($Q622=TRUE(),$Q622="TRUE"),1,0))</f>
        <v/>
      </c>
      <c r="AN622">
        <f>IF($C622="","",IF($Z622="Yes",1,0))</f>
        <v/>
      </c>
      <c r="AO622">
        <f>IF($AK622=1,IFERROR(IF(VALUE($C622)&lt;100000000,VALUE($C622),1000000000),IFERROR(IF(VALUE(MID($C622,2,20))&lt;100000000,VALUE(MID($C622,2,20)),1000000000),1000000000))+ROW()/100000,"")</f>
        <v/>
      </c>
    </row>
    <row r="623">
      <c r="F623" s="11" t="n"/>
      <c r="N623" s="7">
        <f>IF($C623="","",M623*U623/100)</f>
        <v/>
      </c>
      <c r="T623" s="7" t="n"/>
      <c r="U623" s="7" t="n"/>
      <c r="V623" s="7">
        <f>IF($C623="","",U623*AA623/100)</f>
        <v/>
      </c>
      <c r="W623" s="7">
        <f>IF($C623="","",U623-V623)</f>
        <v/>
      </c>
      <c r="X623" s="7">
        <f>IF($C623="","",W623-N623)</f>
        <v/>
      </c>
      <c r="AA623">
        <f>IF($C623="","",IF($AN623=1,0,IF($AM623=1,Settings!$C$6,Settings!$C$7))*100)</f>
        <v/>
      </c>
      <c r="AE623" s="7" t="n"/>
      <c r="AH623" s="11" t="n"/>
      <c r="AJ623">
        <f>IF($C623="","",$C623&amp;"|"&amp;$D623&amp;"")</f>
        <v/>
      </c>
      <c r="AK623">
        <f>IF($C623="","",IF(COUNTIF($AJ$2:$AJ623,$AJ623)=1,1,0))</f>
        <v/>
      </c>
      <c r="AL623">
        <f>IF($AK623=1,SUMPRODUCT(--($AO$2:$AO$1501&lt;$AO623))+1,"")</f>
        <v/>
      </c>
      <c r="AM623">
        <f>IF($C623="","",IF(OR($Q623=TRUE(),$Q623="TRUE"),1,0))</f>
        <v/>
      </c>
      <c r="AN623">
        <f>IF($C623="","",IF($Z623="Yes",1,0))</f>
        <v/>
      </c>
      <c r="AO623">
        <f>IF($AK623=1,IFERROR(IF(VALUE($C623)&lt;100000000,VALUE($C623),1000000000),IFERROR(IF(VALUE(MID($C623,2,20))&lt;100000000,VALUE(MID($C623,2,20)),1000000000),1000000000))+ROW()/100000,"")</f>
        <v/>
      </c>
    </row>
    <row r="624">
      <c r="F624" s="11" t="n"/>
      <c r="N624" s="7">
        <f>IF($C624="","",M624*U624/100)</f>
        <v/>
      </c>
      <c r="T624" s="7" t="n"/>
      <c r="U624" s="7" t="n"/>
      <c r="V624" s="7">
        <f>IF($C624="","",U624*AA624/100)</f>
        <v/>
      </c>
      <c r="W624" s="7">
        <f>IF($C624="","",U624-V624)</f>
        <v/>
      </c>
      <c r="X624" s="7">
        <f>IF($C624="","",W624-N624)</f>
        <v/>
      </c>
      <c r="AA624">
        <f>IF($C624="","",IF($AN624=1,0,IF($AM624=1,Settings!$C$6,Settings!$C$7))*100)</f>
        <v/>
      </c>
      <c r="AE624" s="7" t="n"/>
      <c r="AH624" s="11" t="n"/>
      <c r="AJ624">
        <f>IF($C624="","",$C624&amp;"|"&amp;$D624&amp;"")</f>
        <v/>
      </c>
      <c r="AK624">
        <f>IF($C624="","",IF(COUNTIF($AJ$2:$AJ624,$AJ624)=1,1,0))</f>
        <v/>
      </c>
      <c r="AL624">
        <f>IF($AK624=1,SUMPRODUCT(--($AO$2:$AO$1501&lt;$AO624))+1,"")</f>
        <v/>
      </c>
      <c r="AM624">
        <f>IF($C624="","",IF(OR($Q624=TRUE(),$Q624="TRUE"),1,0))</f>
        <v/>
      </c>
      <c r="AN624">
        <f>IF($C624="","",IF($Z624="Yes",1,0))</f>
        <v/>
      </c>
      <c r="AO624">
        <f>IF($AK624=1,IFERROR(IF(VALUE($C624)&lt;100000000,VALUE($C624),1000000000),IFERROR(IF(VALUE(MID($C624,2,20))&lt;100000000,VALUE(MID($C624,2,20)),1000000000),1000000000))+ROW()/100000,"")</f>
        <v/>
      </c>
    </row>
    <row r="625">
      <c r="F625" s="11" t="n"/>
      <c r="N625" s="7">
        <f>IF($C625="","",M625*U625/100)</f>
        <v/>
      </c>
      <c r="T625" s="7" t="n"/>
      <c r="U625" s="7" t="n"/>
      <c r="V625" s="7">
        <f>IF($C625="","",U625*AA625/100)</f>
        <v/>
      </c>
      <c r="W625" s="7">
        <f>IF($C625="","",U625-V625)</f>
        <v/>
      </c>
      <c r="X625" s="7">
        <f>IF($C625="","",W625-N625)</f>
        <v/>
      </c>
      <c r="AA625">
        <f>IF($C625="","",IF($AN625=1,0,IF($AM625=1,Settings!$C$6,Settings!$C$7))*100)</f>
        <v/>
      </c>
      <c r="AE625" s="7" t="n"/>
      <c r="AH625" s="11" t="n"/>
      <c r="AJ625">
        <f>IF($C625="","",$C625&amp;"|"&amp;$D625&amp;"")</f>
        <v/>
      </c>
      <c r="AK625">
        <f>IF($C625="","",IF(COUNTIF($AJ$2:$AJ625,$AJ625)=1,1,0))</f>
        <v/>
      </c>
      <c r="AL625">
        <f>IF($AK625=1,SUMPRODUCT(--($AO$2:$AO$1501&lt;$AO625))+1,"")</f>
        <v/>
      </c>
      <c r="AM625">
        <f>IF($C625="","",IF(OR($Q625=TRUE(),$Q625="TRUE"),1,0))</f>
        <v/>
      </c>
      <c r="AN625">
        <f>IF($C625="","",IF($Z625="Yes",1,0))</f>
        <v/>
      </c>
      <c r="AO625">
        <f>IF($AK625=1,IFERROR(IF(VALUE($C625)&lt;100000000,VALUE($C625),1000000000),IFERROR(IF(VALUE(MID($C625,2,20))&lt;100000000,VALUE(MID($C625,2,20)),1000000000),1000000000))+ROW()/100000,"")</f>
        <v/>
      </c>
    </row>
    <row r="626">
      <c r="F626" s="11" t="n"/>
      <c r="N626" s="7">
        <f>IF($C626="","",M626*U626/100)</f>
        <v/>
      </c>
      <c r="T626" s="7" t="n"/>
      <c r="U626" s="7" t="n"/>
      <c r="V626" s="7">
        <f>IF($C626="","",U626*AA626/100)</f>
        <v/>
      </c>
      <c r="W626" s="7">
        <f>IF($C626="","",U626-V626)</f>
        <v/>
      </c>
      <c r="X626" s="7">
        <f>IF($C626="","",W626-N626)</f>
        <v/>
      </c>
      <c r="AA626">
        <f>IF($C626="","",IF($AN626=1,0,IF($AM626=1,Settings!$C$6,Settings!$C$7))*100)</f>
        <v/>
      </c>
      <c r="AE626" s="7" t="n"/>
      <c r="AH626" s="11" t="n"/>
      <c r="AJ626">
        <f>IF($C626="","",$C626&amp;"|"&amp;$D626&amp;"")</f>
        <v/>
      </c>
      <c r="AK626">
        <f>IF($C626="","",IF(COUNTIF($AJ$2:$AJ626,$AJ626)=1,1,0))</f>
        <v/>
      </c>
      <c r="AL626">
        <f>IF($AK626=1,SUMPRODUCT(--($AO$2:$AO$1501&lt;$AO626))+1,"")</f>
        <v/>
      </c>
      <c r="AM626">
        <f>IF($C626="","",IF(OR($Q626=TRUE(),$Q626="TRUE"),1,0))</f>
        <v/>
      </c>
      <c r="AN626">
        <f>IF($C626="","",IF($Z626="Yes",1,0))</f>
        <v/>
      </c>
      <c r="AO626">
        <f>IF($AK626=1,IFERROR(IF(VALUE($C626)&lt;100000000,VALUE($C626),1000000000),IFERROR(IF(VALUE(MID($C626,2,20))&lt;100000000,VALUE(MID($C626,2,20)),1000000000),1000000000))+ROW()/100000,"")</f>
        <v/>
      </c>
    </row>
    <row r="627">
      <c r="F627" s="11" t="n"/>
      <c r="N627" s="7">
        <f>IF($C627="","",M627*U627/100)</f>
        <v/>
      </c>
      <c r="T627" s="7" t="n"/>
      <c r="U627" s="7" t="n"/>
      <c r="V627" s="7">
        <f>IF($C627="","",U627*AA627/100)</f>
        <v/>
      </c>
      <c r="W627" s="7">
        <f>IF($C627="","",U627-V627)</f>
        <v/>
      </c>
      <c r="X627" s="7">
        <f>IF($C627="","",W627-N627)</f>
        <v/>
      </c>
      <c r="AA627">
        <f>IF($C627="","",IF($AN627=1,0,IF($AM627=1,Settings!$C$6,Settings!$C$7))*100)</f>
        <v/>
      </c>
      <c r="AE627" s="7" t="n"/>
      <c r="AH627" s="11" t="n"/>
      <c r="AJ627">
        <f>IF($C627="","",$C627&amp;"|"&amp;$D627&amp;"")</f>
        <v/>
      </c>
      <c r="AK627">
        <f>IF($C627="","",IF(COUNTIF($AJ$2:$AJ627,$AJ627)=1,1,0))</f>
        <v/>
      </c>
      <c r="AL627">
        <f>IF($AK627=1,SUMPRODUCT(--($AO$2:$AO$1501&lt;$AO627))+1,"")</f>
        <v/>
      </c>
      <c r="AM627">
        <f>IF($C627="","",IF(OR($Q627=TRUE(),$Q627="TRUE"),1,0))</f>
        <v/>
      </c>
      <c r="AN627">
        <f>IF($C627="","",IF($Z627="Yes",1,0))</f>
        <v/>
      </c>
      <c r="AO627">
        <f>IF($AK627=1,IFERROR(IF(VALUE($C627)&lt;100000000,VALUE($C627),1000000000),IFERROR(IF(VALUE(MID($C627,2,20))&lt;100000000,VALUE(MID($C627,2,20)),1000000000),1000000000))+ROW()/100000,"")</f>
        <v/>
      </c>
    </row>
    <row r="628">
      <c r="F628" s="11" t="n"/>
      <c r="N628" s="7">
        <f>IF($C628="","",M628*U628/100)</f>
        <v/>
      </c>
      <c r="T628" s="7" t="n"/>
      <c r="U628" s="7" t="n"/>
      <c r="V628" s="7">
        <f>IF($C628="","",U628*AA628/100)</f>
        <v/>
      </c>
      <c r="W628" s="7">
        <f>IF($C628="","",U628-V628)</f>
        <v/>
      </c>
      <c r="X628" s="7">
        <f>IF($C628="","",W628-N628)</f>
        <v/>
      </c>
      <c r="AA628">
        <f>IF($C628="","",IF($AN628=1,0,IF($AM628=1,Settings!$C$6,Settings!$C$7))*100)</f>
        <v/>
      </c>
      <c r="AE628" s="7" t="n"/>
      <c r="AH628" s="11" t="n"/>
      <c r="AJ628">
        <f>IF($C628="","",$C628&amp;"|"&amp;$D628&amp;"")</f>
        <v/>
      </c>
      <c r="AK628">
        <f>IF($C628="","",IF(COUNTIF($AJ$2:$AJ628,$AJ628)=1,1,0))</f>
        <v/>
      </c>
      <c r="AL628">
        <f>IF($AK628=1,SUMPRODUCT(--($AO$2:$AO$1501&lt;$AO628))+1,"")</f>
        <v/>
      </c>
      <c r="AM628">
        <f>IF($C628="","",IF(OR($Q628=TRUE(),$Q628="TRUE"),1,0))</f>
        <v/>
      </c>
      <c r="AN628">
        <f>IF($C628="","",IF($Z628="Yes",1,0))</f>
        <v/>
      </c>
      <c r="AO628">
        <f>IF($AK628=1,IFERROR(IF(VALUE($C628)&lt;100000000,VALUE($C628),1000000000),IFERROR(IF(VALUE(MID($C628,2,20))&lt;100000000,VALUE(MID($C628,2,20)),1000000000),1000000000))+ROW()/100000,"")</f>
        <v/>
      </c>
    </row>
    <row r="629">
      <c r="F629" s="11" t="n"/>
      <c r="N629" s="7">
        <f>IF($C629="","",M629*U629/100)</f>
        <v/>
      </c>
      <c r="T629" s="7" t="n"/>
      <c r="U629" s="7" t="n"/>
      <c r="V629" s="7">
        <f>IF($C629="","",U629*AA629/100)</f>
        <v/>
      </c>
      <c r="W629" s="7">
        <f>IF($C629="","",U629-V629)</f>
        <v/>
      </c>
      <c r="X629" s="7">
        <f>IF($C629="","",W629-N629)</f>
        <v/>
      </c>
      <c r="AA629">
        <f>IF($C629="","",IF($AN629=1,0,IF($AM629=1,Settings!$C$6,Settings!$C$7))*100)</f>
        <v/>
      </c>
      <c r="AE629" s="7" t="n"/>
      <c r="AH629" s="11" t="n"/>
      <c r="AJ629">
        <f>IF($C629="","",$C629&amp;"|"&amp;$D629&amp;"")</f>
        <v/>
      </c>
      <c r="AK629">
        <f>IF($C629="","",IF(COUNTIF($AJ$2:$AJ629,$AJ629)=1,1,0))</f>
        <v/>
      </c>
      <c r="AL629">
        <f>IF($AK629=1,SUMPRODUCT(--($AO$2:$AO$1501&lt;$AO629))+1,"")</f>
        <v/>
      </c>
      <c r="AM629">
        <f>IF($C629="","",IF(OR($Q629=TRUE(),$Q629="TRUE"),1,0))</f>
        <v/>
      </c>
      <c r="AN629">
        <f>IF($C629="","",IF($Z629="Yes",1,0))</f>
        <v/>
      </c>
      <c r="AO629">
        <f>IF($AK629=1,IFERROR(IF(VALUE($C629)&lt;100000000,VALUE($C629),1000000000),IFERROR(IF(VALUE(MID($C629,2,20))&lt;100000000,VALUE(MID($C629,2,20)),1000000000),1000000000))+ROW()/100000,"")</f>
        <v/>
      </c>
    </row>
    <row r="630">
      <c r="F630" s="11" t="n"/>
      <c r="N630" s="7">
        <f>IF($C630="","",M630*U630/100)</f>
        <v/>
      </c>
      <c r="T630" s="7" t="n"/>
      <c r="U630" s="7" t="n"/>
      <c r="V630" s="7">
        <f>IF($C630="","",U630*AA630/100)</f>
        <v/>
      </c>
      <c r="W630" s="7">
        <f>IF($C630="","",U630-V630)</f>
        <v/>
      </c>
      <c r="X630" s="7">
        <f>IF($C630="","",W630-N630)</f>
        <v/>
      </c>
      <c r="AA630">
        <f>IF($C630="","",IF($AN630=1,0,IF($AM630=1,Settings!$C$6,Settings!$C$7))*100)</f>
        <v/>
      </c>
      <c r="AE630" s="7" t="n"/>
      <c r="AH630" s="11" t="n"/>
      <c r="AJ630">
        <f>IF($C630="","",$C630&amp;"|"&amp;$D630&amp;"")</f>
        <v/>
      </c>
      <c r="AK630">
        <f>IF($C630="","",IF(COUNTIF($AJ$2:$AJ630,$AJ630)=1,1,0))</f>
        <v/>
      </c>
      <c r="AL630">
        <f>IF($AK630=1,SUMPRODUCT(--($AO$2:$AO$1501&lt;$AO630))+1,"")</f>
        <v/>
      </c>
      <c r="AM630">
        <f>IF($C630="","",IF(OR($Q630=TRUE(),$Q630="TRUE"),1,0))</f>
        <v/>
      </c>
      <c r="AN630">
        <f>IF($C630="","",IF($Z630="Yes",1,0))</f>
        <v/>
      </c>
      <c r="AO630">
        <f>IF($AK630=1,IFERROR(IF(VALUE($C630)&lt;100000000,VALUE($C630),1000000000),IFERROR(IF(VALUE(MID($C630,2,20))&lt;100000000,VALUE(MID($C630,2,20)),1000000000),1000000000))+ROW()/100000,"")</f>
        <v/>
      </c>
    </row>
    <row r="631">
      <c r="F631" s="11" t="n"/>
      <c r="N631" s="7">
        <f>IF($C631="","",M631*U631/100)</f>
        <v/>
      </c>
      <c r="T631" s="7" t="n"/>
      <c r="U631" s="7" t="n"/>
      <c r="V631" s="7">
        <f>IF($C631="","",U631*AA631/100)</f>
        <v/>
      </c>
      <c r="W631" s="7">
        <f>IF($C631="","",U631-V631)</f>
        <v/>
      </c>
      <c r="X631" s="7">
        <f>IF($C631="","",W631-N631)</f>
        <v/>
      </c>
      <c r="AA631">
        <f>IF($C631="","",IF($AN631=1,0,IF($AM631=1,Settings!$C$6,Settings!$C$7))*100)</f>
        <v/>
      </c>
      <c r="AE631" s="7" t="n"/>
      <c r="AH631" s="11" t="n"/>
      <c r="AJ631">
        <f>IF($C631="","",$C631&amp;"|"&amp;$D631&amp;"")</f>
        <v/>
      </c>
      <c r="AK631">
        <f>IF($C631="","",IF(COUNTIF($AJ$2:$AJ631,$AJ631)=1,1,0))</f>
        <v/>
      </c>
      <c r="AL631">
        <f>IF($AK631=1,SUMPRODUCT(--($AO$2:$AO$1501&lt;$AO631))+1,"")</f>
        <v/>
      </c>
      <c r="AM631">
        <f>IF($C631="","",IF(OR($Q631=TRUE(),$Q631="TRUE"),1,0))</f>
        <v/>
      </c>
      <c r="AN631">
        <f>IF($C631="","",IF($Z631="Yes",1,0))</f>
        <v/>
      </c>
      <c r="AO631">
        <f>IF($AK631=1,IFERROR(IF(VALUE($C631)&lt;100000000,VALUE($C631),1000000000),IFERROR(IF(VALUE(MID($C631,2,20))&lt;100000000,VALUE(MID($C631,2,20)),1000000000),1000000000))+ROW()/100000,"")</f>
        <v/>
      </c>
    </row>
    <row r="632">
      <c r="F632" s="11" t="n"/>
      <c r="N632" s="7">
        <f>IF($C632="","",M632*U632/100)</f>
        <v/>
      </c>
      <c r="T632" s="7" t="n"/>
      <c r="U632" s="7" t="n"/>
      <c r="V632" s="7">
        <f>IF($C632="","",U632*AA632/100)</f>
        <v/>
      </c>
      <c r="W632" s="7">
        <f>IF($C632="","",U632-V632)</f>
        <v/>
      </c>
      <c r="X632" s="7">
        <f>IF($C632="","",W632-N632)</f>
        <v/>
      </c>
      <c r="AA632">
        <f>IF($C632="","",IF($AN632=1,0,IF($AM632=1,Settings!$C$6,Settings!$C$7))*100)</f>
        <v/>
      </c>
      <c r="AE632" s="7" t="n"/>
      <c r="AH632" s="11" t="n"/>
      <c r="AJ632">
        <f>IF($C632="","",$C632&amp;"|"&amp;$D632&amp;"")</f>
        <v/>
      </c>
      <c r="AK632">
        <f>IF($C632="","",IF(COUNTIF($AJ$2:$AJ632,$AJ632)=1,1,0))</f>
        <v/>
      </c>
      <c r="AL632">
        <f>IF($AK632=1,SUMPRODUCT(--($AO$2:$AO$1501&lt;$AO632))+1,"")</f>
        <v/>
      </c>
      <c r="AM632">
        <f>IF($C632="","",IF(OR($Q632=TRUE(),$Q632="TRUE"),1,0))</f>
        <v/>
      </c>
      <c r="AN632">
        <f>IF($C632="","",IF($Z632="Yes",1,0))</f>
        <v/>
      </c>
      <c r="AO632">
        <f>IF($AK632=1,IFERROR(IF(VALUE($C632)&lt;100000000,VALUE($C632),1000000000),IFERROR(IF(VALUE(MID($C632,2,20))&lt;100000000,VALUE(MID($C632,2,20)),1000000000),1000000000))+ROW()/100000,"")</f>
        <v/>
      </c>
    </row>
    <row r="633">
      <c r="F633" s="11" t="n"/>
      <c r="N633" s="7">
        <f>IF($C633="","",M633*U633/100)</f>
        <v/>
      </c>
      <c r="T633" s="7" t="n"/>
      <c r="U633" s="7" t="n"/>
      <c r="V633" s="7">
        <f>IF($C633="","",U633*AA633/100)</f>
        <v/>
      </c>
      <c r="W633" s="7">
        <f>IF($C633="","",U633-V633)</f>
        <v/>
      </c>
      <c r="X633" s="7">
        <f>IF($C633="","",W633-N633)</f>
        <v/>
      </c>
      <c r="AA633">
        <f>IF($C633="","",IF($AN633=1,0,IF($AM633=1,Settings!$C$6,Settings!$C$7))*100)</f>
        <v/>
      </c>
      <c r="AE633" s="7" t="n"/>
      <c r="AH633" s="11" t="n"/>
      <c r="AJ633">
        <f>IF($C633="","",$C633&amp;"|"&amp;$D633&amp;"")</f>
        <v/>
      </c>
      <c r="AK633">
        <f>IF($C633="","",IF(COUNTIF($AJ$2:$AJ633,$AJ633)=1,1,0))</f>
        <v/>
      </c>
      <c r="AL633">
        <f>IF($AK633=1,SUMPRODUCT(--($AO$2:$AO$1501&lt;$AO633))+1,"")</f>
        <v/>
      </c>
      <c r="AM633">
        <f>IF($C633="","",IF(OR($Q633=TRUE(),$Q633="TRUE"),1,0))</f>
        <v/>
      </c>
      <c r="AN633">
        <f>IF($C633="","",IF($Z633="Yes",1,0))</f>
        <v/>
      </c>
      <c r="AO633">
        <f>IF($AK633=1,IFERROR(IF(VALUE($C633)&lt;100000000,VALUE($C633),1000000000),IFERROR(IF(VALUE(MID($C633,2,20))&lt;100000000,VALUE(MID($C633,2,20)),1000000000),1000000000))+ROW()/100000,"")</f>
        <v/>
      </c>
    </row>
    <row r="634">
      <c r="F634" s="11" t="n"/>
      <c r="N634" s="7">
        <f>IF($C634="","",M634*U634/100)</f>
        <v/>
      </c>
      <c r="T634" s="7" t="n"/>
      <c r="U634" s="7" t="n"/>
      <c r="V634" s="7">
        <f>IF($C634="","",U634*AA634/100)</f>
        <v/>
      </c>
      <c r="W634" s="7">
        <f>IF($C634="","",U634-V634)</f>
        <v/>
      </c>
      <c r="X634" s="7">
        <f>IF($C634="","",W634-N634)</f>
        <v/>
      </c>
      <c r="AA634">
        <f>IF($C634="","",IF($AN634=1,0,IF($AM634=1,Settings!$C$6,Settings!$C$7))*100)</f>
        <v/>
      </c>
      <c r="AE634" s="7" t="n"/>
      <c r="AH634" s="11" t="n"/>
      <c r="AJ634">
        <f>IF($C634="","",$C634&amp;"|"&amp;$D634&amp;"")</f>
        <v/>
      </c>
      <c r="AK634">
        <f>IF($C634="","",IF(COUNTIF($AJ$2:$AJ634,$AJ634)=1,1,0))</f>
        <v/>
      </c>
      <c r="AL634">
        <f>IF($AK634=1,SUMPRODUCT(--($AO$2:$AO$1501&lt;$AO634))+1,"")</f>
        <v/>
      </c>
      <c r="AM634">
        <f>IF($C634="","",IF(OR($Q634=TRUE(),$Q634="TRUE"),1,0))</f>
        <v/>
      </c>
      <c r="AN634">
        <f>IF($C634="","",IF($Z634="Yes",1,0))</f>
        <v/>
      </c>
      <c r="AO634">
        <f>IF($AK634=1,IFERROR(IF(VALUE($C634)&lt;100000000,VALUE($C634),1000000000),IFERROR(IF(VALUE(MID($C634,2,20))&lt;100000000,VALUE(MID($C634,2,20)),1000000000),1000000000))+ROW()/100000,"")</f>
        <v/>
      </c>
    </row>
    <row r="635">
      <c r="F635" s="11" t="n"/>
      <c r="N635" s="7">
        <f>IF($C635="","",M635*U635/100)</f>
        <v/>
      </c>
      <c r="T635" s="7" t="n"/>
      <c r="U635" s="7" t="n"/>
      <c r="V635" s="7">
        <f>IF($C635="","",U635*AA635/100)</f>
        <v/>
      </c>
      <c r="W635" s="7">
        <f>IF($C635="","",U635-V635)</f>
        <v/>
      </c>
      <c r="X635" s="7">
        <f>IF($C635="","",W635-N635)</f>
        <v/>
      </c>
      <c r="AA635">
        <f>IF($C635="","",IF($AN635=1,0,IF($AM635=1,Settings!$C$6,Settings!$C$7))*100)</f>
        <v/>
      </c>
      <c r="AE635" s="7" t="n"/>
      <c r="AH635" s="11" t="n"/>
      <c r="AJ635">
        <f>IF($C635="","",$C635&amp;"|"&amp;$D635&amp;"")</f>
        <v/>
      </c>
      <c r="AK635">
        <f>IF($C635="","",IF(COUNTIF($AJ$2:$AJ635,$AJ635)=1,1,0))</f>
        <v/>
      </c>
      <c r="AL635">
        <f>IF($AK635=1,SUMPRODUCT(--($AO$2:$AO$1501&lt;$AO635))+1,"")</f>
        <v/>
      </c>
      <c r="AM635">
        <f>IF($C635="","",IF(OR($Q635=TRUE(),$Q635="TRUE"),1,0))</f>
        <v/>
      </c>
      <c r="AN635">
        <f>IF($C635="","",IF($Z635="Yes",1,0))</f>
        <v/>
      </c>
      <c r="AO635">
        <f>IF($AK635=1,IFERROR(IF(VALUE($C635)&lt;100000000,VALUE($C635),1000000000),IFERROR(IF(VALUE(MID($C635,2,20))&lt;100000000,VALUE(MID($C635,2,20)),1000000000),1000000000))+ROW()/100000,"")</f>
        <v/>
      </c>
    </row>
    <row r="636">
      <c r="F636" s="11" t="n"/>
      <c r="N636" s="7">
        <f>IF($C636="","",M636*U636/100)</f>
        <v/>
      </c>
      <c r="T636" s="7" t="n"/>
      <c r="U636" s="7" t="n"/>
      <c r="V636" s="7">
        <f>IF($C636="","",U636*AA636/100)</f>
        <v/>
      </c>
      <c r="W636" s="7">
        <f>IF($C636="","",U636-V636)</f>
        <v/>
      </c>
      <c r="X636" s="7">
        <f>IF($C636="","",W636-N636)</f>
        <v/>
      </c>
      <c r="AA636">
        <f>IF($C636="","",IF($AN636=1,0,IF($AM636=1,Settings!$C$6,Settings!$C$7))*100)</f>
        <v/>
      </c>
      <c r="AE636" s="7" t="n"/>
      <c r="AH636" s="11" t="n"/>
      <c r="AJ636">
        <f>IF($C636="","",$C636&amp;"|"&amp;$D636&amp;"")</f>
        <v/>
      </c>
      <c r="AK636">
        <f>IF($C636="","",IF(COUNTIF($AJ$2:$AJ636,$AJ636)=1,1,0))</f>
        <v/>
      </c>
      <c r="AL636">
        <f>IF($AK636=1,SUMPRODUCT(--($AO$2:$AO$1501&lt;$AO636))+1,"")</f>
        <v/>
      </c>
      <c r="AM636">
        <f>IF($C636="","",IF(OR($Q636=TRUE(),$Q636="TRUE"),1,0))</f>
        <v/>
      </c>
      <c r="AN636">
        <f>IF($C636="","",IF($Z636="Yes",1,0))</f>
        <v/>
      </c>
      <c r="AO636">
        <f>IF($AK636=1,IFERROR(IF(VALUE($C636)&lt;100000000,VALUE($C636),1000000000),IFERROR(IF(VALUE(MID($C636,2,20))&lt;100000000,VALUE(MID($C636,2,20)),1000000000),1000000000))+ROW()/100000,"")</f>
        <v/>
      </c>
    </row>
    <row r="637">
      <c r="F637" s="11" t="n"/>
      <c r="N637" s="7">
        <f>IF($C637="","",M637*U637/100)</f>
        <v/>
      </c>
      <c r="T637" s="7" t="n"/>
      <c r="U637" s="7" t="n"/>
      <c r="V637" s="7">
        <f>IF($C637="","",U637*AA637/100)</f>
        <v/>
      </c>
      <c r="W637" s="7">
        <f>IF($C637="","",U637-V637)</f>
        <v/>
      </c>
      <c r="X637" s="7">
        <f>IF($C637="","",W637-N637)</f>
        <v/>
      </c>
      <c r="AA637">
        <f>IF($C637="","",IF($AN637=1,0,IF($AM637=1,Settings!$C$6,Settings!$C$7))*100)</f>
        <v/>
      </c>
      <c r="AE637" s="7" t="n"/>
      <c r="AH637" s="11" t="n"/>
      <c r="AJ637">
        <f>IF($C637="","",$C637&amp;"|"&amp;$D637&amp;"")</f>
        <v/>
      </c>
      <c r="AK637">
        <f>IF($C637="","",IF(COUNTIF($AJ$2:$AJ637,$AJ637)=1,1,0))</f>
        <v/>
      </c>
      <c r="AL637">
        <f>IF($AK637=1,SUMPRODUCT(--($AO$2:$AO$1501&lt;$AO637))+1,"")</f>
        <v/>
      </c>
      <c r="AM637">
        <f>IF($C637="","",IF(OR($Q637=TRUE(),$Q637="TRUE"),1,0))</f>
        <v/>
      </c>
      <c r="AN637">
        <f>IF($C637="","",IF($Z637="Yes",1,0))</f>
        <v/>
      </c>
      <c r="AO637">
        <f>IF($AK637=1,IFERROR(IF(VALUE($C637)&lt;100000000,VALUE($C637),1000000000),IFERROR(IF(VALUE(MID($C637,2,20))&lt;100000000,VALUE(MID($C637,2,20)),1000000000),1000000000))+ROW()/100000,"")</f>
        <v/>
      </c>
    </row>
    <row r="638">
      <c r="F638" s="11" t="n"/>
      <c r="N638" s="7">
        <f>IF($C638="","",M638*U638/100)</f>
        <v/>
      </c>
      <c r="T638" s="7" t="n"/>
      <c r="U638" s="7" t="n"/>
      <c r="V638" s="7">
        <f>IF($C638="","",U638*AA638/100)</f>
        <v/>
      </c>
      <c r="W638" s="7">
        <f>IF($C638="","",U638-V638)</f>
        <v/>
      </c>
      <c r="X638" s="7">
        <f>IF($C638="","",W638-N638)</f>
        <v/>
      </c>
      <c r="AA638">
        <f>IF($C638="","",IF($AN638=1,0,IF($AM638=1,Settings!$C$6,Settings!$C$7))*100)</f>
        <v/>
      </c>
      <c r="AE638" s="7" t="n"/>
      <c r="AH638" s="11" t="n"/>
      <c r="AJ638">
        <f>IF($C638="","",$C638&amp;"|"&amp;$D638&amp;"")</f>
        <v/>
      </c>
      <c r="AK638">
        <f>IF($C638="","",IF(COUNTIF($AJ$2:$AJ638,$AJ638)=1,1,0))</f>
        <v/>
      </c>
      <c r="AL638">
        <f>IF($AK638=1,SUMPRODUCT(--($AO$2:$AO$1501&lt;$AO638))+1,"")</f>
        <v/>
      </c>
      <c r="AM638">
        <f>IF($C638="","",IF(OR($Q638=TRUE(),$Q638="TRUE"),1,0))</f>
        <v/>
      </c>
      <c r="AN638">
        <f>IF($C638="","",IF($Z638="Yes",1,0))</f>
        <v/>
      </c>
      <c r="AO638">
        <f>IF($AK638=1,IFERROR(IF(VALUE($C638)&lt;100000000,VALUE($C638),1000000000),IFERROR(IF(VALUE(MID($C638,2,20))&lt;100000000,VALUE(MID($C638,2,20)),1000000000),1000000000))+ROW()/100000,"")</f>
        <v/>
      </c>
    </row>
    <row r="639">
      <c r="F639" s="11" t="n"/>
      <c r="N639" s="7">
        <f>IF($C639="","",M639*U639/100)</f>
        <v/>
      </c>
      <c r="T639" s="7" t="n"/>
      <c r="U639" s="7" t="n"/>
      <c r="V639" s="7">
        <f>IF($C639="","",U639*AA639/100)</f>
        <v/>
      </c>
      <c r="W639" s="7">
        <f>IF($C639="","",U639-V639)</f>
        <v/>
      </c>
      <c r="X639" s="7">
        <f>IF($C639="","",W639-N639)</f>
        <v/>
      </c>
      <c r="AA639">
        <f>IF($C639="","",IF($AN639=1,0,IF($AM639=1,Settings!$C$6,Settings!$C$7))*100)</f>
        <v/>
      </c>
      <c r="AE639" s="7" t="n"/>
      <c r="AH639" s="11" t="n"/>
      <c r="AJ639">
        <f>IF($C639="","",$C639&amp;"|"&amp;$D639&amp;"")</f>
        <v/>
      </c>
      <c r="AK639">
        <f>IF($C639="","",IF(COUNTIF($AJ$2:$AJ639,$AJ639)=1,1,0))</f>
        <v/>
      </c>
      <c r="AL639">
        <f>IF($AK639=1,SUMPRODUCT(--($AO$2:$AO$1501&lt;$AO639))+1,"")</f>
        <v/>
      </c>
      <c r="AM639">
        <f>IF($C639="","",IF(OR($Q639=TRUE(),$Q639="TRUE"),1,0))</f>
        <v/>
      </c>
      <c r="AN639">
        <f>IF($C639="","",IF($Z639="Yes",1,0))</f>
        <v/>
      </c>
      <c r="AO639">
        <f>IF($AK639=1,IFERROR(IF(VALUE($C639)&lt;100000000,VALUE($C639),1000000000),IFERROR(IF(VALUE(MID($C639,2,20))&lt;100000000,VALUE(MID($C639,2,20)),1000000000),1000000000))+ROW()/100000,"")</f>
        <v/>
      </c>
    </row>
    <row r="640">
      <c r="F640" s="11" t="n"/>
      <c r="N640" s="7">
        <f>IF($C640="","",M640*U640/100)</f>
        <v/>
      </c>
      <c r="T640" s="7" t="n"/>
      <c r="U640" s="7" t="n"/>
      <c r="V640" s="7">
        <f>IF($C640="","",U640*AA640/100)</f>
        <v/>
      </c>
      <c r="W640" s="7">
        <f>IF($C640="","",U640-V640)</f>
        <v/>
      </c>
      <c r="X640" s="7">
        <f>IF($C640="","",W640-N640)</f>
        <v/>
      </c>
      <c r="AA640">
        <f>IF($C640="","",IF($AN640=1,0,IF($AM640=1,Settings!$C$6,Settings!$C$7))*100)</f>
        <v/>
      </c>
      <c r="AE640" s="7" t="n"/>
      <c r="AH640" s="11" t="n"/>
      <c r="AJ640">
        <f>IF($C640="","",$C640&amp;"|"&amp;$D640&amp;"")</f>
        <v/>
      </c>
      <c r="AK640">
        <f>IF($C640="","",IF(COUNTIF($AJ$2:$AJ640,$AJ640)=1,1,0))</f>
        <v/>
      </c>
      <c r="AL640">
        <f>IF($AK640=1,SUMPRODUCT(--($AO$2:$AO$1501&lt;$AO640))+1,"")</f>
        <v/>
      </c>
      <c r="AM640">
        <f>IF($C640="","",IF(OR($Q640=TRUE(),$Q640="TRUE"),1,0))</f>
        <v/>
      </c>
      <c r="AN640">
        <f>IF($C640="","",IF($Z640="Yes",1,0))</f>
        <v/>
      </c>
      <c r="AO640">
        <f>IF($AK640=1,IFERROR(IF(VALUE($C640)&lt;100000000,VALUE($C640),1000000000),IFERROR(IF(VALUE(MID($C640,2,20))&lt;100000000,VALUE(MID($C640,2,20)),1000000000),1000000000))+ROW()/100000,"")</f>
        <v/>
      </c>
    </row>
    <row r="641">
      <c r="F641" s="11" t="n"/>
      <c r="N641" s="7">
        <f>IF($C641="","",M641*U641/100)</f>
        <v/>
      </c>
      <c r="T641" s="7" t="n"/>
      <c r="U641" s="7" t="n"/>
      <c r="V641" s="7">
        <f>IF($C641="","",U641*AA641/100)</f>
        <v/>
      </c>
      <c r="W641" s="7">
        <f>IF($C641="","",U641-V641)</f>
        <v/>
      </c>
      <c r="X641" s="7">
        <f>IF($C641="","",W641-N641)</f>
        <v/>
      </c>
      <c r="AA641">
        <f>IF($C641="","",IF($AN641=1,0,IF($AM641=1,Settings!$C$6,Settings!$C$7))*100)</f>
        <v/>
      </c>
      <c r="AE641" s="7" t="n"/>
      <c r="AH641" s="11" t="n"/>
      <c r="AJ641">
        <f>IF($C641="","",$C641&amp;"|"&amp;$D641&amp;"")</f>
        <v/>
      </c>
      <c r="AK641">
        <f>IF($C641="","",IF(COUNTIF($AJ$2:$AJ641,$AJ641)=1,1,0))</f>
        <v/>
      </c>
      <c r="AL641">
        <f>IF($AK641=1,SUMPRODUCT(--($AO$2:$AO$1501&lt;$AO641))+1,"")</f>
        <v/>
      </c>
      <c r="AM641">
        <f>IF($C641="","",IF(OR($Q641=TRUE(),$Q641="TRUE"),1,0))</f>
        <v/>
      </c>
      <c r="AN641">
        <f>IF($C641="","",IF($Z641="Yes",1,0))</f>
        <v/>
      </c>
      <c r="AO641">
        <f>IF($AK641=1,IFERROR(IF(VALUE($C641)&lt;100000000,VALUE($C641),1000000000),IFERROR(IF(VALUE(MID($C641,2,20))&lt;100000000,VALUE(MID($C641,2,20)),1000000000),1000000000))+ROW()/100000,"")</f>
        <v/>
      </c>
    </row>
    <row r="642">
      <c r="F642" s="11" t="n"/>
      <c r="N642" s="7">
        <f>IF($C642="","",M642*U642/100)</f>
        <v/>
      </c>
      <c r="T642" s="7" t="n"/>
      <c r="U642" s="7" t="n"/>
      <c r="V642" s="7">
        <f>IF($C642="","",U642*AA642/100)</f>
        <v/>
      </c>
      <c r="W642" s="7">
        <f>IF($C642="","",U642-V642)</f>
        <v/>
      </c>
      <c r="X642" s="7">
        <f>IF($C642="","",W642-N642)</f>
        <v/>
      </c>
      <c r="AA642">
        <f>IF($C642="","",IF($AN642=1,0,IF($AM642=1,Settings!$C$6,Settings!$C$7))*100)</f>
        <v/>
      </c>
      <c r="AE642" s="7" t="n"/>
      <c r="AH642" s="11" t="n"/>
      <c r="AJ642">
        <f>IF($C642="","",$C642&amp;"|"&amp;$D642&amp;"")</f>
        <v/>
      </c>
      <c r="AK642">
        <f>IF($C642="","",IF(COUNTIF($AJ$2:$AJ642,$AJ642)=1,1,0))</f>
        <v/>
      </c>
      <c r="AL642">
        <f>IF($AK642=1,SUMPRODUCT(--($AO$2:$AO$1501&lt;$AO642))+1,"")</f>
        <v/>
      </c>
      <c r="AM642">
        <f>IF($C642="","",IF(OR($Q642=TRUE(),$Q642="TRUE"),1,0))</f>
        <v/>
      </c>
      <c r="AN642">
        <f>IF($C642="","",IF($Z642="Yes",1,0))</f>
        <v/>
      </c>
      <c r="AO642">
        <f>IF($AK642=1,IFERROR(IF(VALUE($C642)&lt;100000000,VALUE($C642),1000000000),IFERROR(IF(VALUE(MID($C642,2,20))&lt;100000000,VALUE(MID($C642,2,20)),1000000000),1000000000))+ROW()/100000,"")</f>
        <v/>
      </c>
    </row>
    <row r="643">
      <c r="F643" s="11" t="n"/>
      <c r="N643" s="7">
        <f>IF($C643="","",M643*U643/100)</f>
        <v/>
      </c>
      <c r="T643" s="7" t="n"/>
      <c r="U643" s="7" t="n"/>
      <c r="V643" s="7">
        <f>IF($C643="","",U643*AA643/100)</f>
        <v/>
      </c>
      <c r="W643" s="7">
        <f>IF($C643="","",U643-V643)</f>
        <v/>
      </c>
      <c r="X643" s="7">
        <f>IF($C643="","",W643-N643)</f>
        <v/>
      </c>
      <c r="AA643">
        <f>IF($C643="","",IF($AN643=1,0,IF($AM643=1,Settings!$C$6,Settings!$C$7))*100)</f>
        <v/>
      </c>
      <c r="AE643" s="7" t="n"/>
      <c r="AH643" s="11" t="n"/>
      <c r="AJ643">
        <f>IF($C643="","",$C643&amp;"|"&amp;$D643&amp;"")</f>
        <v/>
      </c>
      <c r="AK643">
        <f>IF($C643="","",IF(COUNTIF($AJ$2:$AJ643,$AJ643)=1,1,0))</f>
        <v/>
      </c>
      <c r="AL643">
        <f>IF($AK643=1,SUMPRODUCT(--($AO$2:$AO$1501&lt;$AO643))+1,"")</f>
        <v/>
      </c>
      <c r="AM643">
        <f>IF($C643="","",IF(OR($Q643=TRUE(),$Q643="TRUE"),1,0))</f>
        <v/>
      </c>
      <c r="AN643">
        <f>IF($C643="","",IF($Z643="Yes",1,0))</f>
        <v/>
      </c>
      <c r="AO643">
        <f>IF($AK643=1,IFERROR(IF(VALUE($C643)&lt;100000000,VALUE($C643),1000000000),IFERROR(IF(VALUE(MID($C643,2,20))&lt;100000000,VALUE(MID($C643,2,20)),1000000000),1000000000))+ROW()/100000,"")</f>
        <v/>
      </c>
    </row>
    <row r="644">
      <c r="F644" s="11" t="n"/>
      <c r="N644" s="7">
        <f>IF($C644="","",M644*U644/100)</f>
        <v/>
      </c>
      <c r="T644" s="7" t="n"/>
      <c r="U644" s="7" t="n"/>
      <c r="V644" s="7">
        <f>IF($C644="","",U644*AA644/100)</f>
        <v/>
      </c>
      <c r="W644" s="7">
        <f>IF($C644="","",U644-V644)</f>
        <v/>
      </c>
      <c r="X644" s="7">
        <f>IF($C644="","",W644-N644)</f>
        <v/>
      </c>
      <c r="AA644">
        <f>IF($C644="","",IF($AN644=1,0,IF($AM644=1,Settings!$C$6,Settings!$C$7))*100)</f>
        <v/>
      </c>
      <c r="AE644" s="7" t="n"/>
      <c r="AH644" s="11" t="n"/>
      <c r="AJ644">
        <f>IF($C644="","",$C644&amp;"|"&amp;$D644&amp;"")</f>
        <v/>
      </c>
      <c r="AK644">
        <f>IF($C644="","",IF(COUNTIF($AJ$2:$AJ644,$AJ644)=1,1,0))</f>
        <v/>
      </c>
      <c r="AL644">
        <f>IF($AK644=1,SUMPRODUCT(--($AO$2:$AO$1501&lt;$AO644))+1,"")</f>
        <v/>
      </c>
      <c r="AM644">
        <f>IF($C644="","",IF(OR($Q644=TRUE(),$Q644="TRUE"),1,0))</f>
        <v/>
      </c>
      <c r="AN644">
        <f>IF($C644="","",IF($Z644="Yes",1,0))</f>
        <v/>
      </c>
      <c r="AO644">
        <f>IF($AK644=1,IFERROR(IF(VALUE($C644)&lt;100000000,VALUE($C644),1000000000),IFERROR(IF(VALUE(MID($C644,2,20))&lt;100000000,VALUE(MID($C644,2,20)),1000000000),1000000000))+ROW()/100000,"")</f>
        <v/>
      </c>
    </row>
    <row r="645">
      <c r="F645" s="11" t="n"/>
      <c r="N645" s="7">
        <f>IF($C645="","",M645*U645/100)</f>
        <v/>
      </c>
      <c r="T645" s="7" t="n"/>
      <c r="U645" s="7" t="n"/>
      <c r="V645" s="7">
        <f>IF($C645="","",U645*AA645/100)</f>
        <v/>
      </c>
      <c r="W645" s="7">
        <f>IF($C645="","",U645-V645)</f>
        <v/>
      </c>
      <c r="X645" s="7">
        <f>IF($C645="","",W645-N645)</f>
        <v/>
      </c>
      <c r="AA645">
        <f>IF($C645="","",IF($AN645=1,0,IF($AM645=1,Settings!$C$6,Settings!$C$7))*100)</f>
        <v/>
      </c>
      <c r="AE645" s="7" t="n"/>
      <c r="AH645" s="11" t="n"/>
      <c r="AJ645">
        <f>IF($C645="","",$C645&amp;"|"&amp;$D645&amp;"")</f>
        <v/>
      </c>
      <c r="AK645">
        <f>IF($C645="","",IF(COUNTIF($AJ$2:$AJ645,$AJ645)=1,1,0))</f>
        <v/>
      </c>
      <c r="AL645">
        <f>IF($AK645=1,SUMPRODUCT(--($AO$2:$AO$1501&lt;$AO645))+1,"")</f>
        <v/>
      </c>
      <c r="AM645">
        <f>IF($C645="","",IF(OR($Q645=TRUE(),$Q645="TRUE"),1,0))</f>
        <v/>
      </c>
      <c r="AN645">
        <f>IF($C645="","",IF($Z645="Yes",1,0))</f>
        <v/>
      </c>
      <c r="AO645">
        <f>IF($AK645=1,IFERROR(IF(VALUE($C645)&lt;100000000,VALUE($C645),1000000000),IFERROR(IF(VALUE(MID($C645,2,20))&lt;100000000,VALUE(MID($C645,2,20)),1000000000),1000000000))+ROW()/100000,"")</f>
        <v/>
      </c>
    </row>
    <row r="646">
      <c r="F646" s="11" t="n"/>
      <c r="N646" s="7">
        <f>IF($C646="","",M646*U646/100)</f>
        <v/>
      </c>
      <c r="T646" s="7" t="n"/>
      <c r="U646" s="7" t="n"/>
      <c r="V646" s="7">
        <f>IF($C646="","",U646*AA646/100)</f>
        <v/>
      </c>
      <c r="W646" s="7">
        <f>IF($C646="","",U646-V646)</f>
        <v/>
      </c>
      <c r="X646" s="7">
        <f>IF($C646="","",W646-N646)</f>
        <v/>
      </c>
      <c r="AA646">
        <f>IF($C646="","",IF($AN646=1,0,IF($AM646=1,Settings!$C$6,Settings!$C$7))*100)</f>
        <v/>
      </c>
      <c r="AE646" s="7" t="n"/>
      <c r="AH646" s="11" t="n"/>
      <c r="AJ646">
        <f>IF($C646="","",$C646&amp;"|"&amp;$D646&amp;"")</f>
        <v/>
      </c>
      <c r="AK646">
        <f>IF($C646="","",IF(COUNTIF($AJ$2:$AJ646,$AJ646)=1,1,0))</f>
        <v/>
      </c>
      <c r="AL646">
        <f>IF($AK646=1,SUMPRODUCT(--($AO$2:$AO$1501&lt;$AO646))+1,"")</f>
        <v/>
      </c>
      <c r="AM646">
        <f>IF($C646="","",IF(OR($Q646=TRUE(),$Q646="TRUE"),1,0))</f>
        <v/>
      </c>
      <c r="AN646">
        <f>IF($C646="","",IF($Z646="Yes",1,0))</f>
        <v/>
      </c>
      <c r="AO646">
        <f>IF($AK646=1,IFERROR(IF(VALUE($C646)&lt;100000000,VALUE($C646),1000000000),IFERROR(IF(VALUE(MID($C646,2,20))&lt;100000000,VALUE(MID($C646,2,20)),1000000000),1000000000))+ROW()/100000,"")</f>
        <v/>
      </c>
    </row>
    <row r="647">
      <c r="F647" s="11" t="n"/>
      <c r="N647" s="7">
        <f>IF($C647="","",M647*U647/100)</f>
        <v/>
      </c>
      <c r="T647" s="7" t="n"/>
      <c r="U647" s="7" t="n"/>
      <c r="V647" s="7">
        <f>IF($C647="","",U647*AA647/100)</f>
        <v/>
      </c>
      <c r="W647" s="7">
        <f>IF($C647="","",U647-V647)</f>
        <v/>
      </c>
      <c r="X647" s="7">
        <f>IF($C647="","",W647-N647)</f>
        <v/>
      </c>
      <c r="AA647">
        <f>IF($C647="","",IF($AN647=1,0,IF($AM647=1,Settings!$C$6,Settings!$C$7))*100)</f>
        <v/>
      </c>
      <c r="AE647" s="7" t="n"/>
      <c r="AH647" s="11" t="n"/>
      <c r="AJ647">
        <f>IF($C647="","",$C647&amp;"|"&amp;$D647&amp;"")</f>
        <v/>
      </c>
      <c r="AK647">
        <f>IF($C647="","",IF(COUNTIF($AJ$2:$AJ647,$AJ647)=1,1,0))</f>
        <v/>
      </c>
      <c r="AL647">
        <f>IF($AK647=1,SUMPRODUCT(--($AO$2:$AO$1501&lt;$AO647))+1,"")</f>
        <v/>
      </c>
      <c r="AM647">
        <f>IF($C647="","",IF(OR($Q647=TRUE(),$Q647="TRUE"),1,0))</f>
        <v/>
      </c>
      <c r="AN647">
        <f>IF($C647="","",IF($Z647="Yes",1,0))</f>
        <v/>
      </c>
      <c r="AO647">
        <f>IF($AK647=1,IFERROR(IF(VALUE($C647)&lt;100000000,VALUE($C647),1000000000),IFERROR(IF(VALUE(MID($C647,2,20))&lt;100000000,VALUE(MID($C647,2,20)),1000000000),1000000000))+ROW()/100000,"")</f>
        <v/>
      </c>
    </row>
    <row r="648">
      <c r="F648" s="11" t="n"/>
      <c r="N648" s="7">
        <f>IF($C648="","",M648*U648/100)</f>
        <v/>
      </c>
      <c r="T648" s="7" t="n"/>
      <c r="U648" s="7" t="n"/>
      <c r="V648" s="7">
        <f>IF($C648="","",U648*AA648/100)</f>
        <v/>
      </c>
      <c r="W648" s="7">
        <f>IF($C648="","",U648-V648)</f>
        <v/>
      </c>
      <c r="X648" s="7">
        <f>IF($C648="","",W648-N648)</f>
        <v/>
      </c>
      <c r="AA648">
        <f>IF($C648="","",IF($AN648=1,0,IF($AM648=1,Settings!$C$6,Settings!$C$7))*100)</f>
        <v/>
      </c>
      <c r="AE648" s="7" t="n"/>
      <c r="AH648" s="11" t="n"/>
      <c r="AJ648">
        <f>IF($C648="","",$C648&amp;"|"&amp;$D648&amp;"")</f>
        <v/>
      </c>
      <c r="AK648">
        <f>IF($C648="","",IF(COUNTIF($AJ$2:$AJ648,$AJ648)=1,1,0))</f>
        <v/>
      </c>
      <c r="AL648">
        <f>IF($AK648=1,SUMPRODUCT(--($AO$2:$AO$1501&lt;$AO648))+1,"")</f>
        <v/>
      </c>
      <c r="AM648">
        <f>IF($C648="","",IF(OR($Q648=TRUE(),$Q648="TRUE"),1,0))</f>
        <v/>
      </c>
      <c r="AN648">
        <f>IF($C648="","",IF($Z648="Yes",1,0))</f>
        <v/>
      </c>
      <c r="AO648">
        <f>IF($AK648=1,IFERROR(IF(VALUE($C648)&lt;100000000,VALUE($C648),1000000000),IFERROR(IF(VALUE(MID($C648,2,20))&lt;100000000,VALUE(MID($C648,2,20)),1000000000),1000000000))+ROW()/100000,"")</f>
        <v/>
      </c>
    </row>
    <row r="649">
      <c r="F649" s="11" t="n"/>
      <c r="N649" s="7">
        <f>IF($C649="","",M649*U649/100)</f>
        <v/>
      </c>
      <c r="T649" s="7" t="n"/>
      <c r="U649" s="7" t="n"/>
      <c r="V649" s="7">
        <f>IF($C649="","",U649*AA649/100)</f>
        <v/>
      </c>
      <c r="W649" s="7">
        <f>IF($C649="","",U649-V649)</f>
        <v/>
      </c>
      <c r="X649" s="7">
        <f>IF($C649="","",W649-N649)</f>
        <v/>
      </c>
      <c r="AA649">
        <f>IF($C649="","",IF($AN649=1,0,IF($AM649=1,Settings!$C$6,Settings!$C$7))*100)</f>
        <v/>
      </c>
      <c r="AE649" s="7" t="n"/>
      <c r="AH649" s="11" t="n"/>
      <c r="AJ649">
        <f>IF($C649="","",$C649&amp;"|"&amp;$D649&amp;"")</f>
        <v/>
      </c>
      <c r="AK649">
        <f>IF($C649="","",IF(COUNTIF($AJ$2:$AJ649,$AJ649)=1,1,0))</f>
        <v/>
      </c>
      <c r="AL649">
        <f>IF($AK649=1,SUMPRODUCT(--($AO$2:$AO$1501&lt;$AO649))+1,"")</f>
        <v/>
      </c>
      <c r="AM649">
        <f>IF($C649="","",IF(OR($Q649=TRUE(),$Q649="TRUE"),1,0))</f>
        <v/>
      </c>
      <c r="AN649">
        <f>IF($C649="","",IF($Z649="Yes",1,0))</f>
        <v/>
      </c>
      <c r="AO649">
        <f>IF($AK649=1,IFERROR(IF(VALUE($C649)&lt;100000000,VALUE($C649),1000000000),IFERROR(IF(VALUE(MID($C649,2,20))&lt;100000000,VALUE(MID($C649,2,20)),1000000000),1000000000))+ROW()/100000,"")</f>
        <v/>
      </c>
    </row>
    <row r="650">
      <c r="F650" s="11" t="n"/>
      <c r="N650" s="7">
        <f>IF($C650="","",M650*U650/100)</f>
        <v/>
      </c>
      <c r="T650" s="7" t="n"/>
      <c r="U650" s="7" t="n"/>
      <c r="V650" s="7">
        <f>IF($C650="","",U650*AA650/100)</f>
        <v/>
      </c>
      <c r="W650" s="7">
        <f>IF($C650="","",U650-V650)</f>
        <v/>
      </c>
      <c r="X650" s="7">
        <f>IF($C650="","",W650-N650)</f>
        <v/>
      </c>
      <c r="AA650">
        <f>IF($C650="","",IF($AN650=1,0,IF($AM650=1,Settings!$C$6,Settings!$C$7))*100)</f>
        <v/>
      </c>
      <c r="AE650" s="7" t="n"/>
      <c r="AH650" s="11" t="n"/>
      <c r="AJ650">
        <f>IF($C650="","",$C650&amp;"|"&amp;$D650&amp;"")</f>
        <v/>
      </c>
      <c r="AK650">
        <f>IF($C650="","",IF(COUNTIF($AJ$2:$AJ650,$AJ650)=1,1,0))</f>
        <v/>
      </c>
      <c r="AL650">
        <f>IF($AK650=1,SUMPRODUCT(--($AO$2:$AO$1501&lt;$AO650))+1,"")</f>
        <v/>
      </c>
      <c r="AM650">
        <f>IF($C650="","",IF(OR($Q650=TRUE(),$Q650="TRUE"),1,0))</f>
        <v/>
      </c>
      <c r="AN650">
        <f>IF($C650="","",IF($Z650="Yes",1,0))</f>
        <v/>
      </c>
      <c r="AO650">
        <f>IF($AK650=1,IFERROR(IF(VALUE($C650)&lt;100000000,VALUE($C650),1000000000),IFERROR(IF(VALUE(MID($C650,2,20))&lt;100000000,VALUE(MID($C650,2,20)),1000000000),1000000000))+ROW()/100000,"")</f>
        <v/>
      </c>
    </row>
    <row r="651">
      <c r="F651" s="11" t="n"/>
      <c r="N651" s="7">
        <f>IF($C651="","",M651*U651/100)</f>
        <v/>
      </c>
      <c r="T651" s="7" t="n"/>
      <c r="U651" s="7" t="n"/>
      <c r="V651" s="7">
        <f>IF($C651="","",U651*AA651/100)</f>
        <v/>
      </c>
      <c r="W651" s="7">
        <f>IF($C651="","",U651-V651)</f>
        <v/>
      </c>
      <c r="X651" s="7">
        <f>IF($C651="","",W651-N651)</f>
        <v/>
      </c>
      <c r="AA651">
        <f>IF($C651="","",IF($AN651=1,0,IF($AM651=1,Settings!$C$6,Settings!$C$7))*100)</f>
        <v/>
      </c>
      <c r="AE651" s="7" t="n"/>
      <c r="AH651" s="11" t="n"/>
      <c r="AJ651">
        <f>IF($C651="","",$C651&amp;"|"&amp;$D651&amp;"")</f>
        <v/>
      </c>
      <c r="AK651">
        <f>IF($C651="","",IF(COUNTIF($AJ$2:$AJ651,$AJ651)=1,1,0))</f>
        <v/>
      </c>
      <c r="AL651">
        <f>IF($AK651=1,SUMPRODUCT(--($AO$2:$AO$1501&lt;$AO651))+1,"")</f>
        <v/>
      </c>
      <c r="AM651">
        <f>IF($C651="","",IF(OR($Q651=TRUE(),$Q651="TRUE"),1,0))</f>
        <v/>
      </c>
      <c r="AN651">
        <f>IF($C651="","",IF($Z651="Yes",1,0))</f>
        <v/>
      </c>
      <c r="AO651">
        <f>IF($AK651=1,IFERROR(IF(VALUE($C651)&lt;100000000,VALUE($C651),1000000000),IFERROR(IF(VALUE(MID($C651,2,20))&lt;100000000,VALUE(MID($C651,2,20)),1000000000),1000000000))+ROW()/100000,"")</f>
        <v/>
      </c>
    </row>
    <row r="652">
      <c r="F652" s="11" t="n"/>
      <c r="N652" s="7">
        <f>IF($C652="","",M652*U652/100)</f>
        <v/>
      </c>
      <c r="T652" s="7" t="n"/>
      <c r="U652" s="7" t="n"/>
      <c r="V652" s="7">
        <f>IF($C652="","",U652*AA652/100)</f>
        <v/>
      </c>
      <c r="W652" s="7">
        <f>IF($C652="","",U652-V652)</f>
        <v/>
      </c>
      <c r="X652" s="7">
        <f>IF($C652="","",W652-N652)</f>
        <v/>
      </c>
      <c r="AA652">
        <f>IF($C652="","",IF($AN652=1,0,IF($AM652=1,Settings!$C$6,Settings!$C$7))*100)</f>
        <v/>
      </c>
      <c r="AE652" s="7" t="n"/>
      <c r="AH652" s="11" t="n"/>
      <c r="AJ652">
        <f>IF($C652="","",$C652&amp;"|"&amp;$D652&amp;"")</f>
        <v/>
      </c>
      <c r="AK652">
        <f>IF($C652="","",IF(COUNTIF($AJ$2:$AJ652,$AJ652)=1,1,0))</f>
        <v/>
      </c>
      <c r="AL652">
        <f>IF($AK652=1,SUMPRODUCT(--($AO$2:$AO$1501&lt;$AO652))+1,"")</f>
        <v/>
      </c>
      <c r="AM652">
        <f>IF($C652="","",IF(OR($Q652=TRUE(),$Q652="TRUE"),1,0))</f>
        <v/>
      </c>
      <c r="AN652">
        <f>IF($C652="","",IF($Z652="Yes",1,0))</f>
        <v/>
      </c>
      <c r="AO652">
        <f>IF($AK652=1,IFERROR(IF(VALUE($C652)&lt;100000000,VALUE($C652),1000000000),IFERROR(IF(VALUE(MID($C652,2,20))&lt;100000000,VALUE(MID($C652,2,20)),1000000000),1000000000))+ROW()/100000,"")</f>
        <v/>
      </c>
    </row>
    <row r="653">
      <c r="F653" s="11" t="n"/>
      <c r="N653" s="7">
        <f>IF($C653="","",M653*U653/100)</f>
        <v/>
      </c>
      <c r="T653" s="7" t="n"/>
      <c r="U653" s="7" t="n"/>
      <c r="V653" s="7">
        <f>IF($C653="","",U653*AA653/100)</f>
        <v/>
      </c>
      <c r="W653" s="7">
        <f>IF($C653="","",U653-V653)</f>
        <v/>
      </c>
      <c r="X653" s="7">
        <f>IF($C653="","",W653-N653)</f>
        <v/>
      </c>
      <c r="AA653">
        <f>IF($C653="","",IF($AN653=1,0,IF($AM653=1,Settings!$C$6,Settings!$C$7))*100)</f>
        <v/>
      </c>
      <c r="AE653" s="7" t="n"/>
      <c r="AH653" s="11" t="n"/>
      <c r="AJ653">
        <f>IF($C653="","",$C653&amp;"|"&amp;$D653&amp;"")</f>
        <v/>
      </c>
      <c r="AK653">
        <f>IF($C653="","",IF(COUNTIF($AJ$2:$AJ653,$AJ653)=1,1,0))</f>
        <v/>
      </c>
      <c r="AL653">
        <f>IF($AK653=1,SUMPRODUCT(--($AO$2:$AO$1501&lt;$AO653))+1,"")</f>
        <v/>
      </c>
      <c r="AM653">
        <f>IF($C653="","",IF(OR($Q653=TRUE(),$Q653="TRUE"),1,0))</f>
        <v/>
      </c>
      <c r="AN653">
        <f>IF($C653="","",IF($Z653="Yes",1,0))</f>
        <v/>
      </c>
      <c r="AO653">
        <f>IF($AK653=1,IFERROR(IF(VALUE($C653)&lt;100000000,VALUE($C653),1000000000),IFERROR(IF(VALUE(MID($C653,2,20))&lt;100000000,VALUE(MID($C653,2,20)),1000000000),1000000000))+ROW()/100000,"")</f>
        <v/>
      </c>
    </row>
    <row r="654">
      <c r="F654" s="11" t="n"/>
      <c r="N654" s="7">
        <f>IF($C654="","",M654*U654/100)</f>
        <v/>
      </c>
      <c r="T654" s="7" t="n"/>
      <c r="U654" s="7" t="n"/>
      <c r="V654" s="7">
        <f>IF($C654="","",U654*AA654/100)</f>
        <v/>
      </c>
      <c r="W654" s="7">
        <f>IF($C654="","",U654-V654)</f>
        <v/>
      </c>
      <c r="X654" s="7">
        <f>IF($C654="","",W654-N654)</f>
        <v/>
      </c>
      <c r="AA654">
        <f>IF($C654="","",IF($AN654=1,0,IF($AM654=1,Settings!$C$6,Settings!$C$7))*100)</f>
        <v/>
      </c>
      <c r="AE654" s="7" t="n"/>
      <c r="AH654" s="11" t="n"/>
      <c r="AJ654">
        <f>IF($C654="","",$C654&amp;"|"&amp;$D654&amp;"")</f>
        <v/>
      </c>
      <c r="AK654">
        <f>IF($C654="","",IF(COUNTIF($AJ$2:$AJ654,$AJ654)=1,1,0))</f>
        <v/>
      </c>
      <c r="AL654">
        <f>IF($AK654=1,SUMPRODUCT(--($AO$2:$AO$1501&lt;$AO654))+1,"")</f>
        <v/>
      </c>
      <c r="AM654">
        <f>IF($C654="","",IF(OR($Q654=TRUE(),$Q654="TRUE"),1,0))</f>
        <v/>
      </c>
      <c r="AN654">
        <f>IF($C654="","",IF($Z654="Yes",1,0))</f>
        <v/>
      </c>
      <c r="AO654">
        <f>IF($AK654=1,IFERROR(IF(VALUE($C654)&lt;100000000,VALUE($C654),1000000000),IFERROR(IF(VALUE(MID($C654,2,20))&lt;100000000,VALUE(MID($C654,2,20)),1000000000),1000000000))+ROW()/100000,"")</f>
        <v/>
      </c>
    </row>
    <row r="655">
      <c r="F655" s="11" t="n"/>
      <c r="N655" s="7">
        <f>IF($C655="","",M655*U655/100)</f>
        <v/>
      </c>
      <c r="T655" s="7" t="n"/>
      <c r="U655" s="7" t="n"/>
      <c r="V655" s="7">
        <f>IF($C655="","",U655*AA655/100)</f>
        <v/>
      </c>
      <c r="W655" s="7">
        <f>IF($C655="","",U655-V655)</f>
        <v/>
      </c>
      <c r="X655" s="7">
        <f>IF($C655="","",W655-N655)</f>
        <v/>
      </c>
      <c r="AA655">
        <f>IF($C655="","",IF($AN655=1,0,IF($AM655=1,Settings!$C$6,Settings!$C$7))*100)</f>
        <v/>
      </c>
      <c r="AE655" s="7" t="n"/>
      <c r="AH655" s="11" t="n"/>
      <c r="AJ655">
        <f>IF($C655="","",$C655&amp;"|"&amp;$D655&amp;"")</f>
        <v/>
      </c>
      <c r="AK655">
        <f>IF($C655="","",IF(COUNTIF($AJ$2:$AJ655,$AJ655)=1,1,0))</f>
        <v/>
      </c>
      <c r="AL655">
        <f>IF($AK655=1,SUMPRODUCT(--($AO$2:$AO$1501&lt;$AO655))+1,"")</f>
        <v/>
      </c>
      <c r="AM655">
        <f>IF($C655="","",IF(OR($Q655=TRUE(),$Q655="TRUE"),1,0))</f>
        <v/>
      </c>
      <c r="AN655">
        <f>IF($C655="","",IF($Z655="Yes",1,0))</f>
        <v/>
      </c>
      <c r="AO655">
        <f>IF($AK655=1,IFERROR(IF(VALUE($C655)&lt;100000000,VALUE($C655),1000000000),IFERROR(IF(VALUE(MID($C655,2,20))&lt;100000000,VALUE(MID($C655,2,20)),1000000000),1000000000))+ROW()/100000,"")</f>
        <v/>
      </c>
    </row>
    <row r="656">
      <c r="F656" s="11" t="n"/>
      <c r="N656" s="7">
        <f>IF($C656="","",M656*U656/100)</f>
        <v/>
      </c>
      <c r="T656" s="7" t="n"/>
      <c r="U656" s="7" t="n"/>
      <c r="V656" s="7">
        <f>IF($C656="","",U656*AA656/100)</f>
        <v/>
      </c>
      <c r="W656" s="7">
        <f>IF($C656="","",U656-V656)</f>
        <v/>
      </c>
      <c r="X656" s="7">
        <f>IF($C656="","",W656-N656)</f>
        <v/>
      </c>
      <c r="AA656">
        <f>IF($C656="","",IF($AN656=1,0,IF($AM656=1,Settings!$C$6,Settings!$C$7))*100)</f>
        <v/>
      </c>
      <c r="AE656" s="7" t="n"/>
      <c r="AH656" s="11" t="n"/>
      <c r="AJ656">
        <f>IF($C656="","",$C656&amp;"|"&amp;$D656&amp;"")</f>
        <v/>
      </c>
      <c r="AK656">
        <f>IF($C656="","",IF(COUNTIF($AJ$2:$AJ656,$AJ656)=1,1,0))</f>
        <v/>
      </c>
      <c r="AL656">
        <f>IF($AK656=1,SUMPRODUCT(--($AO$2:$AO$1501&lt;$AO656))+1,"")</f>
        <v/>
      </c>
      <c r="AM656">
        <f>IF($C656="","",IF(OR($Q656=TRUE(),$Q656="TRUE"),1,0))</f>
        <v/>
      </c>
      <c r="AN656">
        <f>IF($C656="","",IF($Z656="Yes",1,0))</f>
        <v/>
      </c>
      <c r="AO656">
        <f>IF($AK656=1,IFERROR(IF(VALUE($C656)&lt;100000000,VALUE($C656),1000000000),IFERROR(IF(VALUE(MID($C656,2,20))&lt;100000000,VALUE(MID($C656,2,20)),1000000000),1000000000))+ROW()/100000,"")</f>
        <v/>
      </c>
    </row>
    <row r="657">
      <c r="F657" s="11" t="n"/>
      <c r="N657" s="7">
        <f>IF($C657="","",M657*U657/100)</f>
        <v/>
      </c>
      <c r="T657" s="7" t="n"/>
      <c r="U657" s="7" t="n"/>
      <c r="V657" s="7">
        <f>IF($C657="","",U657*AA657/100)</f>
        <v/>
      </c>
      <c r="W657" s="7">
        <f>IF($C657="","",U657-V657)</f>
        <v/>
      </c>
      <c r="X657" s="7">
        <f>IF($C657="","",W657-N657)</f>
        <v/>
      </c>
      <c r="AA657">
        <f>IF($C657="","",IF($AN657=1,0,IF($AM657=1,Settings!$C$6,Settings!$C$7))*100)</f>
        <v/>
      </c>
      <c r="AE657" s="7" t="n"/>
      <c r="AH657" s="11" t="n"/>
      <c r="AJ657">
        <f>IF($C657="","",$C657&amp;"|"&amp;$D657&amp;"")</f>
        <v/>
      </c>
      <c r="AK657">
        <f>IF($C657="","",IF(COUNTIF($AJ$2:$AJ657,$AJ657)=1,1,0))</f>
        <v/>
      </c>
      <c r="AL657">
        <f>IF($AK657=1,SUMPRODUCT(--($AO$2:$AO$1501&lt;$AO657))+1,"")</f>
        <v/>
      </c>
      <c r="AM657">
        <f>IF($C657="","",IF(OR($Q657=TRUE(),$Q657="TRUE"),1,0))</f>
        <v/>
      </c>
      <c r="AN657">
        <f>IF($C657="","",IF($Z657="Yes",1,0))</f>
        <v/>
      </c>
      <c r="AO657">
        <f>IF($AK657=1,IFERROR(IF(VALUE($C657)&lt;100000000,VALUE($C657),1000000000),IFERROR(IF(VALUE(MID($C657,2,20))&lt;100000000,VALUE(MID($C657,2,20)),1000000000),1000000000))+ROW()/100000,"")</f>
        <v/>
      </c>
    </row>
    <row r="658">
      <c r="F658" s="11" t="n"/>
      <c r="N658" s="7">
        <f>IF($C658="","",M658*U658/100)</f>
        <v/>
      </c>
      <c r="T658" s="7" t="n"/>
      <c r="U658" s="7" t="n"/>
      <c r="V658" s="7">
        <f>IF($C658="","",U658*AA658/100)</f>
        <v/>
      </c>
      <c r="W658" s="7">
        <f>IF($C658="","",U658-V658)</f>
        <v/>
      </c>
      <c r="X658" s="7">
        <f>IF($C658="","",W658-N658)</f>
        <v/>
      </c>
      <c r="AA658">
        <f>IF($C658="","",IF($AN658=1,0,IF($AM658=1,Settings!$C$6,Settings!$C$7))*100)</f>
        <v/>
      </c>
      <c r="AE658" s="7" t="n"/>
      <c r="AH658" s="11" t="n"/>
      <c r="AJ658">
        <f>IF($C658="","",$C658&amp;"|"&amp;$D658&amp;"")</f>
        <v/>
      </c>
      <c r="AK658">
        <f>IF($C658="","",IF(COUNTIF($AJ$2:$AJ658,$AJ658)=1,1,0))</f>
        <v/>
      </c>
      <c r="AL658">
        <f>IF($AK658=1,SUMPRODUCT(--($AO$2:$AO$1501&lt;$AO658))+1,"")</f>
        <v/>
      </c>
      <c r="AM658">
        <f>IF($C658="","",IF(OR($Q658=TRUE(),$Q658="TRUE"),1,0))</f>
        <v/>
      </c>
      <c r="AN658">
        <f>IF($C658="","",IF($Z658="Yes",1,0))</f>
        <v/>
      </c>
      <c r="AO658">
        <f>IF($AK658=1,IFERROR(IF(VALUE($C658)&lt;100000000,VALUE($C658),1000000000),IFERROR(IF(VALUE(MID($C658,2,20))&lt;100000000,VALUE(MID($C658,2,20)),1000000000),1000000000))+ROW()/100000,"")</f>
        <v/>
      </c>
    </row>
    <row r="659">
      <c r="F659" s="11" t="n"/>
      <c r="N659" s="7">
        <f>IF($C659="","",M659*U659/100)</f>
        <v/>
      </c>
      <c r="T659" s="7" t="n"/>
      <c r="U659" s="7" t="n"/>
      <c r="V659" s="7">
        <f>IF($C659="","",U659*AA659/100)</f>
        <v/>
      </c>
      <c r="W659" s="7">
        <f>IF($C659="","",U659-V659)</f>
        <v/>
      </c>
      <c r="X659" s="7">
        <f>IF($C659="","",W659-N659)</f>
        <v/>
      </c>
      <c r="AA659">
        <f>IF($C659="","",IF($AN659=1,0,IF($AM659=1,Settings!$C$6,Settings!$C$7))*100)</f>
        <v/>
      </c>
      <c r="AE659" s="7" t="n"/>
      <c r="AH659" s="11" t="n"/>
      <c r="AJ659">
        <f>IF($C659="","",$C659&amp;"|"&amp;$D659&amp;"")</f>
        <v/>
      </c>
      <c r="AK659">
        <f>IF($C659="","",IF(COUNTIF($AJ$2:$AJ659,$AJ659)=1,1,0))</f>
        <v/>
      </c>
      <c r="AL659">
        <f>IF($AK659=1,SUMPRODUCT(--($AO$2:$AO$1501&lt;$AO659))+1,"")</f>
        <v/>
      </c>
      <c r="AM659">
        <f>IF($C659="","",IF(OR($Q659=TRUE(),$Q659="TRUE"),1,0))</f>
        <v/>
      </c>
      <c r="AN659">
        <f>IF($C659="","",IF($Z659="Yes",1,0))</f>
        <v/>
      </c>
      <c r="AO659">
        <f>IF($AK659=1,IFERROR(IF(VALUE($C659)&lt;100000000,VALUE($C659),1000000000),IFERROR(IF(VALUE(MID($C659,2,20))&lt;100000000,VALUE(MID($C659,2,20)),1000000000),1000000000))+ROW()/100000,"")</f>
        <v/>
      </c>
    </row>
    <row r="660">
      <c r="F660" s="11" t="n"/>
      <c r="N660" s="7">
        <f>IF($C660="","",M660*U660/100)</f>
        <v/>
      </c>
      <c r="T660" s="7" t="n"/>
      <c r="U660" s="7" t="n"/>
      <c r="V660" s="7">
        <f>IF($C660="","",U660*AA660/100)</f>
        <v/>
      </c>
      <c r="W660" s="7">
        <f>IF($C660="","",U660-V660)</f>
        <v/>
      </c>
      <c r="X660" s="7">
        <f>IF($C660="","",W660-N660)</f>
        <v/>
      </c>
      <c r="AA660">
        <f>IF($C660="","",IF($AN660=1,0,IF($AM660=1,Settings!$C$6,Settings!$C$7))*100)</f>
        <v/>
      </c>
      <c r="AE660" s="7" t="n"/>
      <c r="AH660" s="11" t="n"/>
      <c r="AJ660">
        <f>IF($C660="","",$C660&amp;"|"&amp;$D660&amp;"")</f>
        <v/>
      </c>
      <c r="AK660">
        <f>IF($C660="","",IF(COUNTIF($AJ$2:$AJ660,$AJ660)=1,1,0))</f>
        <v/>
      </c>
      <c r="AL660">
        <f>IF($AK660=1,SUMPRODUCT(--($AO$2:$AO$1501&lt;$AO660))+1,"")</f>
        <v/>
      </c>
      <c r="AM660">
        <f>IF($C660="","",IF(OR($Q660=TRUE(),$Q660="TRUE"),1,0))</f>
        <v/>
      </c>
      <c r="AN660">
        <f>IF($C660="","",IF($Z660="Yes",1,0))</f>
        <v/>
      </c>
      <c r="AO660">
        <f>IF($AK660=1,IFERROR(IF(VALUE($C660)&lt;100000000,VALUE($C660),1000000000),IFERROR(IF(VALUE(MID($C660,2,20))&lt;100000000,VALUE(MID($C660,2,20)),1000000000),1000000000))+ROW()/100000,"")</f>
        <v/>
      </c>
    </row>
    <row r="661">
      <c r="F661" s="11" t="n"/>
      <c r="N661" s="7">
        <f>IF($C661="","",M661*U661/100)</f>
        <v/>
      </c>
      <c r="T661" s="7" t="n"/>
      <c r="U661" s="7" t="n"/>
      <c r="V661" s="7">
        <f>IF($C661="","",U661*AA661/100)</f>
        <v/>
      </c>
      <c r="W661" s="7">
        <f>IF($C661="","",U661-V661)</f>
        <v/>
      </c>
      <c r="X661" s="7">
        <f>IF($C661="","",W661-N661)</f>
        <v/>
      </c>
      <c r="AA661">
        <f>IF($C661="","",IF($AN661=1,0,IF($AM661=1,Settings!$C$6,Settings!$C$7))*100)</f>
        <v/>
      </c>
      <c r="AE661" s="7" t="n"/>
      <c r="AH661" s="11" t="n"/>
      <c r="AJ661">
        <f>IF($C661="","",$C661&amp;"|"&amp;$D661&amp;"")</f>
        <v/>
      </c>
      <c r="AK661">
        <f>IF($C661="","",IF(COUNTIF($AJ$2:$AJ661,$AJ661)=1,1,0))</f>
        <v/>
      </c>
      <c r="AL661">
        <f>IF($AK661=1,SUMPRODUCT(--($AO$2:$AO$1501&lt;$AO661))+1,"")</f>
        <v/>
      </c>
      <c r="AM661">
        <f>IF($C661="","",IF(OR($Q661=TRUE(),$Q661="TRUE"),1,0))</f>
        <v/>
      </c>
      <c r="AN661">
        <f>IF($C661="","",IF($Z661="Yes",1,0))</f>
        <v/>
      </c>
      <c r="AO661">
        <f>IF($AK661=1,IFERROR(IF(VALUE($C661)&lt;100000000,VALUE($C661),1000000000),IFERROR(IF(VALUE(MID($C661,2,20))&lt;100000000,VALUE(MID($C661,2,20)),1000000000),1000000000))+ROW()/100000,"")</f>
        <v/>
      </c>
    </row>
    <row r="662">
      <c r="F662" s="11" t="n"/>
      <c r="N662" s="7">
        <f>IF($C662="","",M662*U662/100)</f>
        <v/>
      </c>
      <c r="T662" s="7" t="n"/>
      <c r="U662" s="7" t="n"/>
      <c r="V662" s="7">
        <f>IF($C662="","",U662*AA662/100)</f>
        <v/>
      </c>
      <c r="W662" s="7">
        <f>IF($C662="","",U662-V662)</f>
        <v/>
      </c>
      <c r="X662" s="7">
        <f>IF($C662="","",W662-N662)</f>
        <v/>
      </c>
      <c r="AA662">
        <f>IF($C662="","",IF($AN662=1,0,IF($AM662=1,Settings!$C$6,Settings!$C$7))*100)</f>
        <v/>
      </c>
      <c r="AE662" s="7" t="n"/>
      <c r="AH662" s="11" t="n"/>
      <c r="AJ662">
        <f>IF($C662="","",$C662&amp;"|"&amp;$D662&amp;"")</f>
        <v/>
      </c>
      <c r="AK662">
        <f>IF($C662="","",IF(COUNTIF($AJ$2:$AJ662,$AJ662)=1,1,0))</f>
        <v/>
      </c>
      <c r="AL662">
        <f>IF($AK662=1,SUMPRODUCT(--($AO$2:$AO$1501&lt;$AO662))+1,"")</f>
        <v/>
      </c>
      <c r="AM662">
        <f>IF($C662="","",IF(OR($Q662=TRUE(),$Q662="TRUE"),1,0))</f>
        <v/>
      </c>
      <c r="AN662">
        <f>IF($C662="","",IF($Z662="Yes",1,0))</f>
        <v/>
      </c>
      <c r="AO662">
        <f>IF($AK662=1,IFERROR(IF(VALUE($C662)&lt;100000000,VALUE($C662),1000000000),IFERROR(IF(VALUE(MID($C662,2,20))&lt;100000000,VALUE(MID($C662,2,20)),1000000000),1000000000))+ROW()/100000,"")</f>
        <v/>
      </c>
    </row>
    <row r="663">
      <c r="F663" s="11" t="n"/>
      <c r="N663" s="7">
        <f>IF($C663="","",M663*U663/100)</f>
        <v/>
      </c>
      <c r="T663" s="7" t="n"/>
      <c r="U663" s="7" t="n"/>
      <c r="V663" s="7">
        <f>IF($C663="","",U663*AA663/100)</f>
        <v/>
      </c>
      <c r="W663" s="7">
        <f>IF($C663="","",U663-V663)</f>
        <v/>
      </c>
      <c r="X663" s="7">
        <f>IF($C663="","",W663-N663)</f>
        <v/>
      </c>
      <c r="AA663">
        <f>IF($C663="","",IF($AN663=1,0,IF($AM663=1,Settings!$C$6,Settings!$C$7))*100)</f>
        <v/>
      </c>
      <c r="AE663" s="7" t="n"/>
      <c r="AH663" s="11" t="n"/>
      <c r="AJ663">
        <f>IF($C663="","",$C663&amp;"|"&amp;$D663&amp;"")</f>
        <v/>
      </c>
      <c r="AK663">
        <f>IF($C663="","",IF(COUNTIF($AJ$2:$AJ663,$AJ663)=1,1,0))</f>
        <v/>
      </c>
      <c r="AL663">
        <f>IF($AK663=1,SUMPRODUCT(--($AO$2:$AO$1501&lt;$AO663))+1,"")</f>
        <v/>
      </c>
      <c r="AM663">
        <f>IF($C663="","",IF(OR($Q663=TRUE(),$Q663="TRUE"),1,0))</f>
        <v/>
      </c>
      <c r="AN663">
        <f>IF($C663="","",IF($Z663="Yes",1,0))</f>
        <v/>
      </c>
      <c r="AO663">
        <f>IF($AK663=1,IFERROR(IF(VALUE($C663)&lt;100000000,VALUE($C663),1000000000),IFERROR(IF(VALUE(MID($C663,2,20))&lt;100000000,VALUE(MID($C663,2,20)),1000000000),1000000000))+ROW()/100000,"")</f>
        <v/>
      </c>
    </row>
    <row r="664">
      <c r="F664" s="11" t="n"/>
      <c r="N664" s="7">
        <f>IF($C664="","",M664*U664/100)</f>
        <v/>
      </c>
      <c r="T664" s="7" t="n"/>
      <c r="U664" s="7" t="n"/>
      <c r="V664" s="7">
        <f>IF($C664="","",U664*AA664/100)</f>
        <v/>
      </c>
      <c r="W664" s="7">
        <f>IF($C664="","",U664-V664)</f>
        <v/>
      </c>
      <c r="X664" s="7">
        <f>IF($C664="","",W664-N664)</f>
        <v/>
      </c>
      <c r="AA664">
        <f>IF($C664="","",IF($AN664=1,0,IF($AM664=1,Settings!$C$6,Settings!$C$7))*100)</f>
        <v/>
      </c>
      <c r="AE664" s="7" t="n"/>
      <c r="AH664" s="11" t="n"/>
      <c r="AJ664">
        <f>IF($C664="","",$C664&amp;"|"&amp;$D664&amp;"")</f>
        <v/>
      </c>
      <c r="AK664">
        <f>IF($C664="","",IF(COUNTIF($AJ$2:$AJ664,$AJ664)=1,1,0))</f>
        <v/>
      </c>
      <c r="AL664">
        <f>IF($AK664=1,SUMPRODUCT(--($AO$2:$AO$1501&lt;$AO664))+1,"")</f>
        <v/>
      </c>
      <c r="AM664">
        <f>IF($C664="","",IF(OR($Q664=TRUE(),$Q664="TRUE"),1,0))</f>
        <v/>
      </c>
      <c r="AN664">
        <f>IF($C664="","",IF($Z664="Yes",1,0))</f>
        <v/>
      </c>
      <c r="AO664">
        <f>IF($AK664=1,IFERROR(IF(VALUE($C664)&lt;100000000,VALUE($C664),1000000000),IFERROR(IF(VALUE(MID($C664,2,20))&lt;100000000,VALUE(MID($C664,2,20)),1000000000),1000000000))+ROW()/100000,"")</f>
        <v/>
      </c>
    </row>
    <row r="665">
      <c r="F665" s="11" t="n"/>
      <c r="N665" s="7">
        <f>IF($C665="","",M665*U665/100)</f>
        <v/>
      </c>
      <c r="T665" s="7" t="n"/>
      <c r="U665" s="7" t="n"/>
      <c r="V665" s="7">
        <f>IF($C665="","",U665*AA665/100)</f>
        <v/>
      </c>
      <c r="W665" s="7">
        <f>IF($C665="","",U665-V665)</f>
        <v/>
      </c>
      <c r="X665" s="7">
        <f>IF($C665="","",W665-N665)</f>
        <v/>
      </c>
      <c r="AA665">
        <f>IF($C665="","",IF($AN665=1,0,IF($AM665=1,Settings!$C$6,Settings!$C$7))*100)</f>
        <v/>
      </c>
      <c r="AE665" s="7" t="n"/>
      <c r="AH665" s="11" t="n"/>
      <c r="AJ665">
        <f>IF($C665="","",$C665&amp;"|"&amp;$D665&amp;"")</f>
        <v/>
      </c>
      <c r="AK665">
        <f>IF($C665="","",IF(COUNTIF($AJ$2:$AJ665,$AJ665)=1,1,0))</f>
        <v/>
      </c>
      <c r="AL665">
        <f>IF($AK665=1,SUMPRODUCT(--($AO$2:$AO$1501&lt;$AO665))+1,"")</f>
        <v/>
      </c>
      <c r="AM665">
        <f>IF($C665="","",IF(OR($Q665=TRUE(),$Q665="TRUE"),1,0))</f>
        <v/>
      </c>
      <c r="AN665">
        <f>IF($C665="","",IF($Z665="Yes",1,0))</f>
        <v/>
      </c>
      <c r="AO665">
        <f>IF($AK665=1,IFERROR(IF(VALUE($C665)&lt;100000000,VALUE($C665),1000000000),IFERROR(IF(VALUE(MID($C665,2,20))&lt;100000000,VALUE(MID($C665,2,20)),1000000000),1000000000))+ROW()/100000,"")</f>
        <v/>
      </c>
    </row>
    <row r="666">
      <c r="F666" s="11" t="n"/>
      <c r="N666" s="7">
        <f>IF($C666="","",M666*U666/100)</f>
        <v/>
      </c>
      <c r="T666" s="7" t="n"/>
      <c r="U666" s="7" t="n"/>
      <c r="V666" s="7">
        <f>IF($C666="","",U666*AA666/100)</f>
        <v/>
      </c>
      <c r="W666" s="7">
        <f>IF($C666="","",U666-V666)</f>
        <v/>
      </c>
      <c r="X666" s="7">
        <f>IF($C666="","",W666-N666)</f>
        <v/>
      </c>
      <c r="AA666">
        <f>IF($C666="","",IF($AN666=1,0,IF($AM666=1,Settings!$C$6,Settings!$C$7))*100)</f>
        <v/>
      </c>
      <c r="AE666" s="7" t="n"/>
      <c r="AH666" s="11" t="n"/>
      <c r="AJ666">
        <f>IF($C666="","",$C666&amp;"|"&amp;$D666&amp;"")</f>
        <v/>
      </c>
      <c r="AK666">
        <f>IF($C666="","",IF(COUNTIF($AJ$2:$AJ666,$AJ666)=1,1,0))</f>
        <v/>
      </c>
      <c r="AL666">
        <f>IF($AK666=1,SUMPRODUCT(--($AO$2:$AO$1501&lt;$AO666))+1,"")</f>
        <v/>
      </c>
      <c r="AM666">
        <f>IF($C666="","",IF(OR($Q666=TRUE(),$Q666="TRUE"),1,0))</f>
        <v/>
      </c>
      <c r="AN666">
        <f>IF($C666="","",IF($Z666="Yes",1,0))</f>
        <v/>
      </c>
      <c r="AO666">
        <f>IF($AK666=1,IFERROR(IF(VALUE($C666)&lt;100000000,VALUE($C666),1000000000),IFERROR(IF(VALUE(MID($C666,2,20))&lt;100000000,VALUE(MID($C666,2,20)),1000000000),1000000000))+ROW()/100000,"")</f>
        <v/>
      </c>
    </row>
    <row r="667">
      <c r="F667" s="11" t="n"/>
      <c r="N667" s="7">
        <f>IF($C667="","",M667*U667/100)</f>
        <v/>
      </c>
      <c r="T667" s="7" t="n"/>
      <c r="U667" s="7" t="n"/>
      <c r="V667" s="7">
        <f>IF($C667="","",U667*AA667/100)</f>
        <v/>
      </c>
      <c r="W667" s="7">
        <f>IF($C667="","",U667-V667)</f>
        <v/>
      </c>
      <c r="X667" s="7">
        <f>IF($C667="","",W667-N667)</f>
        <v/>
      </c>
      <c r="AA667">
        <f>IF($C667="","",IF($AN667=1,0,IF($AM667=1,Settings!$C$6,Settings!$C$7))*100)</f>
        <v/>
      </c>
      <c r="AE667" s="7" t="n"/>
      <c r="AH667" s="11" t="n"/>
      <c r="AJ667">
        <f>IF($C667="","",$C667&amp;"|"&amp;$D667&amp;"")</f>
        <v/>
      </c>
      <c r="AK667">
        <f>IF($C667="","",IF(COUNTIF($AJ$2:$AJ667,$AJ667)=1,1,0))</f>
        <v/>
      </c>
      <c r="AL667">
        <f>IF($AK667=1,SUMPRODUCT(--($AO$2:$AO$1501&lt;$AO667))+1,"")</f>
        <v/>
      </c>
      <c r="AM667">
        <f>IF($C667="","",IF(OR($Q667=TRUE(),$Q667="TRUE"),1,0))</f>
        <v/>
      </c>
      <c r="AN667">
        <f>IF($C667="","",IF($Z667="Yes",1,0))</f>
        <v/>
      </c>
      <c r="AO667">
        <f>IF($AK667=1,IFERROR(IF(VALUE($C667)&lt;100000000,VALUE($C667),1000000000),IFERROR(IF(VALUE(MID($C667,2,20))&lt;100000000,VALUE(MID($C667,2,20)),1000000000),1000000000))+ROW()/100000,"")</f>
        <v/>
      </c>
    </row>
    <row r="668">
      <c r="F668" s="11" t="n"/>
      <c r="N668" s="7">
        <f>IF($C668="","",M668*U668/100)</f>
        <v/>
      </c>
      <c r="T668" s="7" t="n"/>
      <c r="U668" s="7" t="n"/>
      <c r="V668" s="7">
        <f>IF($C668="","",U668*AA668/100)</f>
        <v/>
      </c>
      <c r="W668" s="7">
        <f>IF($C668="","",U668-V668)</f>
        <v/>
      </c>
      <c r="X668" s="7">
        <f>IF($C668="","",W668-N668)</f>
        <v/>
      </c>
      <c r="AA668">
        <f>IF($C668="","",IF($AN668=1,0,IF($AM668=1,Settings!$C$6,Settings!$C$7))*100)</f>
        <v/>
      </c>
      <c r="AE668" s="7" t="n"/>
      <c r="AH668" s="11" t="n"/>
      <c r="AJ668">
        <f>IF($C668="","",$C668&amp;"|"&amp;$D668&amp;"")</f>
        <v/>
      </c>
      <c r="AK668">
        <f>IF($C668="","",IF(COUNTIF($AJ$2:$AJ668,$AJ668)=1,1,0))</f>
        <v/>
      </c>
      <c r="AL668">
        <f>IF($AK668=1,SUMPRODUCT(--($AO$2:$AO$1501&lt;$AO668))+1,"")</f>
        <v/>
      </c>
      <c r="AM668">
        <f>IF($C668="","",IF(OR($Q668=TRUE(),$Q668="TRUE"),1,0))</f>
        <v/>
      </c>
      <c r="AN668">
        <f>IF($C668="","",IF($Z668="Yes",1,0))</f>
        <v/>
      </c>
      <c r="AO668">
        <f>IF($AK668=1,IFERROR(IF(VALUE($C668)&lt;100000000,VALUE($C668),1000000000),IFERROR(IF(VALUE(MID($C668,2,20))&lt;100000000,VALUE(MID($C668,2,20)),1000000000),1000000000))+ROW()/100000,"")</f>
        <v/>
      </c>
    </row>
    <row r="669">
      <c r="F669" s="11" t="n"/>
      <c r="N669" s="7">
        <f>IF($C669="","",M669*U669/100)</f>
        <v/>
      </c>
      <c r="T669" s="7" t="n"/>
      <c r="U669" s="7" t="n"/>
      <c r="V669" s="7">
        <f>IF($C669="","",U669*AA669/100)</f>
        <v/>
      </c>
      <c r="W669" s="7">
        <f>IF($C669="","",U669-V669)</f>
        <v/>
      </c>
      <c r="X669" s="7">
        <f>IF($C669="","",W669-N669)</f>
        <v/>
      </c>
      <c r="AA669">
        <f>IF($C669="","",IF($AN669=1,0,IF($AM669=1,Settings!$C$6,Settings!$C$7))*100)</f>
        <v/>
      </c>
      <c r="AE669" s="7" t="n"/>
      <c r="AH669" s="11" t="n"/>
      <c r="AJ669">
        <f>IF($C669="","",$C669&amp;"|"&amp;$D669&amp;"")</f>
        <v/>
      </c>
      <c r="AK669">
        <f>IF($C669="","",IF(COUNTIF($AJ$2:$AJ669,$AJ669)=1,1,0))</f>
        <v/>
      </c>
      <c r="AL669">
        <f>IF($AK669=1,SUMPRODUCT(--($AO$2:$AO$1501&lt;$AO669))+1,"")</f>
        <v/>
      </c>
      <c r="AM669">
        <f>IF($C669="","",IF(OR($Q669=TRUE(),$Q669="TRUE"),1,0))</f>
        <v/>
      </c>
      <c r="AN669">
        <f>IF($C669="","",IF($Z669="Yes",1,0))</f>
        <v/>
      </c>
      <c r="AO669">
        <f>IF($AK669=1,IFERROR(IF(VALUE($C669)&lt;100000000,VALUE($C669),1000000000),IFERROR(IF(VALUE(MID($C669,2,20))&lt;100000000,VALUE(MID($C669,2,20)),1000000000),1000000000))+ROW()/100000,"")</f>
        <v/>
      </c>
    </row>
    <row r="670">
      <c r="F670" s="11" t="n"/>
      <c r="N670" s="7">
        <f>IF($C670="","",M670*U670/100)</f>
        <v/>
      </c>
      <c r="T670" s="7" t="n"/>
      <c r="U670" s="7" t="n"/>
      <c r="V670" s="7">
        <f>IF($C670="","",U670*AA670/100)</f>
        <v/>
      </c>
      <c r="W670" s="7">
        <f>IF($C670="","",U670-V670)</f>
        <v/>
      </c>
      <c r="X670" s="7">
        <f>IF($C670="","",W670-N670)</f>
        <v/>
      </c>
      <c r="AA670">
        <f>IF($C670="","",IF($AN670=1,0,IF($AM670=1,Settings!$C$6,Settings!$C$7))*100)</f>
        <v/>
      </c>
      <c r="AE670" s="7" t="n"/>
      <c r="AH670" s="11" t="n"/>
      <c r="AJ670">
        <f>IF($C670="","",$C670&amp;"|"&amp;$D670&amp;"")</f>
        <v/>
      </c>
      <c r="AK670">
        <f>IF($C670="","",IF(COUNTIF($AJ$2:$AJ670,$AJ670)=1,1,0))</f>
        <v/>
      </c>
      <c r="AL670">
        <f>IF($AK670=1,SUMPRODUCT(--($AO$2:$AO$1501&lt;$AO670))+1,"")</f>
        <v/>
      </c>
      <c r="AM670">
        <f>IF($C670="","",IF(OR($Q670=TRUE(),$Q670="TRUE"),1,0))</f>
        <v/>
      </c>
      <c r="AN670">
        <f>IF($C670="","",IF($Z670="Yes",1,0))</f>
        <v/>
      </c>
      <c r="AO670">
        <f>IF($AK670=1,IFERROR(IF(VALUE($C670)&lt;100000000,VALUE($C670),1000000000),IFERROR(IF(VALUE(MID($C670,2,20))&lt;100000000,VALUE(MID($C670,2,20)),1000000000),1000000000))+ROW()/100000,"")</f>
        <v/>
      </c>
    </row>
    <row r="671">
      <c r="F671" s="11" t="n"/>
      <c r="N671" s="7">
        <f>IF($C671="","",M671*U671/100)</f>
        <v/>
      </c>
      <c r="T671" s="7" t="n"/>
      <c r="U671" s="7" t="n"/>
      <c r="V671" s="7">
        <f>IF($C671="","",U671*AA671/100)</f>
        <v/>
      </c>
      <c r="W671" s="7">
        <f>IF($C671="","",U671-V671)</f>
        <v/>
      </c>
      <c r="X671" s="7">
        <f>IF($C671="","",W671-N671)</f>
        <v/>
      </c>
      <c r="AA671">
        <f>IF($C671="","",IF($AN671=1,0,IF($AM671=1,Settings!$C$6,Settings!$C$7))*100)</f>
        <v/>
      </c>
      <c r="AE671" s="7" t="n"/>
      <c r="AH671" s="11" t="n"/>
      <c r="AJ671">
        <f>IF($C671="","",$C671&amp;"|"&amp;$D671&amp;"")</f>
        <v/>
      </c>
      <c r="AK671">
        <f>IF($C671="","",IF(COUNTIF($AJ$2:$AJ671,$AJ671)=1,1,0))</f>
        <v/>
      </c>
      <c r="AL671">
        <f>IF($AK671=1,SUMPRODUCT(--($AO$2:$AO$1501&lt;$AO671))+1,"")</f>
        <v/>
      </c>
      <c r="AM671">
        <f>IF($C671="","",IF(OR($Q671=TRUE(),$Q671="TRUE"),1,0))</f>
        <v/>
      </c>
      <c r="AN671">
        <f>IF($C671="","",IF($Z671="Yes",1,0))</f>
        <v/>
      </c>
      <c r="AO671">
        <f>IF($AK671=1,IFERROR(IF(VALUE($C671)&lt;100000000,VALUE($C671),1000000000),IFERROR(IF(VALUE(MID($C671,2,20))&lt;100000000,VALUE(MID($C671,2,20)),1000000000),1000000000))+ROW()/100000,"")</f>
        <v/>
      </c>
    </row>
    <row r="672">
      <c r="F672" s="11" t="n"/>
      <c r="N672" s="7">
        <f>IF($C672="","",M672*U672/100)</f>
        <v/>
      </c>
      <c r="T672" s="7" t="n"/>
      <c r="U672" s="7" t="n"/>
      <c r="V672" s="7">
        <f>IF($C672="","",U672*AA672/100)</f>
        <v/>
      </c>
      <c r="W672" s="7">
        <f>IF($C672="","",U672-V672)</f>
        <v/>
      </c>
      <c r="X672" s="7">
        <f>IF($C672="","",W672-N672)</f>
        <v/>
      </c>
      <c r="AA672">
        <f>IF($C672="","",IF($AN672=1,0,IF($AM672=1,Settings!$C$6,Settings!$C$7))*100)</f>
        <v/>
      </c>
      <c r="AE672" s="7" t="n"/>
      <c r="AH672" s="11" t="n"/>
      <c r="AJ672">
        <f>IF($C672="","",$C672&amp;"|"&amp;$D672&amp;"")</f>
        <v/>
      </c>
      <c r="AK672">
        <f>IF($C672="","",IF(COUNTIF($AJ$2:$AJ672,$AJ672)=1,1,0))</f>
        <v/>
      </c>
      <c r="AL672">
        <f>IF($AK672=1,SUMPRODUCT(--($AO$2:$AO$1501&lt;$AO672))+1,"")</f>
        <v/>
      </c>
      <c r="AM672">
        <f>IF($C672="","",IF(OR($Q672=TRUE(),$Q672="TRUE"),1,0))</f>
        <v/>
      </c>
      <c r="AN672">
        <f>IF($C672="","",IF($Z672="Yes",1,0))</f>
        <v/>
      </c>
      <c r="AO672">
        <f>IF($AK672=1,IFERROR(IF(VALUE($C672)&lt;100000000,VALUE($C672),1000000000),IFERROR(IF(VALUE(MID($C672,2,20))&lt;100000000,VALUE(MID($C672,2,20)),1000000000),1000000000))+ROW()/100000,"")</f>
        <v/>
      </c>
    </row>
    <row r="673">
      <c r="F673" s="11" t="n"/>
      <c r="N673" s="7">
        <f>IF($C673="","",M673*U673/100)</f>
        <v/>
      </c>
      <c r="T673" s="7" t="n"/>
      <c r="U673" s="7" t="n"/>
      <c r="V673" s="7">
        <f>IF($C673="","",U673*AA673/100)</f>
        <v/>
      </c>
      <c r="W673" s="7">
        <f>IF($C673="","",U673-V673)</f>
        <v/>
      </c>
      <c r="X673" s="7">
        <f>IF($C673="","",W673-N673)</f>
        <v/>
      </c>
      <c r="AA673">
        <f>IF($C673="","",IF($AN673=1,0,IF($AM673=1,Settings!$C$6,Settings!$C$7))*100)</f>
        <v/>
      </c>
      <c r="AE673" s="7" t="n"/>
      <c r="AH673" s="11" t="n"/>
      <c r="AJ673">
        <f>IF($C673="","",$C673&amp;"|"&amp;$D673&amp;"")</f>
        <v/>
      </c>
      <c r="AK673">
        <f>IF($C673="","",IF(COUNTIF($AJ$2:$AJ673,$AJ673)=1,1,0))</f>
        <v/>
      </c>
      <c r="AL673">
        <f>IF($AK673=1,SUMPRODUCT(--($AO$2:$AO$1501&lt;$AO673))+1,"")</f>
        <v/>
      </c>
      <c r="AM673">
        <f>IF($C673="","",IF(OR($Q673=TRUE(),$Q673="TRUE"),1,0))</f>
        <v/>
      </c>
      <c r="AN673">
        <f>IF($C673="","",IF($Z673="Yes",1,0))</f>
        <v/>
      </c>
      <c r="AO673">
        <f>IF($AK673=1,IFERROR(IF(VALUE($C673)&lt;100000000,VALUE($C673),1000000000),IFERROR(IF(VALUE(MID($C673,2,20))&lt;100000000,VALUE(MID($C673,2,20)),1000000000),1000000000))+ROW()/100000,"")</f>
        <v/>
      </c>
    </row>
    <row r="674">
      <c r="F674" s="11" t="n"/>
      <c r="N674" s="7">
        <f>IF($C674="","",M674*U674/100)</f>
        <v/>
      </c>
      <c r="T674" s="7" t="n"/>
      <c r="U674" s="7" t="n"/>
      <c r="V674" s="7">
        <f>IF($C674="","",U674*AA674/100)</f>
        <v/>
      </c>
      <c r="W674" s="7">
        <f>IF($C674="","",U674-V674)</f>
        <v/>
      </c>
      <c r="X674" s="7">
        <f>IF($C674="","",W674-N674)</f>
        <v/>
      </c>
      <c r="AA674">
        <f>IF($C674="","",IF($AN674=1,0,IF($AM674=1,Settings!$C$6,Settings!$C$7))*100)</f>
        <v/>
      </c>
      <c r="AE674" s="7" t="n"/>
      <c r="AH674" s="11" t="n"/>
      <c r="AJ674">
        <f>IF($C674="","",$C674&amp;"|"&amp;$D674&amp;"")</f>
        <v/>
      </c>
      <c r="AK674">
        <f>IF($C674="","",IF(COUNTIF($AJ$2:$AJ674,$AJ674)=1,1,0))</f>
        <v/>
      </c>
      <c r="AL674">
        <f>IF($AK674=1,SUMPRODUCT(--($AO$2:$AO$1501&lt;$AO674))+1,"")</f>
        <v/>
      </c>
      <c r="AM674">
        <f>IF($C674="","",IF(OR($Q674=TRUE(),$Q674="TRUE"),1,0))</f>
        <v/>
      </c>
      <c r="AN674">
        <f>IF($C674="","",IF($Z674="Yes",1,0))</f>
        <v/>
      </c>
      <c r="AO674">
        <f>IF($AK674=1,IFERROR(IF(VALUE($C674)&lt;100000000,VALUE($C674),1000000000),IFERROR(IF(VALUE(MID($C674,2,20))&lt;100000000,VALUE(MID($C674,2,20)),1000000000),1000000000))+ROW()/100000,"")</f>
        <v/>
      </c>
    </row>
    <row r="675">
      <c r="F675" s="11" t="n"/>
      <c r="N675" s="7">
        <f>IF($C675="","",M675*U675/100)</f>
        <v/>
      </c>
      <c r="T675" s="7" t="n"/>
      <c r="U675" s="7" t="n"/>
      <c r="V675" s="7">
        <f>IF($C675="","",U675*AA675/100)</f>
        <v/>
      </c>
      <c r="W675" s="7">
        <f>IF($C675="","",U675-V675)</f>
        <v/>
      </c>
      <c r="X675" s="7">
        <f>IF($C675="","",W675-N675)</f>
        <v/>
      </c>
      <c r="AA675">
        <f>IF($C675="","",IF($AN675=1,0,IF($AM675=1,Settings!$C$6,Settings!$C$7))*100)</f>
        <v/>
      </c>
      <c r="AE675" s="7" t="n"/>
      <c r="AH675" s="11" t="n"/>
      <c r="AJ675">
        <f>IF($C675="","",$C675&amp;"|"&amp;$D675&amp;"")</f>
        <v/>
      </c>
      <c r="AK675">
        <f>IF($C675="","",IF(COUNTIF($AJ$2:$AJ675,$AJ675)=1,1,0))</f>
        <v/>
      </c>
      <c r="AL675">
        <f>IF($AK675=1,SUMPRODUCT(--($AO$2:$AO$1501&lt;$AO675))+1,"")</f>
        <v/>
      </c>
      <c r="AM675">
        <f>IF($C675="","",IF(OR($Q675=TRUE(),$Q675="TRUE"),1,0))</f>
        <v/>
      </c>
      <c r="AN675">
        <f>IF($C675="","",IF($Z675="Yes",1,0))</f>
        <v/>
      </c>
      <c r="AO675">
        <f>IF($AK675=1,IFERROR(IF(VALUE($C675)&lt;100000000,VALUE($C675),1000000000),IFERROR(IF(VALUE(MID($C675,2,20))&lt;100000000,VALUE(MID($C675,2,20)),1000000000),1000000000))+ROW()/100000,"")</f>
        <v/>
      </c>
    </row>
    <row r="676">
      <c r="F676" s="11" t="n"/>
      <c r="N676" s="7">
        <f>IF($C676="","",M676*U676/100)</f>
        <v/>
      </c>
      <c r="T676" s="7" t="n"/>
      <c r="U676" s="7" t="n"/>
      <c r="V676" s="7">
        <f>IF($C676="","",U676*AA676/100)</f>
        <v/>
      </c>
      <c r="W676" s="7">
        <f>IF($C676="","",U676-V676)</f>
        <v/>
      </c>
      <c r="X676" s="7">
        <f>IF($C676="","",W676-N676)</f>
        <v/>
      </c>
      <c r="AA676">
        <f>IF($C676="","",IF($AN676=1,0,IF($AM676=1,Settings!$C$6,Settings!$C$7))*100)</f>
        <v/>
      </c>
      <c r="AE676" s="7" t="n"/>
      <c r="AH676" s="11" t="n"/>
      <c r="AJ676">
        <f>IF($C676="","",$C676&amp;"|"&amp;$D676&amp;"")</f>
        <v/>
      </c>
      <c r="AK676">
        <f>IF($C676="","",IF(COUNTIF($AJ$2:$AJ676,$AJ676)=1,1,0))</f>
        <v/>
      </c>
      <c r="AL676">
        <f>IF($AK676=1,SUMPRODUCT(--($AO$2:$AO$1501&lt;$AO676))+1,"")</f>
        <v/>
      </c>
      <c r="AM676">
        <f>IF($C676="","",IF(OR($Q676=TRUE(),$Q676="TRUE"),1,0))</f>
        <v/>
      </c>
      <c r="AN676">
        <f>IF($C676="","",IF($Z676="Yes",1,0))</f>
        <v/>
      </c>
      <c r="AO676">
        <f>IF($AK676=1,IFERROR(IF(VALUE($C676)&lt;100000000,VALUE($C676),1000000000),IFERROR(IF(VALUE(MID($C676,2,20))&lt;100000000,VALUE(MID($C676,2,20)),1000000000),1000000000))+ROW()/100000,"")</f>
        <v/>
      </c>
    </row>
    <row r="677">
      <c r="F677" s="11" t="n"/>
      <c r="N677" s="7">
        <f>IF($C677="","",M677*U677/100)</f>
        <v/>
      </c>
      <c r="T677" s="7" t="n"/>
      <c r="U677" s="7" t="n"/>
      <c r="V677" s="7">
        <f>IF($C677="","",U677*AA677/100)</f>
        <v/>
      </c>
      <c r="W677" s="7">
        <f>IF($C677="","",U677-V677)</f>
        <v/>
      </c>
      <c r="X677" s="7">
        <f>IF($C677="","",W677-N677)</f>
        <v/>
      </c>
      <c r="AA677">
        <f>IF($C677="","",IF($AN677=1,0,IF($AM677=1,Settings!$C$6,Settings!$C$7))*100)</f>
        <v/>
      </c>
      <c r="AE677" s="7" t="n"/>
      <c r="AH677" s="11" t="n"/>
      <c r="AJ677">
        <f>IF($C677="","",$C677&amp;"|"&amp;$D677&amp;"")</f>
        <v/>
      </c>
      <c r="AK677">
        <f>IF($C677="","",IF(COUNTIF($AJ$2:$AJ677,$AJ677)=1,1,0))</f>
        <v/>
      </c>
      <c r="AL677">
        <f>IF($AK677=1,SUMPRODUCT(--($AO$2:$AO$1501&lt;$AO677))+1,"")</f>
        <v/>
      </c>
      <c r="AM677">
        <f>IF($C677="","",IF(OR($Q677=TRUE(),$Q677="TRUE"),1,0))</f>
        <v/>
      </c>
      <c r="AN677">
        <f>IF($C677="","",IF($Z677="Yes",1,0))</f>
        <v/>
      </c>
      <c r="AO677">
        <f>IF($AK677=1,IFERROR(IF(VALUE($C677)&lt;100000000,VALUE($C677),1000000000),IFERROR(IF(VALUE(MID($C677,2,20))&lt;100000000,VALUE(MID($C677,2,20)),1000000000),1000000000))+ROW()/100000,"")</f>
        <v/>
      </c>
    </row>
    <row r="678">
      <c r="F678" s="11" t="n"/>
      <c r="N678" s="7">
        <f>IF($C678="","",M678*U678/100)</f>
        <v/>
      </c>
      <c r="T678" s="7" t="n"/>
      <c r="U678" s="7" t="n"/>
      <c r="V678" s="7">
        <f>IF($C678="","",U678*AA678/100)</f>
        <v/>
      </c>
      <c r="W678" s="7">
        <f>IF($C678="","",U678-V678)</f>
        <v/>
      </c>
      <c r="X678" s="7">
        <f>IF($C678="","",W678-N678)</f>
        <v/>
      </c>
      <c r="AA678">
        <f>IF($C678="","",IF($AN678=1,0,IF($AM678=1,Settings!$C$6,Settings!$C$7))*100)</f>
        <v/>
      </c>
      <c r="AE678" s="7" t="n"/>
      <c r="AH678" s="11" t="n"/>
      <c r="AJ678">
        <f>IF($C678="","",$C678&amp;"|"&amp;$D678&amp;"")</f>
        <v/>
      </c>
      <c r="AK678">
        <f>IF($C678="","",IF(COUNTIF($AJ$2:$AJ678,$AJ678)=1,1,0))</f>
        <v/>
      </c>
      <c r="AL678">
        <f>IF($AK678=1,SUMPRODUCT(--($AO$2:$AO$1501&lt;$AO678))+1,"")</f>
        <v/>
      </c>
      <c r="AM678">
        <f>IF($C678="","",IF(OR($Q678=TRUE(),$Q678="TRUE"),1,0))</f>
        <v/>
      </c>
      <c r="AN678">
        <f>IF($C678="","",IF($Z678="Yes",1,0))</f>
        <v/>
      </c>
      <c r="AO678">
        <f>IF($AK678=1,IFERROR(IF(VALUE($C678)&lt;100000000,VALUE($C678),1000000000),IFERROR(IF(VALUE(MID($C678,2,20))&lt;100000000,VALUE(MID($C678,2,20)),1000000000),1000000000))+ROW()/100000,"")</f>
        <v/>
      </c>
    </row>
    <row r="679">
      <c r="F679" s="11" t="n"/>
      <c r="N679" s="7">
        <f>IF($C679="","",M679*U679/100)</f>
        <v/>
      </c>
      <c r="T679" s="7" t="n"/>
      <c r="U679" s="7" t="n"/>
      <c r="V679" s="7">
        <f>IF($C679="","",U679*AA679/100)</f>
        <v/>
      </c>
      <c r="W679" s="7">
        <f>IF($C679="","",U679-V679)</f>
        <v/>
      </c>
      <c r="X679" s="7">
        <f>IF($C679="","",W679-N679)</f>
        <v/>
      </c>
      <c r="AA679">
        <f>IF($C679="","",IF($AN679=1,0,IF($AM679=1,Settings!$C$6,Settings!$C$7))*100)</f>
        <v/>
      </c>
      <c r="AE679" s="7" t="n"/>
      <c r="AH679" s="11" t="n"/>
      <c r="AJ679">
        <f>IF($C679="","",$C679&amp;"|"&amp;$D679&amp;"")</f>
        <v/>
      </c>
      <c r="AK679">
        <f>IF($C679="","",IF(COUNTIF($AJ$2:$AJ679,$AJ679)=1,1,0))</f>
        <v/>
      </c>
      <c r="AL679">
        <f>IF($AK679=1,SUMPRODUCT(--($AO$2:$AO$1501&lt;$AO679))+1,"")</f>
        <v/>
      </c>
      <c r="AM679">
        <f>IF($C679="","",IF(OR($Q679=TRUE(),$Q679="TRUE"),1,0))</f>
        <v/>
      </c>
      <c r="AN679">
        <f>IF($C679="","",IF($Z679="Yes",1,0))</f>
        <v/>
      </c>
      <c r="AO679">
        <f>IF($AK679=1,IFERROR(IF(VALUE($C679)&lt;100000000,VALUE($C679),1000000000),IFERROR(IF(VALUE(MID($C679,2,20))&lt;100000000,VALUE(MID($C679,2,20)),1000000000),1000000000))+ROW()/100000,"")</f>
        <v/>
      </c>
    </row>
    <row r="680">
      <c r="F680" s="11" t="n"/>
      <c r="N680" s="7">
        <f>IF($C680="","",M680*U680/100)</f>
        <v/>
      </c>
      <c r="T680" s="7" t="n"/>
      <c r="U680" s="7" t="n"/>
      <c r="V680" s="7">
        <f>IF($C680="","",U680*AA680/100)</f>
        <v/>
      </c>
      <c r="W680" s="7">
        <f>IF($C680="","",U680-V680)</f>
        <v/>
      </c>
      <c r="X680" s="7">
        <f>IF($C680="","",W680-N680)</f>
        <v/>
      </c>
      <c r="AA680">
        <f>IF($C680="","",IF($AN680=1,0,IF($AM680=1,Settings!$C$6,Settings!$C$7))*100)</f>
        <v/>
      </c>
      <c r="AE680" s="7" t="n"/>
      <c r="AH680" s="11" t="n"/>
      <c r="AJ680">
        <f>IF($C680="","",$C680&amp;"|"&amp;$D680&amp;"")</f>
        <v/>
      </c>
      <c r="AK680">
        <f>IF($C680="","",IF(COUNTIF($AJ$2:$AJ680,$AJ680)=1,1,0))</f>
        <v/>
      </c>
      <c r="AL680">
        <f>IF($AK680=1,SUMPRODUCT(--($AO$2:$AO$1501&lt;$AO680))+1,"")</f>
        <v/>
      </c>
      <c r="AM680">
        <f>IF($C680="","",IF(OR($Q680=TRUE(),$Q680="TRUE"),1,0))</f>
        <v/>
      </c>
      <c r="AN680">
        <f>IF($C680="","",IF($Z680="Yes",1,0))</f>
        <v/>
      </c>
      <c r="AO680">
        <f>IF($AK680=1,IFERROR(IF(VALUE($C680)&lt;100000000,VALUE($C680),1000000000),IFERROR(IF(VALUE(MID($C680,2,20))&lt;100000000,VALUE(MID($C680,2,20)),1000000000),1000000000))+ROW()/100000,"")</f>
        <v/>
      </c>
    </row>
    <row r="681">
      <c r="F681" s="11" t="n"/>
      <c r="N681" s="7">
        <f>IF($C681="","",M681*U681/100)</f>
        <v/>
      </c>
      <c r="T681" s="7" t="n"/>
      <c r="U681" s="7" t="n"/>
      <c r="V681" s="7">
        <f>IF($C681="","",U681*AA681/100)</f>
        <v/>
      </c>
      <c r="W681" s="7">
        <f>IF($C681="","",U681-V681)</f>
        <v/>
      </c>
      <c r="X681" s="7">
        <f>IF($C681="","",W681-N681)</f>
        <v/>
      </c>
      <c r="AA681">
        <f>IF($C681="","",IF($AN681=1,0,IF($AM681=1,Settings!$C$6,Settings!$C$7))*100)</f>
        <v/>
      </c>
      <c r="AE681" s="7" t="n"/>
      <c r="AH681" s="11" t="n"/>
      <c r="AJ681">
        <f>IF($C681="","",$C681&amp;"|"&amp;$D681&amp;"")</f>
        <v/>
      </c>
      <c r="AK681">
        <f>IF($C681="","",IF(COUNTIF($AJ$2:$AJ681,$AJ681)=1,1,0))</f>
        <v/>
      </c>
      <c r="AL681">
        <f>IF($AK681=1,SUMPRODUCT(--($AO$2:$AO$1501&lt;$AO681))+1,"")</f>
        <v/>
      </c>
      <c r="AM681">
        <f>IF($C681="","",IF(OR($Q681=TRUE(),$Q681="TRUE"),1,0))</f>
        <v/>
      </c>
      <c r="AN681">
        <f>IF($C681="","",IF($Z681="Yes",1,0))</f>
        <v/>
      </c>
      <c r="AO681">
        <f>IF($AK681=1,IFERROR(IF(VALUE($C681)&lt;100000000,VALUE($C681),1000000000),IFERROR(IF(VALUE(MID($C681,2,20))&lt;100000000,VALUE(MID($C681,2,20)),1000000000),1000000000))+ROW()/100000,"")</f>
        <v/>
      </c>
    </row>
    <row r="682">
      <c r="F682" s="11" t="n"/>
      <c r="N682" s="7">
        <f>IF($C682="","",M682*U682/100)</f>
        <v/>
      </c>
      <c r="T682" s="7" t="n"/>
      <c r="U682" s="7" t="n"/>
      <c r="V682" s="7">
        <f>IF($C682="","",U682*AA682/100)</f>
        <v/>
      </c>
      <c r="W682" s="7">
        <f>IF($C682="","",U682-V682)</f>
        <v/>
      </c>
      <c r="X682" s="7">
        <f>IF($C682="","",W682-N682)</f>
        <v/>
      </c>
      <c r="AA682">
        <f>IF($C682="","",IF($AN682=1,0,IF($AM682=1,Settings!$C$6,Settings!$C$7))*100)</f>
        <v/>
      </c>
      <c r="AE682" s="7" t="n"/>
      <c r="AH682" s="11" t="n"/>
      <c r="AJ682">
        <f>IF($C682="","",$C682&amp;"|"&amp;$D682&amp;"")</f>
        <v/>
      </c>
      <c r="AK682">
        <f>IF($C682="","",IF(COUNTIF($AJ$2:$AJ682,$AJ682)=1,1,0))</f>
        <v/>
      </c>
      <c r="AL682">
        <f>IF($AK682=1,SUMPRODUCT(--($AO$2:$AO$1501&lt;$AO682))+1,"")</f>
        <v/>
      </c>
      <c r="AM682">
        <f>IF($C682="","",IF(OR($Q682=TRUE(),$Q682="TRUE"),1,0))</f>
        <v/>
      </c>
      <c r="AN682">
        <f>IF($C682="","",IF($Z682="Yes",1,0))</f>
        <v/>
      </c>
      <c r="AO682">
        <f>IF($AK682=1,IFERROR(IF(VALUE($C682)&lt;100000000,VALUE($C682),1000000000),IFERROR(IF(VALUE(MID($C682,2,20))&lt;100000000,VALUE(MID($C682,2,20)),1000000000),1000000000))+ROW()/100000,"")</f>
        <v/>
      </c>
    </row>
    <row r="683">
      <c r="F683" s="11" t="n"/>
      <c r="N683" s="7">
        <f>IF($C683="","",M683*U683/100)</f>
        <v/>
      </c>
      <c r="T683" s="7" t="n"/>
      <c r="U683" s="7" t="n"/>
      <c r="V683" s="7">
        <f>IF($C683="","",U683*AA683/100)</f>
        <v/>
      </c>
      <c r="W683" s="7">
        <f>IF($C683="","",U683-V683)</f>
        <v/>
      </c>
      <c r="X683" s="7">
        <f>IF($C683="","",W683-N683)</f>
        <v/>
      </c>
      <c r="AA683">
        <f>IF($C683="","",IF($AN683=1,0,IF($AM683=1,Settings!$C$6,Settings!$C$7))*100)</f>
        <v/>
      </c>
      <c r="AE683" s="7" t="n"/>
      <c r="AH683" s="11" t="n"/>
      <c r="AJ683">
        <f>IF($C683="","",$C683&amp;"|"&amp;$D683&amp;"")</f>
        <v/>
      </c>
      <c r="AK683">
        <f>IF($C683="","",IF(COUNTIF($AJ$2:$AJ683,$AJ683)=1,1,0))</f>
        <v/>
      </c>
      <c r="AL683">
        <f>IF($AK683=1,SUMPRODUCT(--($AO$2:$AO$1501&lt;$AO683))+1,"")</f>
        <v/>
      </c>
      <c r="AM683">
        <f>IF($C683="","",IF(OR($Q683=TRUE(),$Q683="TRUE"),1,0))</f>
        <v/>
      </c>
      <c r="AN683">
        <f>IF($C683="","",IF($Z683="Yes",1,0))</f>
        <v/>
      </c>
      <c r="AO683">
        <f>IF($AK683=1,IFERROR(IF(VALUE($C683)&lt;100000000,VALUE($C683),1000000000),IFERROR(IF(VALUE(MID($C683,2,20))&lt;100000000,VALUE(MID($C683,2,20)),1000000000),1000000000))+ROW()/100000,"")</f>
        <v/>
      </c>
    </row>
    <row r="684">
      <c r="F684" s="11" t="n"/>
      <c r="N684" s="7">
        <f>IF($C684="","",M684*U684/100)</f>
        <v/>
      </c>
      <c r="T684" s="7" t="n"/>
      <c r="U684" s="7" t="n"/>
      <c r="V684" s="7">
        <f>IF($C684="","",U684*AA684/100)</f>
        <v/>
      </c>
      <c r="W684" s="7">
        <f>IF($C684="","",U684-V684)</f>
        <v/>
      </c>
      <c r="X684" s="7">
        <f>IF($C684="","",W684-N684)</f>
        <v/>
      </c>
      <c r="AA684">
        <f>IF($C684="","",IF($AN684=1,0,IF($AM684=1,Settings!$C$6,Settings!$C$7))*100)</f>
        <v/>
      </c>
      <c r="AE684" s="7" t="n"/>
      <c r="AH684" s="11" t="n"/>
      <c r="AJ684">
        <f>IF($C684="","",$C684&amp;"|"&amp;$D684&amp;"")</f>
        <v/>
      </c>
      <c r="AK684">
        <f>IF($C684="","",IF(COUNTIF($AJ$2:$AJ684,$AJ684)=1,1,0))</f>
        <v/>
      </c>
      <c r="AL684">
        <f>IF($AK684=1,SUMPRODUCT(--($AO$2:$AO$1501&lt;$AO684))+1,"")</f>
        <v/>
      </c>
      <c r="AM684">
        <f>IF($C684="","",IF(OR($Q684=TRUE(),$Q684="TRUE"),1,0))</f>
        <v/>
      </c>
      <c r="AN684">
        <f>IF($C684="","",IF($Z684="Yes",1,0))</f>
        <v/>
      </c>
      <c r="AO684">
        <f>IF($AK684=1,IFERROR(IF(VALUE($C684)&lt;100000000,VALUE($C684),1000000000),IFERROR(IF(VALUE(MID($C684,2,20))&lt;100000000,VALUE(MID($C684,2,20)),1000000000),1000000000))+ROW()/100000,"")</f>
        <v/>
      </c>
    </row>
    <row r="685">
      <c r="F685" s="11" t="n"/>
      <c r="N685" s="7">
        <f>IF($C685="","",M685*U685/100)</f>
        <v/>
      </c>
      <c r="T685" s="7" t="n"/>
      <c r="U685" s="7" t="n"/>
      <c r="V685" s="7">
        <f>IF($C685="","",U685*AA685/100)</f>
        <v/>
      </c>
      <c r="W685" s="7">
        <f>IF($C685="","",U685-V685)</f>
        <v/>
      </c>
      <c r="X685" s="7">
        <f>IF($C685="","",W685-N685)</f>
        <v/>
      </c>
      <c r="AA685">
        <f>IF($C685="","",IF($AN685=1,0,IF($AM685=1,Settings!$C$6,Settings!$C$7))*100)</f>
        <v/>
      </c>
      <c r="AE685" s="7" t="n"/>
      <c r="AH685" s="11" t="n"/>
      <c r="AJ685">
        <f>IF($C685="","",$C685&amp;"|"&amp;$D685&amp;"")</f>
        <v/>
      </c>
      <c r="AK685">
        <f>IF($C685="","",IF(COUNTIF($AJ$2:$AJ685,$AJ685)=1,1,0))</f>
        <v/>
      </c>
      <c r="AL685">
        <f>IF($AK685=1,SUMPRODUCT(--($AO$2:$AO$1501&lt;$AO685))+1,"")</f>
        <v/>
      </c>
      <c r="AM685">
        <f>IF($C685="","",IF(OR($Q685=TRUE(),$Q685="TRUE"),1,0))</f>
        <v/>
      </c>
      <c r="AN685">
        <f>IF($C685="","",IF($Z685="Yes",1,0))</f>
        <v/>
      </c>
      <c r="AO685">
        <f>IF($AK685=1,IFERROR(IF(VALUE($C685)&lt;100000000,VALUE($C685),1000000000),IFERROR(IF(VALUE(MID($C685,2,20))&lt;100000000,VALUE(MID($C685,2,20)),1000000000),1000000000))+ROW()/100000,"")</f>
        <v/>
      </c>
    </row>
    <row r="686">
      <c r="F686" s="11" t="n"/>
      <c r="N686" s="7">
        <f>IF($C686="","",M686*U686/100)</f>
        <v/>
      </c>
      <c r="T686" s="7" t="n"/>
      <c r="U686" s="7" t="n"/>
      <c r="V686" s="7">
        <f>IF($C686="","",U686*AA686/100)</f>
        <v/>
      </c>
      <c r="W686" s="7">
        <f>IF($C686="","",U686-V686)</f>
        <v/>
      </c>
      <c r="X686" s="7">
        <f>IF($C686="","",W686-N686)</f>
        <v/>
      </c>
      <c r="AA686">
        <f>IF($C686="","",IF($AN686=1,0,IF($AM686=1,Settings!$C$6,Settings!$C$7))*100)</f>
        <v/>
      </c>
      <c r="AE686" s="7" t="n"/>
      <c r="AH686" s="11" t="n"/>
      <c r="AJ686">
        <f>IF($C686="","",$C686&amp;"|"&amp;$D686&amp;"")</f>
        <v/>
      </c>
      <c r="AK686">
        <f>IF($C686="","",IF(COUNTIF($AJ$2:$AJ686,$AJ686)=1,1,0))</f>
        <v/>
      </c>
      <c r="AL686">
        <f>IF($AK686=1,SUMPRODUCT(--($AO$2:$AO$1501&lt;$AO686))+1,"")</f>
        <v/>
      </c>
      <c r="AM686">
        <f>IF($C686="","",IF(OR($Q686=TRUE(),$Q686="TRUE"),1,0))</f>
        <v/>
      </c>
      <c r="AN686">
        <f>IF($C686="","",IF($Z686="Yes",1,0))</f>
        <v/>
      </c>
      <c r="AO686">
        <f>IF($AK686=1,IFERROR(IF(VALUE($C686)&lt;100000000,VALUE($C686),1000000000),IFERROR(IF(VALUE(MID($C686,2,20))&lt;100000000,VALUE(MID($C686,2,20)),1000000000),1000000000))+ROW()/100000,"")</f>
        <v/>
      </c>
    </row>
    <row r="687">
      <c r="F687" s="11" t="n"/>
      <c r="N687" s="7">
        <f>IF($C687="","",M687*U687/100)</f>
        <v/>
      </c>
      <c r="T687" s="7" t="n"/>
      <c r="U687" s="7" t="n"/>
      <c r="V687" s="7">
        <f>IF($C687="","",U687*AA687/100)</f>
        <v/>
      </c>
      <c r="W687" s="7">
        <f>IF($C687="","",U687-V687)</f>
        <v/>
      </c>
      <c r="X687" s="7">
        <f>IF($C687="","",W687-N687)</f>
        <v/>
      </c>
      <c r="AA687">
        <f>IF($C687="","",IF($AN687=1,0,IF($AM687=1,Settings!$C$6,Settings!$C$7))*100)</f>
        <v/>
      </c>
      <c r="AE687" s="7" t="n"/>
      <c r="AH687" s="11" t="n"/>
      <c r="AJ687">
        <f>IF($C687="","",$C687&amp;"|"&amp;$D687&amp;"")</f>
        <v/>
      </c>
      <c r="AK687">
        <f>IF($C687="","",IF(COUNTIF($AJ$2:$AJ687,$AJ687)=1,1,0))</f>
        <v/>
      </c>
      <c r="AL687">
        <f>IF($AK687=1,SUMPRODUCT(--($AO$2:$AO$1501&lt;$AO687))+1,"")</f>
        <v/>
      </c>
      <c r="AM687">
        <f>IF($C687="","",IF(OR($Q687=TRUE(),$Q687="TRUE"),1,0))</f>
        <v/>
      </c>
      <c r="AN687">
        <f>IF($C687="","",IF($Z687="Yes",1,0))</f>
        <v/>
      </c>
      <c r="AO687">
        <f>IF($AK687=1,IFERROR(IF(VALUE($C687)&lt;100000000,VALUE($C687),1000000000),IFERROR(IF(VALUE(MID($C687,2,20))&lt;100000000,VALUE(MID($C687,2,20)),1000000000),1000000000))+ROW()/100000,"")</f>
        <v/>
      </c>
    </row>
    <row r="688">
      <c r="F688" s="11" t="n"/>
      <c r="N688" s="7">
        <f>IF($C688="","",M688*U688/100)</f>
        <v/>
      </c>
      <c r="T688" s="7" t="n"/>
      <c r="U688" s="7" t="n"/>
      <c r="V688" s="7">
        <f>IF($C688="","",U688*AA688/100)</f>
        <v/>
      </c>
      <c r="W688" s="7">
        <f>IF($C688="","",U688-V688)</f>
        <v/>
      </c>
      <c r="X688" s="7">
        <f>IF($C688="","",W688-N688)</f>
        <v/>
      </c>
      <c r="AA688">
        <f>IF($C688="","",IF($AN688=1,0,IF($AM688=1,Settings!$C$6,Settings!$C$7))*100)</f>
        <v/>
      </c>
      <c r="AE688" s="7" t="n"/>
      <c r="AH688" s="11" t="n"/>
      <c r="AJ688">
        <f>IF($C688="","",$C688&amp;"|"&amp;$D688&amp;"")</f>
        <v/>
      </c>
      <c r="AK688">
        <f>IF($C688="","",IF(COUNTIF($AJ$2:$AJ688,$AJ688)=1,1,0))</f>
        <v/>
      </c>
      <c r="AL688">
        <f>IF($AK688=1,SUMPRODUCT(--($AO$2:$AO$1501&lt;$AO688))+1,"")</f>
        <v/>
      </c>
      <c r="AM688">
        <f>IF($C688="","",IF(OR($Q688=TRUE(),$Q688="TRUE"),1,0))</f>
        <v/>
      </c>
      <c r="AN688">
        <f>IF($C688="","",IF($Z688="Yes",1,0))</f>
        <v/>
      </c>
      <c r="AO688">
        <f>IF($AK688=1,IFERROR(IF(VALUE($C688)&lt;100000000,VALUE($C688),1000000000),IFERROR(IF(VALUE(MID($C688,2,20))&lt;100000000,VALUE(MID($C688,2,20)),1000000000),1000000000))+ROW()/100000,"")</f>
        <v/>
      </c>
    </row>
    <row r="689">
      <c r="F689" s="11" t="n"/>
      <c r="N689" s="7">
        <f>IF($C689="","",M689*U689/100)</f>
        <v/>
      </c>
      <c r="T689" s="7" t="n"/>
      <c r="U689" s="7" t="n"/>
      <c r="V689" s="7">
        <f>IF($C689="","",U689*AA689/100)</f>
        <v/>
      </c>
      <c r="W689" s="7">
        <f>IF($C689="","",U689-V689)</f>
        <v/>
      </c>
      <c r="X689" s="7">
        <f>IF($C689="","",W689-N689)</f>
        <v/>
      </c>
      <c r="AA689">
        <f>IF($C689="","",IF($AN689=1,0,IF($AM689=1,Settings!$C$6,Settings!$C$7))*100)</f>
        <v/>
      </c>
      <c r="AE689" s="7" t="n"/>
      <c r="AH689" s="11" t="n"/>
      <c r="AJ689">
        <f>IF($C689="","",$C689&amp;"|"&amp;$D689&amp;"")</f>
        <v/>
      </c>
      <c r="AK689">
        <f>IF($C689="","",IF(COUNTIF($AJ$2:$AJ689,$AJ689)=1,1,0))</f>
        <v/>
      </c>
      <c r="AL689">
        <f>IF($AK689=1,SUMPRODUCT(--($AO$2:$AO$1501&lt;$AO689))+1,"")</f>
        <v/>
      </c>
      <c r="AM689">
        <f>IF($C689="","",IF(OR($Q689=TRUE(),$Q689="TRUE"),1,0))</f>
        <v/>
      </c>
      <c r="AN689">
        <f>IF($C689="","",IF($Z689="Yes",1,0))</f>
        <v/>
      </c>
      <c r="AO689">
        <f>IF($AK689=1,IFERROR(IF(VALUE($C689)&lt;100000000,VALUE($C689),1000000000),IFERROR(IF(VALUE(MID($C689,2,20))&lt;100000000,VALUE(MID($C689,2,20)),1000000000),1000000000))+ROW()/100000,"")</f>
        <v/>
      </c>
    </row>
    <row r="690">
      <c r="F690" s="11" t="n"/>
      <c r="N690" s="7">
        <f>IF($C690="","",M690*U690/100)</f>
        <v/>
      </c>
      <c r="T690" s="7" t="n"/>
      <c r="U690" s="7" t="n"/>
      <c r="V690" s="7">
        <f>IF($C690="","",U690*AA690/100)</f>
        <v/>
      </c>
      <c r="W690" s="7">
        <f>IF($C690="","",U690-V690)</f>
        <v/>
      </c>
      <c r="X690" s="7">
        <f>IF($C690="","",W690-N690)</f>
        <v/>
      </c>
      <c r="AA690">
        <f>IF($C690="","",IF($AN690=1,0,IF($AM690=1,Settings!$C$6,Settings!$C$7))*100)</f>
        <v/>
      </c>
      <c r="AE690" s="7" t="n"/>
      <c r="AH690" s="11" t="n"/>
      <c r="AJ690">
        <f>IF($C690="","",$C690&amp;"|"&amp;$D690&amp;"")</f>
        <v/>
      </c>
      <c r="AK690">
        <f>IF($C690="","",IF(COUNTIF($AJ$2:$AJ690,$AJ690)=1,1,0))</f>
        <v/>
      </c>
      <c r="AL690">
        <f>IF($AK690=1,SUMPRODUCT(--($AO$2:$AO$1501&lt;$AO690))+1,"")</f>
        <v/>
      </c>
      <c r="AM690">
        <f>IF($C690="","",IF(OR($Q690=TRUE(),$Q690="TRUE"),1,0))</f>
        <v/>
      </c>
      <c r="AN690">
        <f>IF($C690="","",IF($Z690="Yes",1,0))</f>
        <v/>
      </c>
      <c r="AO690">
        <f>IF($AK690=1,IFERROR(IF(VALUE($C690)&lt;100000000,VALUE($C690),1000000000),IFERROR(IF(VALUE(MID($C690,2,20))&lt;100000000,VALUE(MID($C690,2,20)),1000000000),1000000000))+ROW()/100000,"")</f>
        <v/>
      </c>
    </row>
    <row r="691">
      <c r="F691" s="11" t="n"/>
      <c r="N691" s="7">
        <f>IF($C691="","",M691*U691/100)</f>
        <v/>
      </c>
      <c r="T691" s="7" t="n"/>
      <c r="U691" s="7" t="n"/>
      <c r="V691" s="7">
        <f>IF($C691="","",U691*AA691/100)</f>
        <v/>
      </c>
      <c r="W691" s="7">
        <f>IF($C691="","",U691-V691)</f>
        <v/>
      </c>
      <c r="X691" s="7">
        <f>IF($C691="","",W691-N691)</f>
        <v/>
      </c>
      <c r="AA691">
        <f>IF($C691="","",IF($AN691=1,0,IF($AM691=1,Settings!$C$6,Settings!$C$7))*100)</f>
        <v/>
      </c>
      <c r="AE691" s="7" t="n"/>
      <c r="AH691" s="11" t="n"/>
      <c r="AJ691">
        <f>IF($C691="","",$C691&amp;"|"&amp;$D691&amp;"")</f>
        <v/>
      </c>
      <c r="AK691">
        <f>IF($C691="","",IF(COUNTIF($AJ$2:$AJ691,$AJ691)=1,1,0))</f>
        <v/>
      </c>
      <c r="AL691">
        <f>IF($AK691=1,SUMPRODUCT(--($AO$2:$AO$1501&lt;$AO691))+1,"")</f>
        <v/>
      </c>
      <c r="AM691">
        <f>IF($C691="","",IF(OR($Q691=TRUE(),$Q691="TRUE"),1,0))</f>
        <v/>
      </c>
      <c r="AN691">
        <f>IF($C691="","",IF($Z691="Yes",1,0))</f>
        <v/>
      </c>
      <c r="AO691">
        <f>IF($AK691=1,IFERROR(IF(VALUE($C691)&lt;100000000,VALUE($C691),1000000000),IFERROR(IF(VALUE(MID($C691,2,20))&lt;100000000,VALUE(MID($C691,2,20)),1000000000),1000000000))+ROW()/100000,"")</f>
        <v/>
      </c>
    </row>
    <row r="692">
      <c r="F692" s="11" t="n"/>
      <c r="N692" s="7">
        <f>IF($C692="","",M692*U692/100)</f>
        <v/>
      </c>
      <c r="T692" s="7" t="n"/>
      <c r="U692" s="7" t="n"/>
      <c r="V692" s="7">
        <f>IF($C692="","",U692*AA692/100)</f>
        <v/>
      </c>
      <c r="W692" s="7">
        <f>IF($C692="","",U692-V692)</f>
        <v/>
      </c>
      <c r="X692" s="7">
        <f>IF($C692="","",W692-N692)</f>
        <v/>
      </c>
      <c r="AA692">
        <f>IF($C692="","",IF($AN692=1,0,IF($AM692=1,Settings!$C$6,Settings!$C$7))*100)</f>
        <v/>
      </c>
      <c r="AE692" s="7" t="n"/>
      <c r="AH692" s="11" t="n"/>
      <c r="AJ692">
        <f>IF($C692="","",$C692&amp;"|"&amp;$D692&amp;"")</f>
        <v/>
      </c>
      <c r="AK692">
        <f>IF($C692="","",IF(COUNTIF($AJ$2:$AJ692,$AJ692)=1,1,0))</f>
        <v/>
      </c>
      <c r="AL692">
        <f>IF($AK692=1,SUMPRODUCT(--($AO$2:$AO$1501&lt;$AO692))+1,"")</f>
        <v/>
      </c>
      <c r="AM692">
        <f>IF($C692="","",IF(OR($Q692=TRUE(),$Q692="TRUE"),1,0))</f>
        <v/>
      </c>
      <c r="AN692">
        <f>IF($C692="","",IF($Z692="Yes",1,0))</f>
        <v/>
      </c>
      <c r="AO692">
        <f>IF($AK692=1,IFERROR(IF(VALUE($C692)&lt;100000000,VALUE($C692),1000000000),IFERROR(IF(VALUE(MID($C692,2,20))&lt;100000000,VALUE(MID($C692,2,20)),1000000000),1000000000))+ROW()/100000,"")</f>
        <v/>
      </c>
    </row>
    <row r="693">
      <c r="F693" s="11" t="n"/>
      <c r="N693" s="7">
        <f>IF($C693="","",M693*U693/100)</f>
        <v/>
      </c>
      <c r="T693" s="7" t="n"/>
      <c r="U693" s="7" t="n"/>
      <c r="V693" s="7">
        <f>IF($C693="","",U693*AA693/100)</f>
        <v/>
      </c>
      <c r="W693" s="7">
        <f>IF($C693="","",U693-V693)</f>
        <v/>
      </c>
      <c r="X693" s="7">
        <f>IF($C693="","",W693-N693)</f>
        <v/>
      </c>
      <c r="AA693">
        <f>IF($C693="","",IF($AN693=1,0,IF($AM693=1,Settings!$C$6,Settings!$C$7))*100)</f>
        <v/>
      </c>
      <c r="AE693" s="7" t="n"/>
      <c r="AH693" s="11" t="n"/>
      <c r="AJ693">
        <f>IF($C693="","",$C693&amp;"|"&amp;$D693&amp;"")</f>
        <v/>
      </c>
      <c r="AK693">
        <f>IF($C693="","",IF(COUNTIF($AJ$2:$AJ693,$AJ693)=1,1,0))</f>
        <v/>
      </c>
      <c r="AL693">
        <f>IF($AK693=1,SUMPRODUCT(--($AO$2:$AO$1501&lt;$AO693))+1,"")</f>
        <v/>
      </c>
      <c r="AM693">
        <f>IF($C693="","",IF(OR($Q693=TRUE(),$Q693="TRUE"),1,0))</f>
        <v/>
      </c>
      <c r="AN693">
        <f>IF($C693="","",IF($Z693="Yes",1,0))</f>
        <v/>
      </c>
      <c r="AO693">
        <f>IF($AK693=1,IFERROR(IF(VALUE($C693)&lt;100000000,VALUE($C693),1000000000),IFERROR(IF(VALUE(MID($C693,2,20))&lt;100000000,VALUE(MID($C693,2,20)),1000000000),1000000000))+ROW()/100000,"")</f>
        <v/>
      </c>
    </row>
    <row r="694">
      <c r="F694" s="11" t="n"/>
      <c r="N694" s="7">
        <f>IF($C694="","",M694*U694/100)</f>
        <v/>
      </c>
      <c r="T694" s="7" t="n"/>
      <c r="U694" s="7" t="n"/>
      <c r="V694" s="7">
        <f>IF($C694="","",U694*AA694/100)</f>
        <v/>
      </c>
      <c r="W694" s="7">
        <f>IF($C694="","",U694-V694)</f>
        <v/>
      </c>
      <c r="X694" s="7">
        <f>IF($C694="","",W694-N694)</f>
        <v/>
      </c>
      <c r="AA694">
        <f>IF($C694="","",IF($AN694=1,0,IF($AM694=1,Settings!$C$6,Settings!$C$7))*100)</f>
        <v/>
      </c>
      <c r="AE694" s="7" t="n"/>
      <c r="AH694" s="11" t="n"/>
      <c r="AJ694">
        <f>IF($C694="","",$C694&amp;"|"&amp;$D694&amp;"")</f>
        <v/>
      </c>
      <c r="AK694">
        <f>IF($C694="","",IF(COUNTIF($AJ$2:$AJ694,$AJ694)=1,1,0))</f>
        <v/>
      </c>
      <c r="AL694">
        <f>IF($AK694=1,SUMPRODUCT(--($AO$2:$AO$1501&lt;$AO694))+1,"")</f>
        <v/>
      </c>
      <c r="AM694">
        <f>IF($C694="","",IF(OR($Q694=TRUE(),$Q694="TRUE"),1,0))</f>
        <v/>
      </c>
      <c r="AN694">
        <f>IF($C694="","",IF($Z694="Yes",1,0))</f>
        <v/>
      </c>
      <c r="AO694">
        <f>IF($AK694=1,IFERROR(IF(VALUE($C694)&lt;100000000,VALUE($C694),1000000000),IFERROR(IF(VALUE(MID($C694,2,20))&lt;100000000,VALUE(MID($C694,2,20)),1000000000),1000000000))+ROW()/100000,"")</f>
        <v/>
      </c>
    </row>
    <row r="695">
      <c r="F695" s="11" t="n"/>
      <c r="N695" s="7">
        <f>IF($C695="","",M695*U695/100)</f>
        <v/>
      </c>
      <c r="T695" s="7" t="n"/>
      <c r="U695" s="7" t="n"/>
      <c r="V695" s="7">
        <f>IF($C695="","",U695*AA695/100)</f>
        <v/>
      </c>
      <c r="W695" s="7">
        <f>IF($C695="","",U695-V695)</f>
        <v/>
      </c>
      <c r="X695" s="7">
        <f>IF($C695="","",W695-N695)</f>
        <v/>
      </c>
      <c r="AA695">
        <f>IF($C695="","",IF($AN695=1,0,IF($AM695=1,Settings!$C$6,Settings!$C$7))*100)</f>
        <v/>
      </c>
      <c r="AE695" s="7" t="n"/>
      <c r="AH695" s="11" t="n"/>
      <c r="AJ695">
        <f>IF($C695="","",$C695&amp;"|"&amp;$D695&amp;"")</f>
        <v/>
      </c>
      <c r="AK695">
        <f>IF($C695="","",IF(COUNTIF($AJ$2:$AJ695,$AJ695)=1,1,0))</f>
        <v/>
      </c>
      <c r="AL695">
        <f>IF($AK695=1,SUMPRODUCT(--($AO$2:$AO$1501&lt;$AO695))+1,"")</f>
        <v/>
      </c>
      <c r="AM695">
        <f>IF($C695="","",IF(OR($Q695=TRUE(),$Q695="TRUE"),1,0))</f>
        <v/>
      </c>
      <c r="AN695">
        <f>IF($C695="","",IF($Z695="Yes",1,0))</f>
        <v/>
      </c>
      <c r="AO695">
        <f>IF($AK695=1,IFERROR(IF(VALUE($C695)&lt;100000000,VALUE($C695),1000000000),IFERROR(IF(VALUE(MID($C695,2,20))&lt;100000000,VALUE(MID($C695,2,20)),1000000000),1000000000))+ROW()/100000,"")</f>
        <v/>
      </c>
    </row>
    <row r="696">
      <c r="F696" s="11" t="n"/>
      <c r="N696" s="7">
        <f>IF($C696="","",M696*U696/100)</f>
        <v/>
      </c>
      <c r="T696" s="7" t="n"/>
      <c r="U696" s="7" t="n"/>
      <c r="V696" s="7">
        <f>IF($C696="","",U696*AA696/100)</f>
        <v/>
      </c>
      <c r="W696" s="7">
        <f>IF($C696="","",U696-V696)</f>
        <v/>
      </c>
      <c r="X696" s="7">
        <f>IF($C696="","",W696-N696)</f>
        <v/>
      </c>
      <c r="AA696">
        <f>IF($C696="","",IF($AN696=1,0,IF($AM696=1,Settings!$C$6,Settings!$C$7))*100)</f>
        <v/>
      </c>
      <c r="AE696" s="7" t="n"/>
      <c r="AH696" s="11" t="n"/>
      <c r="AJ696">
        <f>IF($C696="","",$C696&amp;"|"&amp;$D696&amp;"")</f>
        <v/>
      </c>
      <c r="AK696">
        <f>IF($C696="","",IF(COUNTIF($AJ$2:$AJ696,$AJ696)=1,1,0))</f>
        <v/>
      </c>
      <c r="AL696">
        <f>IF($AK696=1,SUMPRODUCT(--($AO$2:$AO$1501&lt;$AO696))+1,"")</f>
        <v/>
      </c>
      <c r="AM696">
        <f>IF($C696="","",IF(OR($Q696=TRUE(),$Q696="TRUE"),1,0))</f>
        <v/>
      </c>
      <c r="AN696">
        <f>IF($C696="","",IF($Z696="Yes",1,0))</f>
        <v/>
      </c>
      <c r="AO696">
        <f>IF($AK696=1,IFERROR(IF(VALUE($C696)&lt;100000000,VALUE($C696),1000000000),IFERROR(IF(VALUE(MID($C696,2,20))&lt;100000000,VALUE(MID($C696,2,20)),1000000000),1000000000))+ROW()/100000,"")</f>
        <v/>
      </c>
    </row>
    <row r="697">
      <c r="F697" s="11" t="n"/>
      <c r="N697" s="7">
        <f>IF($C697="","",M697*U697/100)</f>
        <v/>
      </c>
      <c r="T697" s="7" t="n"/>
      <c r="U697" s="7" t="n"/>
      <c r="V697" s="7">
        <f>IF($C697="","",U697*AA697/100)</f>
        <v/>
      </c>
      <c r="W697" s="7">
        <f>IF($C697="","",U697-V697)</f>
        <v/>
      </c>
      <c r="X697" s="7">
        <f>IF($C697="","",W697-N697)</f>
        <v/>
      </c>
      <c r="AA697">
        <f>IF($C697="","",IF($AN697=1,0,IF($AM697=1,Settings!$C$6,Settings!$C$7))*100)</f>
        <v/>
      </c>
      <c r="AE697" s="7" t="n"/>
      <c r="AH697" s="11" t="n"/>
      <c r="AJ697">
        <f>IF($C697="","",$C697&amp;"|"&amp;$D697&amp;"")</f>
        <v/>
      </c>
      <c r="AK697">
        <f>IF($C697="","",IF(COUNTIF($AJ$2:$AJ697,$AJ697)=1,1,0))</f>
        <v/>
      </c>
      <c r="AL697">
        <f>IF($AK697=1,SUMPRODUCT(--($AO$2:$AO$1501&lt;$AO697))+1,"")</f>
        <v/>
      </c>
      <c r="AM697">
        <f>IF($C697="","",IF(OR($Q697=TRUE(),$Q697="TRUE"),1,0))</f>
        <v/>
      </c>
      <c r="AN697">
        <f>IF($C697="","",IF($Z697="Yes",1,0))</f>
        <v/>
      </c>
      <c r="AO697">
        <f>IF($AK697=1,IFERROR(IF(VALUE($C697)&lt;100000000,VALUE($C697),1000000000),IFERROR(IF(VALUE(MID($C697,2,20))&lt;100000000,VALUE(MID($C697,2,20)),1000000000),1000000000))+ROW()/100000,"")</f>
        <v/>
      </c>
    </row>
    <row r="698">
      <c r="F698" s="11" t="n"/>
      <c r="N698" s="7">
        <f>IF($C698="","",M698*U698/100)</f>
        <v/>
      </c>
      <c r="T698" s="7" t="n"/>
      <c r="U698" s="7" t="n"/>
      <c r="V698" s="7">
        <f>IF($C698="","",U698*AA698/100)</f>
        <v/>
      </c>
      <c r="W698" s="7">
        <f>IF($C698="","",U698-V698)</f>
        <v/>
      </c>
      <c r="X698" s="7">
        <f>IF($C698="","",W698-N698)</f>
        <v/>
      </c>
      <c r="AA698">
        <f>IF($C698="","",IF($AN698=1,0,IF($AM698=1,Settings!$C$6,Settings!$C$7))*100)</f>
        <v/>
      </c>
      <c r="AE698" s="7" t="n"/>
      <c r="AH698" s="11" t="n"/>
      <c r="AJ698">
        <f>IF($C698="","",$C698&amp;"|"&amp;$D698&amp;"")</f>
        <v/>
      </c>
      <c r="AK698">
        <f>IF($C698="","",IF(COUNTIF($AJ$2:$AJ698,$AJ698)=1,1,0))</f>
        <v/>
      </c>
      <c r="AL698">
        <f>IF($AK698=1,SUMPRODUCT(--($AO$2:$AO$1501&lt;$AO698))+1,"")</f>
        <v/>
      </c>
      <c r="AM698">
        <f>IF($C698="","",IF(OR($Q698=TRUE(),$Q698="TRUE"),1,0))</f>
        <v/>
      </c>
      <c r="AN698">
        <f>IF($C698="","",IF($Z698="Yes",1,0))</f>
        <v/>
      </c>
      <c r="AO698">
        <f>IF($AK698=1,IFERROR(IF(VALUE($C698)&lt;100000000,VALUE($C698),1000000000),IFERROR(IF(VALUE(MID($C698,2,20))&lt;100000000,VALUE(MID($C698,2,20)),1000000000),1000000000))+ROW()/100000,"")</f>
        <v/>
      </c>
    </row>
    <row r="699">
      <c r="F699" s="11" t="n"/>
      <c r="N699" s="7">
        <f>IF($C699="","",M699*U699/100)</f>
        <v/>
      </c>
      <c r="T699" s="7" t="n"/>
      <c r="U699" s="7" t="n"/>
      <c r="V699" s="7">
        <f>IF($C699="","",U699*AA699/100)</f>
        <v/>
      </c>
      <c r="W699" s="7">
        <f>IF($C699="","",U699-V699)</f>
        <v/>
      </c>
      <c r="X699" s="7">
        <f>IF($C699="","",W699-N699)</f>
        <v/>
      </c>
      <c r="AA699">
        <f>IF($C699="","",IF($AN699=1,0,IF($AM699=1,Settings!$C$6,Settings!$C$7))*100)</f>
        <v/>
      </c>
      <c r="AE699" s="7" t="n"/>
      <c r="AH699" s="11" t="n"/>
      <c r="AJ699">
        <f>IF($C699="","",$C699&amp;"|"&amp;$D699&amp;"")</f>
        <v/>
      </c>
      <c r="AK699">
        <f>IF($C699="","",IF(COUNTIF($AJ$2:$AJ699,$AJ699)=1,1,0))</f>
        <v/>
      </c>
      <c r="AL699">
        <f>IF($AK699=1,SUMPRODUCT(--($AO$2:$AO$1501&lt;$AO699))+1,"")</f>
        <v/>
      </c>
      <c r="AM699">
        <f>IF($C699="","",IF(OR($Q699=TRUE(),$Q699="TRUE"),1,0))</f>
        <v/>
      </c>
      <c r="AN699">
        <f>IF($C699="","",IF($Z699="Yes",1,0))</f>
        <v/>
      </c>
      <c r="AO699">
        <f>IF($AK699=1,IFERROR(IF(VALUE($C699)&lt;100000000,VALUE($C699),1000000000),IFERROR(IF(VALUE(MID($C699,2,20))&lt;100000000,VALUE(MID($C699,2,20)),1000000000),1000000000))+ROW()/100000,"")</f>
        <v/>
      </c>
    </row>
    <row r="700">
      <c r="F700" s="11" t="n"/>
      <c r="N700" s="7">
        <f>IF($C700="","",M700*U700/100)</f>
        <v/>
      </c>
      <c r="T700" s="7" t="n"/>
      <c r="U700" s="7" t="n"/>
      <c r="V700" s="7">
        <f>IF($C700="","",U700*AA700/100)</f>
        <v/>
      </c>
      <c r="W700" s="7">
        <f>IF($C700="","",U700-V700)</f>
        <v/>
      </c>
      <c r="X700" s="7">
        <f>IF($C700="","",W700-N700)</f>
        <v/>
      </c>
      <c r="AA700">
        <f>IF($C700="","",IF($AN700=1,0,IF($AM700=1,Settings!$C$6,Settings!$C$7))*100)</f>
        <v/>
      </c>
      <c r="AE700" s="7" t="n"/>
      <c r="AH700" s="11" t="n"/>
      <c r="AJ700">
        <f>IF($C700="","",$C700&amp;"|"&amp;$D700&amp;"")</f>
        <v/>
      </c>
      <c r="AK700">
        <f>IF($C700="","",IF(COUNTIF($AJ$2:$AJ700,$AJ700)=1,1,0))</f>
        <v/>
      </c>
      <c r="AL700">
        <f>IF($AK700=1,SUMPRODUCT(--($AO$2:$AO$1501&lt;$AO700))+1,"")</f>
        <v/>
      </c>
      <c r="AM700">
        <f>IF($C700="","",IF(OR($Q700=TRUE(),$Q700="TRUE"),1,0))</f>
        <v/>
      </c>
      <c r="AN700">
        <f>IF($C700="","",IF($Z700="Yes",1,0))</f>
        <v/>
      </c>
      <c r="AO700">
        <f>IF($AK700=1,IFERROR(IF(VALUE($C700)&lt;100000000,VALUE($C700),1000000000),IFERROR(IF(VALUE(MID($C700,2,20))&lt;100000000,VALUE(MID($C700,2,20)),1000000000),1000000000))+ROW()/100000,"")</f>
        <v/>
      </c>
    </row>
    <row r="701">
      <c r="F701" s="11" t="n"/>
      <c r="N701" s="7">
        <f>IF($C701="","",M701*U701/100)</f>
        <v/>
      </c>
      <c r="T701" s="7" t="n"/>
      <c r="U701" s="7" t="n"/>
      <c r="V701" s="7">
        <f>IF($C701="","",U701*AA701/100)</f>
        <v/>
      </c>
      <c r="W701" s="7">
        <f>IF($C701="","",U701-V701)</f>
        <v/>
      </c>
      <c r="X701" s="7">
        <f>IF($C701="","",W701-N701)</f>
        <v/>
      </c>
      <c r="AA701">
        <f>IF($C701="","",IF($AN701=1,0,IF($AM701=1,Settings!$C$6,Settings!$C$7))*100)</f>
        <v/>
      </c>
      <c r="AE701" s="7" t="n"/>
      <c r="AH701" s="11" t="n"/>
      <c r="AJ701">
        <f>IF($C701="","",$C701&amp;"|"&amp;$D701&amp;"")</f>
        <v/>
      </c>
      <c r="AK701">
        <f>IF($C701="","",IF(COUNTIF($AJ$2:$AJ701,$AJ701)=1,1,0))</f>
        <v/>
      </c>
      <c r="AL701">
        <f>IF($AK701=1,SUMPRODUCT(--($AO$2:$AO$1501&lt;$AO701))+1,"")</f>
        <v/>
      </c>
      <c r="AM701">
        <f>IF($C701="","",IF(OR($Q701=TRUE(),$Q701="TRUE"),1,0))</f>
        <v/>
      </c>
      <c r="AN701">
        <f>IF($C701="","",IF($Z701="Yes",1,0))</f>
        <v/>
      </c>
      <c r="AO701">
        <f>IF($AK701=1,IFERROR(IF(VALUE($C701)&lt;100000000,VALUE($C701),1000000000),IFERROR(IF(VALUE(MID($C701,2,20))&lt;100000000,VALUE(MID($C701,2,20)),1000000000),1000000000))+ROW()/100000,"")</f>
        <v/>
      </c>
    </row>
    <row r="702">
      <c r="F702" s="11" t="n"/>
      <c r="N702" s="7">
        <f>IF($C702="","",M702*U702/100)</f>
        <v/>
      </c>
      <c r="T702" s="7" t="n"/>
      <c r="U702" s="7" t="n"/>
      <c r="V702" s="7">
        <f>IF($C702="","",U702*AA702/100)</f>
        <v/>
      </c>
      <c r="W702" s="7">
        <f>IF($C702="","",U702-V702)</f>
        <v/>
      </c>
      <c r="X702" s="7">
        <f>IF($C702="","",W702-N702)</f>
        <v/>
      </c>
      <c r="AA702">
        <f>IF($C702="","",IF($AN702=1,0,IF($AM702=1,Settings!$C$6,Settings!$C$7))*100)</f>
        <v/>
      </c>
      <c r="AE702" s="7" t="n"/>
      <c r="AH702" s="11" t="n"/>
      <c r="AJ702">
        <f>IF($C702="","",$C702&amp;"|"&amp;$D702&amp;"")</f>
        <v/>
      </c>
      <c r="AK702">
        <f>IF($C702="","",IF(COUNTIF($AJ$2:$AJ702,$AJ702)=1,1,0))</f>
        <v/>
      </c>
      <c r="AL702">
        <f>IF($AK702=1,SUMPRODUCT(--($AO$2:$AO$1501&lt;$AO702))+1,"")</f>
        <v/>
      </c>
      <c r="AM702">
        <f>IF($C702="","",IF(OR($Q702=TRUE(),$Q702="TRUE"),1,0))</f>
        <v/>
      </c>
      <c r="AN702">
        <f>IF($C702="","",IF($Z702="Yes",1,0))</f>
        <v/>
      </c>
      <c r="AO702">
        <f>IF($AK702=1,IFERROR(IF(VALUE($C702)&lt;100000000,VALUE($C702),1000000000),IFERROR(IF(VALUE(MID($C702,2,20))&lt;100000000,VALUE(MID($C702,2,20)),1000000000),1000000000))+ROW()/100000,"")</f>
        <v/>
      </c>
    </row>
    <row r="703">
      <c r="F703" s="11" t="n"/>
      <c r="N703" s="7">
        <f>IF($C703="","",M703*U703/100)</f>
        <v/>
      </c>
      <c r="T703" s="7" t="n"/>
      <c r="U703" s="7" t="n"/>
      <c r="V703" s="7">
        <f>IF($C703="","",U703*AA703/100)</f>
        <v/>
      </c>
      <c r="W703" s="7">
        <f>IF($C703="","",U703-V703)</f>
        <v/>
      </c>
      <c r="X703" s="7">
        <f>IF($C703="","",W703-N703)</f>
        <v/>
      </c>
      <c r="AA703">
        <f>IF($C703="","",IF($AN703=1,0,IF($AM703=1,Settings!$C$6,Settings!$C$7))*100)</f>
        <v/>
      </c>
      <c r="AE703" s="7" t="n"/>
      <c r="AH703" s="11" t="n"/>
      <c r="AJ703">
        <f>IF($C703="","",$C703&amp;"|"&amp;$D703&amp;"")</f>
        <v/>
      </c>
      <c r="AK703">
        <f>IF($C703="","",IF(COUNTIF($AJ$2:$AJ703,$AJ703)=1,1,0))</f>
        <v/>
      </c>
      <c r="AL703">
        <f>IF($AK703=1,SUMPRODUCT(--($AO$2:$AO$1501&lt;$AO703))+1,"")</f>
        <v/>
      </c>
      <c r="AM703">
        <f>IF($C703="","",IF(OR($Q703=TRUE(),$Q703="TRUE"),1,0))</f>
        <v/>
      </c>
      <c r="AN703">
        <f>IF($C703="","",IF($Z703="Yes",1,0))</f>
        <v/>
      </c>
      <c r="AO703">
        <f>IF($AK703=1,IFERROR(IF(VALUE($C703)&lt;100000000,VALUE($C703),1000000000),IFERROR(IF(VALUE(MID($C703,2,20))&lt;100000000,VALUE(MID($C703,2,20)),1000000000),1000000000))+ROW()/100000,"")</f>
        <v/>
      </c>
    </row>
    <row r="704">
      <c r="F704" s="11" t="n"/>
      <c r="N704" s="7">
        <f>IF($C704="","",M704*U704/100)</f>
        <v/>
      </c>
      <c r="T704" s="7" t="n"/>
      <c r="U704" s="7" t="n"/>
      <c r="V704" s="7">
        <f>IF($C704="","",U704*AA704/100)</f>
        <v/>
      </c>
      <c r="W704" s="7">
        <f>IF($C704="","",U704-V704)</f>
        <v/>
      </c>
      <c r="X704" s="7">
        <f>IF($C704="","",W704-N704)</f>
        <v/>
      </c>
      <c r="AA704">
        <f>IF($C704="","",IF($AN704=1,0,IF($AM704=1,Settings!$C$6,Settings!$C$7))*100)</f>
        <v/>
      </c>
      <c r="AE704" s="7" t="n"/>
      <c r="AH704" s="11" t="n"/>
      <c r="AJ704">
        <f>IF($C704="","",$C704&amp;"|"&amp;$D704&amp;"")</f>
        <v/>
      </c>
      <c r="AK704">
        <f>IF($C704="","",IF(COUNTIF($AJ$2:$AJ704,$AJ704)=1,1,0))</f>
        <v/>
      </c>
      <c r="AL704">
        <f>IF($AK704=1,SUMPRODUCT(--($AO$2:$AO$1501&lt;$AO704))+1,"")</f>
        <v/>
      </c>
      <c r="AM704">
        <f>IF($C704="","",IF(OR($Q704=TRUE(),$Q704="TRUE"),1,0))</f>
        <v/>
      </c>
      <c r="AN704">
        <f>IF($C704="","",IF($Z704="Yes",1,0))</f>
        <v/>
      </c>
      <c r="AO704">
        <f>IF($AK704=1,IFERROR(IF(VALUE($C704)&lt;100000000,VALUE($C704),1000000000),IFERROR(IF(VALUE(MID($C704,2,20))&lt;100000000,VALUE(MID($C704,2,20)),1000000000),1000000000))+ROW()/100000,"")</f>
        <v/>
      </c>
    </row>
    <row r="705">
      <c r="F705" s="11" t="n"/>
      <c r="N705" s="7">
        <f>IF($C705="","",M705*U705/100)</f>
        <v/>
      </c>
      <c r="T705" s="7" t="n"/>
      <c r="U705" s="7" t="n"/>
      <c r="V705" s="7">
        <f>IF($C705="","",U705*AA705/100)</f>
        <v/>
      </c>
      <c r="W705" s="7">
        <f>IF($C705="","",U705-V705)</f>
        <v/>
      </c>
      <c r="X705" s="7">
        <f>IF($C705="","",W705-N705)</f>
        <v/>
      </c>
      <c r="AA705">
        <f>IF($C705="","",IF($AN705=1,0,IF($AM705=1,Settings!$C$6,Settings!$C$7))*100)</f>
        <v/>
      </c>
      <c r="AE705" s="7" t="n"/>
      <c r="AH705" s="11" t="n"/>
      <c r="AJ705">
        <f>IF($C705="","",$C705&amp;"|"&amp;$D705&amp;"")</f>
        <v/>
      </c>
      <c r="AK705">
        <f>IF($C705="","",IF(COUNTIF($AJ$2:$AJ705,$AJ705)=1,1,0))</f>
        <v/>
      </c>
      <c r="AL705">
        <f>IF($AK705=1,SUMPRODUCT(--($AO$2:$AO$1501&lt;$AO705))+1,"")</f>
        <v/>
      </c>
      <c r="AM705">
        <f>IF($C705="","",IF(OR($Q705=TRUE(),$Q705="TRUE"),1,0))</f>
        <v/>
      </c>
      <c r="AN705">
        <f>IF($C705="","",IF($Z705="Yes",1,0))</f>
        <v/>
      </c>
      <c r="AO705">
        <f>IF($AK705=1,IFERROR(IF(VALUE($C705)&lt;100000000,VALUE($C705),1000000000),IFERROR(IF(VALUE(MID($C705,2,20))&lt;100000000,VALUE(MID($C705,2,20)),1000000000),1000000000))+ROW()/100000,"")</f>
        <v/>
      </c>
    </row>
    <row r="706">
      <c r="F706" s="11" t="n"/>
      <c r="N706" s="7">
        <f>IF($C706="","",M706*U706/100)</f>
        <v/>
      </c>
      <c r="T706" s="7" t="n"/>
      <c r="U706" s="7" t="n"/>
      <c r="V706" s="7">
        <f>IF($C706="","",U706*AA706/100)</f>
        <v/>
      </c>
      <c r="W706" s="7">
        <f>IF($C706="","",U706-V706)</f>
        <v/>
      </c>
      <c r="X706" s="7">
        <f>IF($C706="","",W706-N706)</f>
        <v/>
      </c>
      <c r="AA706">
        <f>IF($C706="","",IF($AN706=1,0,IF($AM706=1,Settings!$C$6,Settings!$C$7))*100)</f>
        <v/>
      </c>
      <c r="AE706" s="7" t="n"/>
      <c r="AH706" s="11" t="n"/>
      <c r="AJ706">
        <f>IF($C706="","",$C706&amp;"|"&amp;$D706&amp;"")</f>
        <v/>
      </c>
      <c r="AK706">
        <f>IF($C706="","",IF(COUNTIF($AJ$2:$AJ706,$AJ706)=1,1,0))</f>
        <v/>
      </c>
      <c r="AL706">
        <f>IF($AK706=1,SUMPRODUCT(--($AO$2:$AO$1501&lt;$AO706))+1,"")</f>
        <v/>
      </c>
      <c r="AM706">
        <f>IF($C706="","",IF(OR($Q706=TRUE(),$Q706="TRUE"),1,0))</f>
        <v/>
      </c>
      <c r="AN706">
        <f>IF($C706="","",IF($Z706="Yes",1,0))</f>
        <v/>
      </c>
      <c r="AO706">
        <f>IF($AK706=1,IFERROR(IF(VALUE($C706)&lt;100000000,VALUE($C706),1000000000),IFERROR(IF(VALUE(MID($C706,2,20))&lt;100000000,VALUE(MID($C706,2,20)),1000000000),1000000000))+ROW()/100000,"")</f>
        <v/>
      </c>
    </row>
    <row r="707">
      <c r="F707" s="11" t="n"/>
      <c r="N707" s="7">
        <f>IF($C707="","",M707*U707/100)</f>
        <v/>
      </c>
      <c r="T707" s="7" t="n"/>
      <c r="U707" s="7" t="n"/>
      <c r="V707" s="7">
        <f>IF($C707="","",U707*AA707/100)</f>
        <v/>
      </c>
      <c r="W707" s="7">
        <f>IF($C707="","",U707-V707)</f>
        <v/>
      </c>
      <c r="X707" s="7">
        <f>IF($C707="","",W707-N707)</f>
        <v/>
      </c>
      <c r="AA707">
        <f>IF($C707="","",IF($AN707=1,0,IF($AM707=1,Settings!$C$6,Settings!$C$7))*100)</f>
        <v/>
      </c>
      <c r="AE707" s="7" t="n"/>
      <c r="AH707" s="11" t="n"/>
      <c r="AJ707">
        <f>IF($C707="","",$C707&amp;"|"&amp;$D707&amp;"")</f>
        <v/>
      </c>
      <c r="AK707">
        <f>IF($C707="","",IF(COUNTIF($AJ$2:$AJ707,$AJ707)=1,1,0))</f>
        <v/>
      </c>
      <c r="AL707">
        <f>IF($AK707=1,SUMPRODUCT(--($AO$2:$AO$1501&lt;$AO707))+1,"")</f>
        <v/>
      </c>
      <c r="AM707">
        <f>IF($C707="","",IF(OR($Q707=TRUE(),$Q707="TRUE"),1,0))</f>
        <v/>
      </c>
      <c r="AN707">
        <f>IF($C707="","",IF($Z707="Yes",1,0))</f>
        <v/>
      </c>
      <c r="AO707">
        <f>IF($AK707=1,IFERROR(IF(VALUE($C707)&lt;100000000,VALUE($C707),1000000000),IFERROR(IF(VALUE(MID($C707,2,20))&lt;100000000,VALUE(MID($C707,2,20)),1000000000),1000000000))+ROW()/100000,"")</f>
        <v/>
      </c>
    </row>
    <row r="708">
      <c r="F708" s="11" t="n"/>
      <c r="N708" s="7">
        <f>IF($C708="","",M708*U708/100)</f>
        <v/>
      </c>
      <c r="T708" s="7" t="n"/>
      <c r="U708" s="7" t="n"/>
      <c r="V708" s="7">
        <f>IF($C708="","",U708*AA708/100)</f>
        <v/>
      </c>
      <c r="W708" s="7">
        <f>IF($C708="","",U708-V708)</f>
        <v/>
      </c>
      <c r="X708" s="7">
        <f>IF($C708="","",W708-N708)</f>
        <v/>
      </c>
      <c r="AA708">
        <f>IF($C708="","",IF($AN708=1,0,IF($AM708=1,Settings!$C$6,Settings!$C$7))*100)</f>
        <v/>
      </c>
      <c r="AE708" s="7" t="n"/>
      <c r="AH708" s="11" t="n"/>
      <c r="AJ708">
        <f>IF($C708="","",$C708&amp;"|"&amp;$D708&amp;"")</f>
        <v/>
      </c>
      <c r="AK708">
        <f>IF($C708="","",IF(COUNTIF($AJ$2:$AJ708,$AJ708)=1,1,0))</f>
        <v/>
      </c>
      <c r="AL708">
        <f>IF($AK708=1,SUMPRODUCT(--($AO$2:$AO$1501&lt;$AO708))+1,"")</f>
        <v/>
      </c>
      <c r="AM708">
        <f>IF($C708="","",IF(OR($Q708=TRUE(),$Q708="TRUE"),1,0))</f>
        <v/>
      </c>
      <c r="AN708">
        <f>IF($C708="","",IF($Z708="Yes",1,0))</f>
        <v/>
      </c>
      <c r="AO708">
        <f>IF($AK708=1,IFERROR(IF(VALUE($C708)&lt;100000000,VALUE($C708),1000000000),IFERROR(IF(VALUE(MID($C708,2,20))&lt;100000000,VALUE(MID($C708,2,20)),1000000000),1000000000))+ROW()/100000,"")</f>
        <v/>
      </c>
    </row>
    <row r="709">
      <c r="F709" s="11" t="n"/>
      <c r="N709" s="7">
        <f>IF($C709="","",M709*U709/100)</f>
        <v/>
      </c>
      <c r="T709" s="7" t="n"/>
      <c r="U709" s="7" t="n"/>
      <c r="V709" s="7">
        <f>IF($C709="","",U709*AA709/100)</f>
        <v/>
      </c>
      <c r="W709" s="7">
        <f>IF($C709="","",U709-V709)</f>
        <v/>
      </c>
      <c r="X709" s="7">
        <f>IF($C709="","",W709-N709)</f>
        <v/>
      </c>
      <c r="AA709">
        <f>IF($C709="","",IF($AN709=1,0,IF($AM709=1,Settings!$C$6,Settings!$C$7))*100)</f>
        <v/>
      </c>
      <c r="AE709" s="7" t="n"/>
      <c r="AH709" s="11" t="n"/>
      <c r="AJ709">
        <f>IF($C709="","",$C709&amp;"|"&amp;$D709&amp;"")</f>
        <v/>
      </c>
      <c r="AK709">
        <f>IF($C709="","",IF(COUNTIF($AJ$2:$AJ709,$AJ709)=1,1,0))</f>
        <v/>
      </c>
      <c r="AL709">
        <f>IF($AK709=1,SUMPRODUCT(--($AO$2:$AO$1501&lt;$AO709))+1,"")</f>
        <v/>
      </c>
      <c r="AM709">
        <f>IF($C709="","",IF(OR($Q709=TRUE(),$Q709="TRUE"),1,0))</f>
        <v/>
      </c>
      <c r="AN709">
        <f>IF($C709="","",IF($Z709="Yes",1,0))</f>
        <v/>
      </c>
      <c r="AO709">
        <f>IF($AK709=1,IFERROR(IF(VALUE($C709)&lt;100000000,VALUE($C709),1000000000),IFERROR(IF(VALUE(MID($C709,2,20))&lt;100000000,VALUE(MID($C709,2,20)),1000000000),1000000000))+ROW()/100000,"")</f>
        <v/>
      </c>
    </row>
    <row r="710">
      <c r="F710" s="11" t="n"/>
      <c r="N710" s="7">
        <f>IF($C710="","",M710*U710/100)</f>
        <v/>
      </c>
      <c r="T710" s="7" t="n"/>
      <c r="U710" s="7" t="n"/>
      <c r="V710" s="7">
        <f>IF($C710="","",U710*AA710/100)</f>
        <v/>
      </c>
      <c r="W710" s="7">
        <f>IF($C710="","",U710-V710)</f>
        <v/>
      </c>
      <c r="X710" s="7">
        <f>IF($C710="","",W710-N710)</f>
        <v/>
      </c>
      <c r="AA710">
        <f>IF($C710="","",IF($AN710=1,0,IF($AM710=1,Settings!$C$6,Settings!$C$7))*100)</f>
        <v/>
      </c>
      <c r="AE710" s="7" t="n"/>
      <c r="AH710" s="11" t="n"/>
      <c r="AJ710">
        <f>IF($C710="","",$C710&amp;"|"&amp;$D710&amp;"")</f>
        <v/>
      </c>
      <c r="AK710">
        <f>IF($C710="","",IF(COUNTIF($AJ$2:$AJ710,$AJ710)=1,1,0))</f>
        <v/>
      </c>
      <c r="AL710">
        <f>IF($AK710=1,SUMPRODUCT(--($AO$2:$AO$1501&lt;$AO710))+1,"")</f>
        <v/>
      </c>
      <c r="AM710">
        <f>IF($C710="","",IF(OR($Q710=TRUE(),$Q710="TRUE"),1,0))</f>
        <v/>
      </c>
      <c r="AN710">
        <f>IF($C710="","",IF($Z710="Yes",1,0))</f>
        <v/>
      </c>
      <c r="AO710">
        <f>IF($AK710=1,IFERROR(IF(VALUE($C710)&lt;100000000,VALUE($C710),1000000000),IFERROR(IF(VALUE(MID($C710,2,20))&lt;100000000,VALUE(MID($C710,2,20)),1000000000),1000000000))+ROW()/100000,"")</f>
        <v/>
      </c>
    </row>
    <row r="711">
      <c r="F711" s="11" t="n"/>
      <c r="N711" s="7">
        <f>IF($C711="","",M711*U711/100)</f>
        <v/>
      </c>
      <c r="T711" s="7" t="n"/>
      <c r="U711" s="7" t="n"/>
      <c r="V711" s="7">
        <f>IF($C711="","",U711*AA711/100)</f>
        <v/>
      </c>
      <c r="W711" s="7">
        <f>IF($C711="","",U711-V711)</f>
        <v/>
      </c>
      <c r="X711" s="7">
        <f>IF($C711="","",W711-N711)</f>
        <v/>
      </c>
      <c r="AA711">
        <f>IF($C711="","",IF($AN711=1,0,IF($AM711=1,Settings!$C$6,Settings!$C$7))*100)</f>
        <v/>
      </c>
      <c r="AE711" s="7" t="n"/>
      <c r="AH711" s="11" t="n"/>
      <c r="AJ711">
        <f>IF($C711="","",$C711&amp;"|"&amp;$D711&amp;"")</f>
        <v/>
      </c>
      <c r="AK711">
        <f>IF($C711="","",IF(COUNTIF($AJ$2:$AJ711,$AJ711)=1,1,0))</f>
        <v/>
      </c>
      <c r="AL711">
        <f>IF($AK711=1,SUMPRODUCT(--($AO$2:$AO$1501&lt;$AO711))+1,"")</f>
        <v/>
      </c>
      <c r="AM711">
        <f>IF($C711="","",IF(OR($Q711=TRUE(),$Q711="TRUE"),1,0))</f>
        <v/>
      </c>
      <c r="AN711">
        <f>IF($C711="","",IF($Z711="Yes",1,0))</f>
        <v/>
      </c>
      <c r="AO711">
        <f>IF($AK711=1,IFERROR(IF(VALUE($C711)&lt;100000000,VALUE($C711),1000000000),IFERROR(IF(VALUE(MID($C711,2,20))&lt;100000000,VALUE(MID($C711,2,20)),1000000000),1000000000))+ROW()/100000,"")</f>
        <v/>
      </c>
    </row>
    <row r="712">
      <c r="F712" s="11" t="n"/>
      <c r="N712" s="7">
        <f>IF($C712="","",M712*U712/100)</f>
        <v/>
      </c>
      <c r="T712" s="7" t="n"/>
      <c r="U712" s="7" t="n"/>
      <c r="V712" s="7">
        <f>IF($C712="","",U712*AA712/100)</f>
        <v/>
      </c>
      <c r="W712" s="7">
        <f>IF($C712="","",U712-V712)</f>
        <v/>
      </c>
      <c r="X712" s="7">
        <f>IF($C712="","",W712-N712)</f>
        <v/>
      </c>
      <c r="AA712">
        <f>IF($C712="","",IF($AN712=1,0,IF($AM712=1,Settings!$C$6,Settings!$C$7))*100)</f>
        <v/>
      </c>
      <c r="AE712" s="7" t="n"/>
      <c r="AH712" s="11" t="n"/>
      <c r="AJ712">
        <f>IF($C712="","",$C712&amp;"|"&amp;$D712&amp;"")</f>
        <v/>
      </c>
      <c r="AK712">
        <f>IF($C712="","",IF(COUNTIF($AJ$2:$AJ712,$AJ712)=1,1,0))</f>
        <v/>
      </c>
      <c r="AL712">
        <f>IF($AK712=1,SUMPRODUCT(--($AO$2:$AO$1501&lt;$AO712))+1,"")</f>
        <v/>
      </c>
      <c r="AM712">
        <f>IF($C712="","",IF(OR($Q712=TRUE(),$Q712="TRUE"),1,0))</f>
        <v/>
      </c>
      <c r="AN712">
        <f>IF($C712="","",IF($Z712="Yes",1,0))</f>
        <v/>
      </c>
      <c r="AO712">
        <f>IF($AK712=1,IFERROR(IF(VALUE($C712)&lt;100000000,VALUE($C712),1000000000),IFERROR(IF(VALUE(MID($C712,2,20))&lt;100000000,VALUE(MID($C712,2,20)),1000000000),1000000000))+ROW()/100000,"")</f>
        <v/>
      </c>
    </row>
    <row r="713">
      <c r="F713" s="11" t="n"/>
      <c r="N713" s="7">
        <f>IF($C713="","",M713*U713/100)</f>
        <v/>
      </c>
      <c r="T713" s="7" t="n"/>
      <c r="U713" s="7" t="n"/>
      <c r="V713" s="7">
        <f>IF($C713="","",U713*AA713/100)</f>
        <v/>
      </c>
      <c r="W713" s="7">
        <f>IF($C713="","",U713-V713)</f>
        <v/>
      </c>
      <c r="X713" s="7">
        <f>IF($C713="","",W713-N713)</f>
        <v/>
      </c>
      <c r="AA713">
        <f>IF($C713="","",IF($AN713=1,0,IF($AM713=1,Settings!$C$6,Settings!$C$7))*100)</f>
        <v/>
      </c>
      <c r="AE713" s="7" t="n"/>
      <c r="AH713" s="11" t="n"/>
      <c r="AJ713">
        <f>IF($C713="","",$C713&amp;"|"&amp;$D713&amp;"")</f>
        <v/>
      </c>
      <c r="AK713">
        <f>IF($C713="","",IF(COUNTIF($AJ$2:$AJ713,$AJ713)=1,1,0))</f>
        <v/>
      </c>
      <c r="AL713">
        <f>IF($AK713=1,SUMPRODUCT(--($AO$2:$AO$1501&lt;$AO713))+1,"")</f>
        <v/>
      </c>
      <c r="AM713">
        <f>IF($C713="","",IF(OR($Q713=TRUE(),$Q713="TRUE"),1,0))</f>
        <v/>
      </c>
      <c r="AN713">
        <f>IF($C713="","",IF($Z713="Yes",1,0))</f>
        <v/>
      </c>
      <c r="AO713">
        <f>IF($AK713=1,IFERROR(IF(VALUE($C713)&lt;100000000,VALUE($C713),1000000000),IFERROR(IF(VALUE(MID($C713,2,20))&lt;100000000,VALUE(MID($C713,2,20)),1000000000),1000000000))+ROW()/100000,"")</f>
        <v/>
      </c>
    </row>
    <row r="714">
      <c r="F714" s="11" t="n"/>
      <c r="N714" s="7">
        <f>IF($C714="","",M714*U714/100)</f>
        <v/>
      </c>
      <c r="T714" s="7" t="n"/>
      <c r="U714" s="7" t="n"/>
      <c r="V714" s="7">
        <f>IF($C714="","",U714*AA714/100)</f>
        <v/>
      </c>
      <c r="W714" s="7">
        <f>IF($C714="","",U714-V714)</f>
        <v/>
      </c>
      <c r="X714" s="7">
        <f>IF($C714="","",W714-N714)</f>
        <v/>
      </c>
      <c r="AA714">
        <f>IF($C714="","",IF($AN714=1,0,IF($AM714=1,Settings!$C$6,Settings!$C$7))*100)</f>
        <v/>
      </c>
      <c r="AE714" s="7" t="n"/>
      <c r="AH714" s="11" t="n"/>
      <c r="AJ714">
        <f>IF($C714="","",$C714&amp;"|"&amp;$D714&amp;"")</f>
        <v/>
      </c>
      <c r="AK714">
        <f>IF($C714="","",IF(COUNTIF($AJ$2:$AJ714,$AJ714)=1,1,0))</f>
        <v/>
      </c>
      <c r="AL714">
        <f>IF($AK714=1,SUMPRODUCT(--($AO$2:$AO$1501&lt;$AO714))+1,"")</f>
        <v/>
      </c>
      <c r="AM714">
        <f>IF($C714="","",IF(OR($Q714=TRUE(),$Q714="TRUE"),1,0))</f>
        <v/>
      </c>
      <c r="AN714">
        <f>IF($C714="","",IF($Z714="Yes",1,0))</f>
        <v/>
      </c>
      <c r="AO714">
        <f>IF($AK714=1,IFERROR(IF(VALUE($C714)&lt;100000000,VALUE($C714),1000000000),IFERROR(IF(VALUE(MID($C714,2,20))&lt;100000000,VALUE(MID($C714,2,20)),1000000000),1000000000))+ROW()/100000,"")</f>
        <v/>
      </c>
    </row>
    <row r="715">
      <c r="F715" s="11" t="n"/>
      <c r="N715" s="7">
        <f>IF($C715="","",M715*U715/100)</f>
        <v/>
      </c>
      <c r="T715" s="7" t="n"/>
      <c r="U715" s="7" t="n"/>
      <c r="V715" s="7">
        <f>IF($C715="","",U715*AA715/100)</f>
        <v/>
      </c>
      <c r="W715" s="7">
        <f>IF($C715="","",U715-V715)</f>
        <v/>
      </c>
      <c r="X715" s="7">
        <f>IF($C715="","",W715-N715)</f>
        <v/>
      </c>
      <c r="AA715">
        <f>IF($C715="","",IF($AN715=1,0,IF($AM715=1,Settings!$C$6,Settings!$C$7))*100)</f>
        <v/>
      </c>
      <c r="AE715" s="7" t="n"/>
      <c r="AH715" s="11" t="n"/>
      <c r="AJ715">
        <f>IF($C715="","",$C715&amp;"|"&amp;$D715&amp;"")</f>
        <v/>
      </c>
      <c r="AK715">
        <f>IF($C715="","",IF(COUNTIF($AJ$2:$AJ715,$AJ715)=1,1,0))</f>
        <v/>
      </c>
      <c r="AL715">
        <f>IF($AK715=1,SUMPRODUCT(--($AO$2:$AO$1501&lt;$AO715))+1,"")</f>
        <v/>
      </c>
      <c r="AM715">
        <f>IF($C715="","",IF(OR($Q715=TRUE(),$Q715="TRUE"),1,0))</f>
        <v/>
      </c>
      <c r="AN715">
        <f>IF($C715="","",IF($Z715="Yes",1,0))</f>
        <v/>
      </c>
      <c r="AO715">
        <f>IF($AK715=1,IFERROR(IF(VALUE($C715)&lt;100000000,VALUE($C715),1000000000),IFERROR(IF(VALUE(MID($C715,2,20))&lt;100000000,VALUE(MID($C715,2,20)),1000000000),1000000000))+ROW()/100000,"")</f>
        <v/>
      </c>
    </row>
    <row r="716">
      <c r="F716" s="11" t="n"/>
      <c r="N716" s="7">
        <f>IF($C716="","",M716*U716/100)</f>
        <v/>
      </c>
      <c r="T716" s="7" t="n"/>
      <c r="U716" s="7" t="n"/>
      <c r="V716" s="7">
        <f>IF($C716="","",U716*AA716/100)</f>
        <v/>
      </c>
      <c r="W716" s="7">
        <f>IF($C716="","",U716-V716)</f>
        <v/>
      </c>
      <c r="X716" s="7">
        <f>IF($C716="","",W716-N716)</f>
        <v/>
      </c>
      <c r="AA716">
        <f>IF($C716="","",IF($AN716=1,0,IF($AM716=1,Settings!$C$6,Settings!$C$7))*100)</f>
        <v/>
      </c>
      <c r="AE716" s="7" t="n"/>
      <c r="AH716" s="11" t="n"/>
      <c r="AJ716">
        <f>IF($C716="","",$C716&amp;"|"&amp;$D716&amp;"")</f>
        <v/>
      </c>
      <c r="AK716">
        <f>IF($C716="","",IF(COUNTIF($AJ$2:$AJ716,$AJ716)=1,1,0))</f>
        <v/>
      </c>
      <c r="AL716">
        <f>IF($AK716=1,SUMPRODUCT(--($AO$2:$AO$1501&lt;$AO716))+1,"")</f>
        <v/>
      </c>
      <c r="AM716">
        <f>IF($C716="","",IF(OR($Q716=TRUE(),$Q716="TRUE"),1,0))</f>
        <v/>
      </c>
      <c r="AN716">
        <f>IF($C716="","",IF($Z716="Yes",1,0))</f>
        <v/>
      </c>
      <c r="AO716">
        <f>IF($AK716=1,IFERROR(IF(VALUE($C716)&lt;100000000,VALUE($C716),1000000000),IFERROR(IF(VALUE(MID($C716,2,20))&lt;100000000,VALUE(MID($C716,2,20)),1000000000),1000000000))+ROW()/100000,"")</f>
        <v/>
      </c>
    </row>
    <row r="717">
      <c r="F717" s="11" t="n"/>
      <c r="N717" s="7">
        <f>IF($C717="","",M717*U717/100)</f>
        <v/>
      </c>
      <c r="T717" s="7" t="n"/>
      <c r="U717" s="7" t="n"/>
      <c r="V717" s="7">
        <f>IF($C717="","",U717*AA717/100)</f>
        <v/>
      </c>
      <c r="W717" s="7">
        <f>IF($C717="","",U717-V717)</f>
        <v/>
      </c>
      <c r="X717" s="7">
        <f>IF($C717="","",W717-N717)</f>
        <v/>
      </c>
      <c r="AA717">
        <f>IF($C717="","",IF($AN717=1,0,IF($AM717=1,Settings!$C$6,Settings!$C$7))*100)</f>
        <v/>
      </c>
      <c r="AE717" s="7" t="n"/>
      <c r="AH717" s="11" t="n"/>
      <c r="AJ717">
        <f>IF($C717="","",$C717&amp;"|"&amp;$D717&amp;"")</f>
        <v/>
      </c>
      <c r="AK717">
        <f>IF($C717="","",IF(COUNTIF($AJ$2:$AJ717,$AJ717)=1,1,0))</f>
        <v/>
      </c>
      <c r="AL717">
        <f>IF($AK717=1,SUMPRODUCT(--($AO$2:$AO$1501&lt;$AO717))+1,"")</f>
        <v/>
      </c>
      <c r="AM717">
        <f>IF($C717="","",IF(OR($Q717=TRUE(),$Q717="TRUE"),1,0))</f>
        <v/>
      </c>
      <c r="AN717">
        <f>IF($C717="","",IF($Z717="Yes",1,0))</f>
        <v/>
      </c>
      <c r="AO717">
        <f>IF($AK717=1,IFERROR(IF(VALUE($C717)&lt;100000000,VALUE($C717),1000000000),IFERROR(IF(VALUE(MID($C717,2,20))&lt;100000000,VALUE(MID($C717,2,20)),1000000000),1000000000))+ROW()/100000,"")</f>
        <v/>
      </c>
    </row>
    <row r="718">
      <c r="F718" s="11" t="n"/>
      <c r="N718" s="7">
        <f>IF($C718="","",M718*U718/100)</f>
        <v/>
      </c>
      <c r="T718" s="7" t="n"/>
      <c r="U718" s="7" t="n"/>
      <c r="V718" s="7">
        <f>IF($C718="","",U718*AA718/100)</f>
        <v/>
      </c>
      <c r="W718" s="7">
        <f>IF($C718="","",U718-V718)</f>
        <v/>
      </c>
      <c r="X718" s="7">
        <f>IF($C718="","",W718-N718)</f>
        <v/>
      </c>
      <c r="AA718">
        <f>IF($C718="","",IF($AN718=1,0,IF($AM718=1,Settings!$C$6,Settings!$C$7))*100)</f>
        <v/>
      </c>
      <c r="AE718" s="7" t="n"/>
      <c r="AH718" s="11" t="n"/>
      <c r="AJ718">
        <f>IF($C718="","",$C718&amp;"|"&amp;$D718&amp;"")</f>
        <v/>
      </c>
      <c r="AK718">
        <f>IF($C718="","",IF(COUNTIF($AJ$2:$AJ718,$AJ718)=1,1,0))</f>
        <v/>
      </c>
      <c r="AL718">
        <f>IF($AK718=1,SUMPRODUCT(--($AO$2:$AO$1501&lt;$AO718))+1,"")</f>
        <v/>
      </c>
      <c r="AM718">
        <f>IF($C718="","",IF(OR($Q718=TRUE(),$Q718="TRUE"),1,0))</f>
        <v/>
      </c>
      <c r="AN718">
        <f>IF($C718="","",IF($Z718="Yes",1,0))</f>
        <v/>
      </c>
      <c r="AO718">
        <f>IF($AK718=1,IFERROR(IF(VALUE($C718)&lt;100000000,VALUE($C718),1000000000),IFERROR(IF(VALUE(MID($C718,2,20))&lt;100000000,VALUE(MID($C718,2,20)),1000000000),1000000000))+ROW()/100000,"")</f>
        <v/>
      </c>
    </row>
    <row r="719">
      <c r="F719" s="11" t="n"/>
      <c r="N719" s="7">
        <f>IF($C719="","",M719*U719/100)</f>
        <v/>
      </c>
      <c r="T719" s="7" t="n"/>
      <c r="U719" s="7" t="n"/>
      <c r="V719" s="7">
        <f>IF($C719="","",U719*AA719/100)</f>
        <v/>
      </c>
      <c r="W719" s="7">
        <f>IF($C719="","",U719-V719)</f>
        <v/>
      </c>
      <c r="X719" s="7">
        <f>IF($C719="","",W719-N719)</f>
        <v/>
      </c>
      <c r="AA719">
        <f>IF($C719="","",IF($AN719=1,0,IF($AM719=1,Settings!$C$6,Settings!$C$7))*100)</f>
        <v/>
      </c>
      <c r="AE719" s="7" t="n"/>
      <c r="AH719" s="11" t="n"/>
      <c r="AJ719">
        <f>IF($C719="","",$C719&amp;"|"&amp;$D719&amp;"")</f>
        <v/>
      </c>
      <c r="AK719">
        <f>IF($C719="","",IF(COUNTIF($AJ$2:$AJ719,$AJ719)=1,1,0))</f>
        <v/>
      </c>
      <c r="AL719">
        <f>IF($AK719=1,SUMPRODUCT(--($AO$2:$AO$1501&lt;$AO719))+1,"")</f>
        <v/>
      </c>
      <c r="AM719">
        <f>IF($C719="","",IF(OR($Q719=TRUE(),$Q719="TRUE"),1,0))</f>
        <v/>
      </c>
      <c r="AN719">
        <f>IF($C719="","",IF($Z719="Yes",1,0))</f>
        <v/>
      </c>
      <c r="AO719">
        <f>IF($AK719=1,IFERROR(IF(VALUE($C719)&lt;100000000,VALUE($C719),1000000000),IFERROR(IF(VALUE(MID($C719,2,20))&lt;100000000,VALUE(MID($C719,2,20)),1000000000),1000000000))+ROW()/100000,"")</f>
        <v/>
      </c>
    </row>
    <row r="720">
      <c r="F720" s="11" t="n"/>
      <c r="N720" s="7">
        <f>IF($C720="","",M720*U720/100)</f>
        <v/>
      </c>
      <c r="T720" s="7" t="n"/>
      <c r="U720" s="7" t="n"/>
      <c r="V720" s="7">
        <f>IF($C720="","",U720*AA720/100)</f>
        <v/>
      </c>
      <c r="W720" s="7">
        <f>IF($C720="","",U720-V720)</f>
        <v/>
      </c>
      <c r="X720" s="7">
        <f>IF($C720="","",W720-N720)</f>
        <v/>
      </c>
      <c r="AA720">
        <f>IF($C720="","",IF($AN720=1,0,IF($AM720=1,Settings!$C$6,Settings!$C$7))*100)</f>
        <v/>
      </c>
      <c r="AE720" s="7" t="n"/>
      <c r="AH720" s="11" t="n"/>
      <c r="AJ720">
        <f>IF($C720="","",$C720&amp;"|"&amp;$D720&amp;"")</f>
        <v/>
      </c>
      <c r="AK720">
        <f>IF($C720="","",IF(COUNTIF($AJ$2:$AJ720,$AJ720)=1,1,0))</f>
        <v/>
      </c>
      <c r="AL720">
        <f>IF($AK720=1,SUMPRODUCT(--($AO$2:$AO$1501&lt;$AO720))+1,"")</f>
        <v/>
      </c>
      <c r="AM720">
        <f>IF($C720="","",IF(OR($Q720=TRUE(),$Q720="TRUE"),1,0))</f>
        <v/>
      </c>
      <c r="AN720">
        <f>IF($C720="","",IF($Z720="Yes",1,0))</f>
        <v/>
      </c>
      <c r="AO720">
        <f>IF($AK720=1,IFERROR(IF(VALUE($C720)&lt;100000000,VALUE($C720),1000000000),IFERROR(IF(VALUE(MID($C720,2,20))&lt;100000000,VALUE(MID($C720,2,20)),1000000000),1000000000))+ROW()/100000,"")</f>
        <v/>
      </c>
    </row>
    <row r="721">
      <c r="F721" s="11" t="n"/>
      <c r="N721" s="7">
        <f>IF($C721="","",M721*U721/100)</f>
        <v/>
      </c>
      <c r="T721" s="7" t="n"/>
      <c r="U721" s="7" t="n"/>
      <c r="V721" s="7">
        <f>IF($C721="","",U721*AA721/100)</f>
        <v/>
      </c>
      <c r="W721" s="7">
        <f>IF($C721="","",U721-V721)</f>
        <v/>
      </c>
      <c r="X721" s="7">
        <f>IF($C721="","",W721-N721)</f>
        <v/>
      </c>
      <c r="AA721">
        <f>IF($C721="","",IF($AN721=1,0,IF($AM721=1,Settings!$C$6,Settings!$C$7))*100)</f>
        <v/>
      </c>
      <c r="AE721" s="7" t="n"/>
      <c r="AH721" s="11" t="n"/>
      <c r="AJ721">
        <f>IF($C721="","",$C721&amp;"|"&amp;$D721&amp;"")</f>
        <v/>
      </c>
      <c r="AK721">
        <f>IF($C721="","",IF(COUNTIF($AJ$2:$AJ721,$AJ721)=1,1,0))</f>
        <v/>
      </c>
      <c r="AL721">
        <f>IF($AK721=1,SUMPRODUCT(--($AO$2:$AO$1501&lt;$AO721))+1,"")</f>
        <v/>
      </c>
      <c r="AM721">
        <f>IF($C721="","",IF(OR($Q721=TRUE(),$Q721="TRUE"),1,0))</f>
        <v/>
      </c>
      <c r="AN721">
        <f>IF($C721="","",IF($Z721="Yes",1,0))</f>
        <v/>
      </c>
      <c r="AO721">
        <f>IF($AK721=1,IFERROR(IF(VALUE($C721)&lt;100000000,VALUE($C721),1000000000),IFERROR(IF(VALUE(MID($C721,2,20))&lt;100000000,VALUE(MID($C721,2,20)),1000000000),1000000000))+ROW()/100000,"")</f>
        <v/>
      </c>
    </row>
    <row r="722">
      <c r="F722" s="11" t="n"/>
      <c r="N722" s="7">
        <f>IF($C722="","",M722*U722/100)</f>
        <v/>
      </c>
      <c r="T722" s="7" t="n"/>
      <c r="U722" s="7" t="n"/>
      <c r="V722" s="7">
        <f>IF($C722="","",U722*AA722/100)</f>
        <v/>
      </c>
      <c r="W722" s="7">
        <f>IF($C722="","",U722-V722)</f>
        <v/>
      </c>
      <c r="X722" s="7">
        <f>IF($C722="","",W722-N722)</f>
        <v/>
      </c>
      <c r="AA722">
        <f>IF($C722="","",IF($AN722=1,0,IF($AM722=1,Settings!$C$6,Settings!$C$7))*100)</f>
        <v/>
      </c>
      <c r="AE722" s="7" t="n"/>
      <c r="AH722" s="11" t="n"/>
      <c r="AJ722">
        <f>IF($C722="","",$C722&amp;"|"&amp;$D722&amp;"")</f>
        <v/>
      </c>
      <c r="AK722">
        <f>IF($C722="","",IF(COUNTIF($AJ$2:$AJ722,$AJ722)=1,1,0))</f>
        <v/>
      </c>
      <c r="AL722">
        <f>IF($AK722=1,SUMPRODUCT(--($AO$2:$AO$1501&lt;$AO722))+1,"")</f>
        <v/>
      </c>
      <c r="AM722">
        <f>IF($C722="","",IF(OR($Q722=TRUE(),$Q722="TRUE"),1,0))</f>
        <v/>
      </c>
      <c r="AN722">
        <f>IF($C722="","",IF($Z722="Yes",1,0))</f>
        <v/>
      </c>
      <c r="AO722">
        <f>IF($AK722=1,IFERROR(IF(VALUE($C722)&lt;100000000,VALUE($C722),1000000000),IFERROR(IF(VALUE(MID($C722,2,20))&lt;100000000,VALUE(MID($C722,2,20)),1000000000),1000000000))+ROW()/100000,"")</f>
        <v/>
      </c>
    </row>
    <row r="723">
      <c r="F723" s="11" t="n"/>
      <c r="N723" s="7">
        <f>IF($C723="","",M723*U723/100)</f>
        <v/>
      </c>
      <c r="T723" s="7" t="n"/>
      <c r="U723" s="7" t="n"/>
      <c r="V723" s="7">
        <f>IF($C723="","",U723*AA723/100)</f>
        <v/>
      </c>
      <c r="W723" s="7">
        <f>IF($C723="","",U723-V723)</f>
        <v/>
      </c>
      <c r="X723" s="7">
        <f>IF($C723="","",W723-N723)</f>
        <v/>
      </c>
      <c r="AA723">
        <f>IF($C723="","",IF($AN723=1,0,IF($AM723=1,Settings!$C$6,Settings!$C$7))*100)</f>
        <v/>
      </c>
      <c r="AE723" s="7" t="n"/>
      <c r="AH723" s="11" t="n"/>
      <c r="AJ723">
        <f>IF($C723="","",$C723&amp;"|"&amp;$D723&amp;"")</f>
        <v/>
      </c>
      <c r="AK723">
        <f>IF($C723="","",IF(COUNTIF($AJ$2:$AJ723,$AJ723)=1,1,0))</f>
        <v/>
      </c>
      <c r="AL723">
        <f>IF($AK723=1,SUMPRODUCT(--($AO$2:$AO$1501&lt;$AO723))+1,"")</f>
        <v/>
      </c>
      <c r="AM723">
        <f>IF($C723="","",IF(OR($Q723=TRUE(),$Q723="TRUE"),1,0))</f>
        <v/>
      </c>
      <c r="AN723">
        <f>IF($C723="","",IF($Z723="Yes",1,0))</f>
        <v/>
      </c>
      <c r="AO723">
        <f>IF($AK723=1,IFERROR(IF(VALUE($C723)&lt;100000000,VALUE($C723),1000000000),IFERROR(IF(VALUE(MID($C723,2,20))&lt;100000000,VALUE(MID($C723,2,20)),1000000000),1000000000))+ROW()/100000,"")</f>
        <v/>
      </c>
    </row>
    <row r="724">
      <c r="F724" s="11" t="n"/>
      <c r="N724" s="7">
        <f>IF($C724="","",M724*U724/100)</f>
        <v/>
      </c>
      <c r="T724" s="7" t="n"/>
      <c r="U724" s="7" t="n"/>
      <c r="V724" s="7">
        <f>IF($C724="","",U724*AA724/100)</f>
        <v/>
      </c>
      <c r="W724" s="7">
        <f>IF($C724="","",U724-V724)</f>
        <v/>
      </c>
      <c r="X724" s="7">
        <f>IF($C724="","",W724-N724)</f>
        <v/>
      </c>
      <c r="AA724">
        <f>IF($C724="","",IF($AN724=1,0,IF($AM724=1,Settings!$C$6,Settings!$C$7))*100)</f>
        <v/>
      </c>
      <c r="AE724" s="7" t="n"/>
      <c r="AH724" s="11" t="n"/>
      <c r="AJ724">
        <f>IF($C724="","",$C724&amp;"|"&amp;$D724&amp;"")</f>
        <v/>
      </c>
      <c r="AK724">
        <f>IF($C724="","",IF(COUNTIF($AJ$2:$AJ724,$AJ724)=1,1,0))</f>
        <v/>
      </c>
      <c r="AL724">
        <f>IF($AK724=1,SUMPRODUCT(--($AO$2:$AO$1501&lt;$AO724))+1,"")</f>
        <v/>
      </c>
      <c r="AM724">
        <f>IF($C724="","",IF(OR($Q724=TRUE(),$Q724="TRUE"),1,0))</f>
        <v/>
      </c>
      <c r="AN724">
        <f>IF($C724="","",IF($Z724="Yes",1,0))</f>
        <v/>
      </c>
      <c r="AO724">
        <f>IF($AK724=1,IFERROR(IF(VALUE($C724)&lt;100000000,VALUE($C724),1000000000),IFERROR(IF(VALUE(MID($C724,2,20))&lt;100000000,VALUE(MID($C724,2,20)),1000000000),1000000000))+ROW()/100000,"")</f>
        <v/>
      </c>
    </row>
    <row r="725">
      <c r="F725" s="11" t="n"/>
      <c r="N725" s="7">
        <f>IF($C725="","",M725*U725/100)</f>
        <v/>
      </c>
      <c r="T725" s="7" t="n"/>
      <c r="U725" s="7" t="n"/>
      <c r="V725" s="7">
        <f>IF($C725="","",U725*AA725/100)</f>
        <v/>
      </c>
      <c r="W725" s="7">
        <f>IF($C725="","",U725-V725)</f>
        <v/>
      </c>
      <c r="X725" s="7">
        <f>IF($C725="","",W725-N725)</f>
        <v/>
      </c>
      <c r="AA725">
        <f>IF($C725="","",IF($AN725=1,0,IF($AM725=1,Settings!$C$6,Settings!$C$7))*100)</f>
        <v/>
      </c>
      <c r="AE725" s="7" t="n"/>
      <c r="AH725" s="11" t="n"/>
      <c r="AJ725">
        <f>IF($C725="","",$C725&amp;"|"&amp;$D725&amp;"")</f>
        <v/>
      </c>
      <c r="AK725">
        <f>IF($C725="","",IF(COUNTIF($AJ$2:$AJ725,$AJ725)=1,1,0))</f>
        <v/>
      </c>
      <c r="AL725">
        <f>IF($AK725=1,SUMPRODUCT(--($AO$2:$AO$1501&lt;$AO725))+1,"")</f>
        <v/>
      </c>
      <c r="AM725">
        <f>IF($C725="","",IF(OR($Q725=TRUE(),$Q725="TRUE"),1,0))</f>
        <v/>
      </c>
      <c r="AN725">
        <f>IF($C725="","",IF($Z725="Yes",1,0))</f>
        <v/>
      </c>
      <c r="AO725">
        <f>IF($AK725=1,IFERROR(IF(VALUE($C725)&lt;100000000,VALUE($C725),1000000000),IFERROR(IF(VALUE(MID($C725,2,20))&lt;100000000,VALUE(MID($C725,2,20)),1000000000),1000000000))+ROW()/100000,"")</f>
        <v/>
      </c>
    </row>
    <row r="726">
      <c r="F726" s="11" t="n"/>
      <c r="N726" s="7">
        <f>IF($C726="","",M726*U726/100)</f>
        <v/>
      </c>
      <c r="T726" s="7" t="n"/>
      <c r="U726" s="7" t="n"/>
      <c r="V726" s="7">
        <f>IF($C726="","",U726*AA726/100)</f>
        <v/>
      </c>
      <c r="W726" s="7">
        <f>IF($C726="","",U726-V726)</f>
        <v/>
      </c>
      <c r="X726" s="7">
        <f>IF($C726="","",W726-N726)</f>
        <v/>
      </c>
      <c r="AA726">
        <f>IF($C726="","",IF($AN726=1,0,IF($AM726=1,Settings!$C$6,Settings!$C$7))*100)</f>
        <v/>
      </c>
      <c r="AE726" s="7" t="n"/>
      <c r="AH726" s="11" t="n"/>
      <c r="AJ726">
        <f>IF($C726="","",$C726&amp;"|"&amp;$D726&amp;"")</f>
        <v/>
      </c>
      <c r="AK726">
        <f>IF($C726="","",IF(COUNTIF($AJ$2:$AJ726,$AJ726)=1,1,0))</f>
        <v/>
      </c>
      <c r="AL726">
        <f>IF($AK726=1,SUMPRODUCT(--($AO$2:$AO$1501&lt;$AO726))+1,"")</f>
        <v/>
      </c>
      <c r="AM726">
        <f>IF($C726="","",IF(OR($Q726=TRUE(),$Q726="TRUE"),1,0))</f>
        <v/>
      </c>
      <c r="AN726">
        <f>IF($C726="","",IF($Z726="Yes",1,0))</f>
        <v/>
      </c>
      <c r="AO726">
        <f>IF($AK726=1,IFERROR(IF(VALUE($C726)&lt;100000000,VALUE($C726),1000000000),IFERROR(IF(VALUE(MID($C726,2,20))&lt;100000000,VALUE(MID($C726,2,20)),1000000000),1000000000))+ROW()/100000,"")</f>
        <v/>
      </c>
    </row>
    <row r="727">
      <c r="F727" s="11" t="n"/>
      <c r="N727" s="7">
        <f>IF($C727="","",M727*U727/100)</f>
        <v/>
      </c>
      <c r="T727" s="7" t="n"/>
      <c r="U727" s="7" t="n"/>
      <c r="V727" s="7">
        <f>IF($C727="","",U727*AA727/100)</f>
        <v/>
      </c>
      <c r="W727" s="7">
        <f>IF($C727="","",U727-V727)</f>
        <v/>
      </c>
      <c r="X727" s="7">
        <f>IF($C727="","",W727-N727)</f>
        <v/>
      </c>
      <c r="AA727">
        <f>IF($C727="","",IF($AN727=1,0,IF($AM727=1,Settings!$C$6,Settings!$C$7))*100)</f>
        <v/>
      </c>
      <c r="AE727" s="7" t="n"/>
      <c r="AH727" s="11" t="n"/>
      <c r="AJ727">
        <f>IF($C727="","",$C727&amp;"|"&amp;$D727&amp;"")</f>
        <v/>
      </c>
      <c r="AK727">
        <f>IF($C727="","",IF(COUNTIF($AJ$2:$AJ727,$AJ727)=1,1,0))</f>
        <v/>
      </c>
      <c r="AL727">
        <f>IF($AK727=1,SUMPRODUCT(--($AO$2:$AO$1501&lt;$AO727))+1,"")</f>
        <v/>
      </c>
      <c r="AM727">
        <f>IF($C727="","",IF(OR($Q727=TRUE(),$Q727="TRUE"),1,0))</f>
        <v/>
      </c>
      <c r="AN727">
        <f>IF($C727="","",IF($Z727="Yes",1,0))</f>
        <v/>
      </c>
      <c r="AO727">
        <f>IF($AK727=1,IFERROR(IF(VALUE($C727)&lt;100000000,VALUE($C727),1000000000),IFERROR(IF(VALUE(MID($C727,2,20))&lt;100000000,VALUE(MID($C727,2,20)),1000000000),1000000000))+ROW()/100000,"")</f>
        <v/>
      </c>
    </row>
    <row r="728">
      <c r="F728" s="11" t="n"/>
      <c r="N728" s="7">
        <f>IF($C728="","",M728*U728/100)</f>
        <v/>
      </c>
      <c r="T728" s="7" t="n"/>
      <c r="U728" s="7" t="n"/>
      <c r="V728" s="7">
        <f>IF($C728="","",U728*AA728/100)</f>
        <v/>
      </c>
      <c r="W728" s="7">
        <f>IF($C728="","",U728-V728)</f>
        <v/>
      </c>
      <c r="X728" s="7">
        <f>IF($C728="","",W728-N728)</f>
        <v/>
      </c>
      <c r="AA728">
        <f>IF($C728="","",IF($AN728=1,0,IF($AM728=1,Settings!$C$6,Settings!$C$7))*100)</f>
        <v/>
      </c>
      <c r="AE728" s="7" t="n"/>
      <c r="AH728" s="11" t="n"/>
      <c r="AJ728">
        <f>IF($C728="","",$C728&amp;"|"&amp;$D728&amp;"")</f>
        <v/>
      </c>
      <c r="AK728">
        <f>IF($C728="","",IF(COUNTIF($AJ$2:$AJ728,$AJ728)=1,1,0))</f>
        <v/>
      </c>
      <c r="AL728">
        <f>IF($AK728=1,SUMPRODUCT(--($AO$2:$AO$1501&lt;$AO728))+1,"")</f>
        <v/>
      </c>
      <c r="AM728">
        <f>IF($C728="","",IF(OR($Q728=TRUE(),$Q728="TRUE"),1,0))</f>
        <v/>
      </c>
      <c r="AN728">
        <f>IF($C728="","",IF($Z728="Yes",1,0))</f>
        <v/>
      </c>
      <c r="AO728">
        <f>IF($AK728=1,IFERROR(IF(VALUE($C728)&lt;100000000,VALUE($C728),1000000000),IFERROR(IF(VALUE(MID($C728,2,20))&lt;100000000,VALUE(MID($C728,2,20)),1000000000),1000000000))+ROW()/100000,"")</f>
        <v/>
      </c>
    </row>
    <row r="729">
      <c r="F729" s="11" t="n"/>
      <c r="N729" s="7">
        <f>IF($C729="","",M729*U729/100)</f>
        <v/>
      </c>
      <c r="T729" s="7" t="n"/>
      <c r="U729" s="7" t="n"/>
      <c r="V729" s="7">
        <f>IF($C729="","",U729*AA729/100)</f>
        <v/>
      </c>
      <c r="W729" s="7">
        <f>IF($C729="","",U729-V729)</f>
        <v/>
      </c>
      <c r="X729" s="7">
        <f>IF($C729="","",W729-N729)</f>
        <v/>
      </c>
      <c r="AA729">
        <f>IF($C729="","",IF($AN729=1,0,IF($AM729=1,Settings!$C$6,Settings!$C$7))*100)</f>
        <v/>
      </c>
      <c r="AE729" s="7" t="n"/>
      <c r="AH729" s="11" t="n"/>
      <c r="AJ729">
        <f>IF($C729="","",$C729&amp;"|"&amp;$D729&amp;"")</f>
        <v/>
      </c>
      <c r="AK729">
        <f>IF($C729="","",IF(COUNTIF($AJ$2:$AJ729,$AJ729)=1,1,0))</f>
        <v/>
      </c>
      <c r="AL729">
        <f>IF($AK729=1,SUMPRODUCT(--($AO$2:$AO$1501&lt;$AO729))+1,"")</f>
        <v/>
      </c>
      <c r="AM729">
        <f>IF($C729="","",IF(OR($Q729=TRUE(),$Q729="TRUE"),1,0))</f>
        <v/>
      </c>
      <c r="AN729">
        <f>IF($C729="","",IF($Z729="Yes",1,0))</f>
        <v/>
      </c>
      <c r="AO729">
        <f>IF($AK729=1,IFERROR(IF(VALUE($C729)&lt;100000000,VALUE($C729),1000000000),IFERROR(IF(VALUE(MID($C729,2,20))&lt;100000000,VALUE(MID($C729,2,20)),1000000000),1000000000))+ROW()/100000,"")</f>
        <v/>
      </c>
    </row>
    <row r="730">
      <c r="F730" s="11" t="n"/>
      <c r="N730" s="7">
        <f>IF($C730="","",M730*U730/100)</f>
        <v/>
      </c>
      <c r="T730" s="7" t="n"/>
      <c r="U730" s="7" t="n"/>
      <c r="V730" s="7">
        <f>IF($C730="","",U730*AA730/100)</f>
        <v/>
      </c>
      <c r="W730" s="7">
        <f>IF($C730="","",U730-V730)</f>
        <v/>
      </c>
      <c r="X730" s="7">
        <f>IF($C730="","",W730-N730)</f>
        <v/>
      </c>
      <c r="AA730">
        <f>IF($C730="","",IF($AN730=1,0,IF($AM730=1,Settings!$C$6,Settings!$C$7))*100)</f>
        <v/>
      </c>
      <c r="AE730" s="7" t="n"/>
      <c r="AH730" s="11" t="n"/>
      <c r="AJ730">
        <f>IF($C730="","",$C730&amp;"|"&amp;$D730&amp;"")</f>
        <v/>
      </c>
      <c r="AK730">
        <f>IF($C730="","",IF(COUNTIF($AJ$2:$AJ730,$AJ730)=1,1,0))</f>
        <v/>
      </c>
      <c r="AL730">
        <f>IF($AK730=1,SUMPRODUCT(--($AO$2:$AO$1501&lt;$AO730))+1,"")</f>
        <v/>
      </c>
      <c r="AM730">
        <f>IF($C730="","",IF(OR($Q730=TRUE(),$Q730="TRUE"),1,0))</f>
        <v/>
      </c>
      <c r="AN730">
        <f>IF($C730="","",IF($Z730="Yes",1,0))</f>
        <v/>
      </c>
      <c r="AO730">
        <f>IF($AK730=1,IFERROR(IF(VALUE($C730)&lt;100000000,VALUE($C730),1000000000),IFERROR(IF(VALUE(MID($C730,2,20))&lt;100000000,VALUE(MID($C730,2,20)),1000000000),1000000000))+ROW()/100000,"")</f>
        <v/>
      </c>
    </row>
    <row r="731">
      <c r="F731" s="11" t="n"/>
      <c r="N731" s="7">
        <f>IF($C731="","",M731*U731/100)</f>
        <v/>
      </c>
      <c r="T731" s="7" t="n"/>
      <c r="U731" s="7" t="n"/>
      <c r="V731" s="7">
        <f>IF($C731="","",U731*AA731/100)</f>
        <v/>
      </c>
      <c r="W731" s="7">
        <f>IF($C731="","",U731-V731)</f>
        <v/>
      </c>
      <c r="X731" s="7">
        <f>IF($C731="","",W731-N731)</f>
        <v/>
      </c>
      <c r="AA731">
        <f>IF($C731="","",IF($AN731=1,0,IF($AM731=1,Settings!$C$6,Settings!$C$7))*100)</f>
        <v/>
      </c>
      <c r="AE731" s="7" t="n"/>
      <c r="AH731" s="11" t="n"/>
      <c r="AJ731">
        <f>IF($C731="","",$C731&amp;"|"&amp;$D731&amp;"")</f>
        <v/>
      </c>
      <c r="AK731">
        <f>IF($C731="","",IF(COUNTIF($AJ$2:$AJ731,$AJ731)=1,1,0))</f>
        <v/>
      </c>
      <c r="AL731">
        <f>IF($AK731=1,SUMPRODUCT(--($AO$2:$AO$1501&lt;$AO731))+1,"")</f>
        <v/>
      </c>
      <c r="AM731">
        <f>IF($C731="","",IF(OR($Q731=TRUE(),$Q731="TRUE"),1,0))</f>
        <v/>
      </c>
      <c r="AN731">
        <f>IF($C731="","",IF($Z731="Yes",1,0))</f>
        <v/>
      </c>
      <c r="AO731">
        <f>IF($AK731=1,IFERROR(IF(VALUE($C731)&lt;100000000,VALUE($C731),1000000000),IFERROR(IF(VALUE(MID($C731,2,20))&lt;100000000,VALUE(MID($C731,2,20)),1000000000),1000000000))+ROW()/100000,"")</f>
        <v/>
      </c>
    </row>
    <row r="732">
      <c r="F732" s="11" t="n"/>
      <c r="N732" s="7">
        <f>IF($C732="","",M732*U732/100)</f>
        <v/>
      </c>
      <c r="T732" s="7" t="n"/>
      <c r="U732" s="7" t="n"/>
      <c r="V732" s="7">
        <f>IF($C732="","",U732*AA732/100)</f>
        <v/>
      </c>
      <c r="W732" s="7">
        <f>IF($C732="","",U732-V732)</f>
        <v/>
      </c>
      <c r="X732" s="7">
        <f>IF($C732="","",W732-N732)</f>
        <v/>
      </c>
      <c r="AA732">
        <f>IF($C732="","",IF($AN732=1,0,IF($AM732=1,Settings!$C$6,Settings!$C$7))*100)</f>
        <v/>
      </c>
      <c r="AE732" s="7" t="n"/>
      <c r="AH732" s="11" t="n"/>
      <c r="AJ732">
        <f>IF($C732="","",$C732&amp;"|"&amp;$D732&amp;"")</f>
        <v/>
      </c>
      <c r="AK732">
        <f>IF($C732="","",IF(COUNTIF($AJ$2:$AJ732,$AJ732)=1,1,0))</f>
        <v/>
      </c>
      <c r="AL732">
        <f>IF($AK732=1,SUMPRODUCT(--($AO$2:$AO$1501&lt;$AO732))+1,"")</f>
        <v/>
      </c>
      <c r="AM732">
        <f>IF($C732="","",IF(OR($Q732=TRUE(),$Q732="TRUE"),1,0))</f>
        <v/>
      </c>
      <c r="AN732">
        <f>IF($C732="","",IF($Z732="Yes",1,0))</f>
        <v/>
      </c>
      <c r="AO732">
        <f>IF($AK732=1,IFERROR(IF(VALUE($C732)&lt;100000000,VALUE($C732),1000000000),IFERROR(IF(VALUE(MID($C732,2,20))&lt;100000000,VALUE(MID($C732,2,20)),1000000000),1000000000))+ROW()/100000,"")</f>
        <v/>
      </c>
    </row>
    <row r="733">
      <c r="F733" s="11" t="n"/>
      <c r="N733" s="7">
        <f>IF($C733="","",M733*U733/100)</f>
        <v/>
      </c>
      <c r="T733" s="7" t="n"/>
      <c r="U733" s="7" t="n"/>
      <c r="V733" s="7">
        <f>IF($C733="","",U733*AA733/100)</f>
        <v/>
      </c>
      <c r="W733" s="7">
        <f>IF($C733="","",U733-V733)</f>
        <v/>
      </c>
      <c r="X733" s="7">
        <f>IF($C733="","",W733-N733)</f>
        <v/>
      </c>
      <c r="AA733">
        <f>IF($C733="","",IF($AN733=1,0,IF($AM733=1,Settings!$C$6,Settings!$C$7))*100)</f>
        <v/>
      </c>
      <c r="AE733" s="7" t="n"/>
      <c r="AH733" s="11" t="n"/>
      <c r="AJ733">
        <f>IF($C733="","",$C733&amp;"|"&amp;$D733&amp;"")</f>
        <v/>
      </c>
      <c r="AK733">
        <f>IF($C733="","",IF(COUNTIF($AJ$2:$AJ733,$AJ733)=1,1,0))</f>
        <v/>
      </c>
      <c r="AL733">
        <f>IF($AK733=1,SUMPRODUCT(--($AO$2:$AO$1501&lt;$AO733))+1,"")</f>
        <v/>
      </c>
      <c r="AM733">
        <f>IF($C733="","",IF(OR($Q733=TRUE(),$Q733="TRUE"),1,0))</f>
        <v/>
      </c>
      <c r="AN733">
        <f>IF($C733="","",IF($Z733="Yes",1,0))</f>
        <v/>
      </c>
      <c r="AO733">
        <f>IF($AK733=1,IFERROR(IF(VALUE($C733)&lt;100000000,VALUE($C733),1000000000),IFERROR(IF(VALUE(MID($C733,2,20))&lt;100000000,VALUE(MID($C733,2,20)),1000000000),1000000000))+ROW()/100000,"")</f>
        <v/>
      </c>
    </row>
    <row r="734">
      <c r="F734" s="11" t="n"/>
      <c r="N734" s="7">
        <f>IF($C734="","",M734*U734/100)</f>
        <v/>
      </c>
      <c r="T734" s="7" t="n"/>
      <c r="U734" s="7" t="n"/>
      <c r="V734" s="7">
        <f>IF($C734="","",U734*AA734/100)</f>
        <v/>
      </c>
      <c r="W734" s="7">
        <f>IF($C734="","",U734-V734)</f>
        <v/>
      </c>
      <c r="X734" s="7">
        <f>IF($C734="","",W734-N734)</f>
        <v/>
      </c>
      <c r="AA734">
        <f>IF($C734="","",IF($AN734=1,0,IF($AM734=1,Settings!$C$6,Settings!$C$7))*100)</f>
        <v/>
      </c>
      <c r="AE734" s="7" t="n"/>
      <c r="AH734" s="11" t="n"/>
      <c r="AJ734">
        <f>IF($C734="","",$C734&amp;"|"&amp;$D734&amp;"")</f>
        <v/>
      </c>
      <c r="AK734">
        <f>IF($C734="","",IF(COUNTIF($AJ$2:$AJ734,$AJ734)=1,1,0))</f>
        <v/>
      </c>
      <c r="AL734">
        <f>IF($AK734=1,SUMPRODUCT(--($AO$2:$AO$1501&lt;$AO734))+1,"")</f>
        <v/>
      </c>
      <c r="AM734">
        <f>IF($C734="","",IF(OR($Q734=TRUE(),$Q734="TRUE"),1,0))</f>
        <v/>
      </c>
      <c r="AN734">
        <f>IF($C734="","",IF($Z734="Yes",1,0))</f>
        <v/>
      </c>
      <c r="AO734">
        <f>IF($AK734=1,IFERROR(IF(VALUE($C734)&lt;100000000,VALUE($C734),1000000000),IFERROR(IF(VALUE(MID($C734,2,20))&lt;100000000,VALUE(MID($C734,2,20)),1000000000),1000000000))+ROW()/100000,"")</f>
        <v/>
      </c>
    </row>
    <row r="735">
      <c r="F735" s="11" t="n"/>
      <c r="N735" s="7">
        <f>IF($C735="","",M735*U735/100)</f>
        <v/>
      </c>
      <c r="T735" s="7" t="n"/>
      <c r="U735" s="7" t="n"/>
      <c r="V735" s="7">
        <f>IF($C735="","",U735*AA735/100)</f>
        <v/>
      </c>
      <c r="W735" s="7">
        <f>IF($C735="","",U735-V735)</f>
        <v/>
      </c>
      <c r="X735" s="7">
        <f>IF($C735="","",W735-N735)</f>
        <v/>
      </c>
      <c r="AA735">
        <f>IF($C735="","",IF($AN735=1,0,IF($AM735=1,Settings!$C$6,Settings!$C$7))*100)</f>
        <v/>
      </c>
      <c r="AE735" s="7" t="n"/>
      <c r="AH735" s="11" t="n"/>
      <c r="AJ735">
        <f>IF($C735="","",$C735&amp;"|"&amp;$D735&amp;"")</f>
        <v/>
      </c>
      <c r="AK735">
        <f>IF($C735="","",IF(COUNTIF($AJ$2:$AJ735,$AJ735)=1,1,0))</f>
        <v/>
      </c>
      <c r="AL735">
        <f>IF($AK735=1,SUMPRODUCT(--($AO$2:$AO$1501&lt;$AO735))+1,"")</f>
        <v/>
      </c>
      <c r="AM735">
        <f>IF($C735="","",IF(OR($Q735=TRUE(),$Q735="TRUE"),1,0))</f>
        <v/>
      </c>
      <c r="AN735">
        <f>IF($C735="","",IF($Z735="Yes",1,0))</f>
        <v/>
      </c>
      <c r="AO735">
        <f>IF($AK735=1,IFERROR(IF(VALUE($C735)&lt;100000000,VALUE($C735),1000000000),IFERROR(IF(VALUE(MID($C735,2,20))&lt;100000000,VALUE(MID($C735,2,20)),1000000000),1000000000))+ROW()/100000,"")</f>
        <v/>
      </c>
    </row>
    <row r="736">
      <c r="F736" s="11" t="n"/>
      <c r="N736" s="7">
        <f>IF($C736="","",M736*U736/100)</f>
        <v/>
      </c>
      <c r="T736" s="7" t="n"/>
      <c r="U736" s="7" t="n"/>
      <c r="V736" s="7">
        <f>IF($C736="","",U736*AA736/100)</f>
        <v/>
      </c>
      <c r="W736" s="7">
        <f>IF($C736="","",U736-V736)</f>
        <v/>
      </c>
      <c r="X736" s="7">
        <f>IF($C736="","",W736-N736)</f>
        <v/>
      </c>
      <c r="AA736">
        <f>IF($C736="","",IF($AN736=1,0,IF($AM736=1,Settings!$C$6,Settings!$C$7))*100)</f>
        <v/>
      </c>
      <c r="AE736" s="7" t="n"/>
      <c r="AH736" s="11" t="n"/>
      <c r="AJ736">
        <f>IF($C736="","",$C736&amp;"|"&amp;$D736&amp;"")</f>
        <v/>
      </c>
      <c r="AK736">
        <f>IF($C736="","",IF(COUNTIF($AJ$2:$AJ736,$AJ736)=1,1,0))</f>
        <v/>
      </c>
      <c r="AL736">
        <f>IF($AK736=1,SUMPRODUCT(--($AO$2:$AO$1501&lt;$AO736))+1,"")</f>
        <v/>
      </c>
      <c r="AM736">
        <f>IF($C736="","",IF(OR($Q736=TRUE(),$Q736="TRUE"),1,0))</f>
        <v/>
      </c>
      <c r="AN736">
        <f>IF($C736="","",IF($Z736="Yes",1,0))</f>
        <v/>
      </c>
      <c r="AO736">
        <f>IF($AK736=1,IFERROR(IF(VALUE($C736)&lt;100000000,VALUE($C736),1000000000),IFERROR(IF(VALUE(MID($C736,2,20))&lt;100000000,VALUE(MID($C736,2,20)),1000000000),1000000000))+ROW()/100000,"")</f>
        <v/>
      </c>
    </row>
    <row r="737">
      <c r="F737" s="11" t="n"/>
      <c r="N737" s="7">
        <f>IF($C737="","",M737*U737/100)</f>
        <v/>
      </c>
      <c r="T737" s="7" t="n"/>
      <c r="U737" s="7" t="n"/>
      <c r="V737" s="7">
        <f>IF($C737="","",U737*AA737/100)</f>
        <v/>
      </c>
      <c r="W737" s="7">
        <f>IF($C737="","",U737-V737)</f>
        <v/>
      </c>
      <c r="X737" s="7">
        <f>IF($C737="","",W737-N737)</f>
        <v/>
      </c>
      <c r="AA737">
        <f>IF($C737="","",IF($AN737=1,0,IF($AM737=1,Settings!$C$6,Settings!$C$7))*100)</f>
        <v/>
      </c>
      <c r="AE737" s="7" t="n"/>
      <c r="AH737" s="11" t="n"/>
      <c r="AJ737">
        <f>IF($C737="","",$C737&amp;"|"&amp;$D737&amp;"")</f>
        <v/>
      </c>
      <c r="AK737">
        <f>IF($C737="","",IF(COUNTIF($AJ$2:$AJ737,$AJ737)=1,1,0))</f>
        <v/>
      </c>
      <c r="AL737">
        <f>IF($AK737=1,SUMPRODUCT(--($AO$2:$AO$1501&lt;$AO737))+1,"")</f>
        <v/>
      </c>
      <c r="AM737">
        <f>IF($C737="","",IF(OR($Q737=TRUE(),$Q737="TRUE"),1,0))</f>
        <v/>
      </c>
      <c r="AN737">
        <f>IF($C737="","",IF($Z737="Yes",1,0))</f>
        <v/>
      </c>
      <c r="AO737">
        <f>IF($AK737=1,IFERROR(IF(VALUE($C737)&lt;100000000,VALUE($C737),1000000000),IFERROR(IF(VALUE(MID($C737,2,20))&lt;100000000,VALUE(MID($C737,2,20)),1000000000),1000000000))+ROW()/100000,"")</f>
        <v/>
      </c>
    </row>
    <row r="738">
      <c r="F738" s="11" t="n"/>
      <c r="N738" s="7">
        <f>IF($C738="","",M738*U738/100)</f>
        <v/>
      </c>
      <c r="T738" s="7" t="n"/>
      <c r="U738" s="7" t="n"/>
      <c r="V738" s="7">
        <f>IF($C738="","",U738*AA738/100)</f>
        <v/>
      </c>
      <c r="W738" s="7">
        <f>IF($C738="","",U738-V738)</f>
        <v/>
      </c>
      <c r="X738" s="7">
        <f>IF($C738="","",W738-N738)</f>
        <v/>
      </c>
      <c r="AA738">
        <f>IF($C738="","",IF($AN738=1,0,IF($AM738=1,Settings!$C$6,Settings!$C$7))*100)</f>
        <v/>
      </c>
      <c r="AE738" s="7" t="n"/>
      <c r="AH738" s="11" t="n"/>
      <c r="AJ738">
        <f>IF($C738="","",$C738&amp;"|"&amp;$D738&amp;"")</f>
        <v/>
      </c>
      <c r="AK738">
        <f>IF($C738="","",IF(COUNTIF($AJ$2:$AJ738,$AJ738)=1,1,0))</f>
        <v/>
      </c>
      <c r="AL738">
        <f>IF($AK738=1,SUMPRODUCT(--($AO$2:$AO$1501&lt;$AO738))+1,"")</f>
        <v/>
      </c>
      <c r="AM738">
        <f>IF($C738="","",IF(OR($Q738=TRUE(),$Q738="TRUE"),1,0))</f>
        <v/>
      </c>
      <c r="AN738">
        <f>IF($C738="","",IF($Z738="Yes",1,0))</f>
        <v/>
      </c>
      <c r="AO738">
        <f>IF($AK738=1,IFERROR(IF(VALUE($C738)&lt;100000000,VALUE($C738),1000000000),IFERROR(IF(VALUE(MID($C738,2,20))&lt;100000000,VALUE(MID($C738,2,20)),1000000000),1000000000))+ROW()/100000,"")</f>
        <v/>
      </c>
    </row>
    <row r="739">
      <c r="F739" s="11" t="n"/>
      <c r="N739" s="7">
        <f>IF($C739="","",M739*U739/100)</f>
        <v/>
      </c>
      <c r="T739" s="7" t="n"/>
      <c r="U739" s="7" t="n"/>
      <c r="V739" s="7">
        <f>IF($C739="","",U739*AA739/100)</f>
        <v/>
      </c>
      <c r="W739" s="7">
        <f>IF($C739="","",U739-V739)</f>
        <v/>
      </c>
      <c r="X739" s="7">
        <f>IF($C739="","",W739-N739)</f>
        <v/>
      </c>
      <c r="AA739">
        <f>IF($C739="","",IF($AN739=1,0,IF($AM739=1,Settings!$C$6,Settings!$C$7))*100)</f>
        <v/>
      </c>
      <c r="AE739" s="7" t="n"/>
      <c r="AH739" s="11" t="n"/>
      <c r="AJ739">
        <f>IF($C739="","",$C739&amp;"|"&amp;$D739&amp;"")</f>
        <v/>
      </c>
      <c r="AK739">
        <f>IF($C739="","",IF(COUNTIF($AJ$2:$AJ739,$AJ739)=1,1,0))</f>
        <v/>
      </c>
      <c r="AL739">
        <f>IF($AK739=1,SUMPRODUCT(--($AO$2:$AO$1501&lt;$AO739))+1,"")</f>
        <v/>
      </c>
      <c r="AM739">
        <f>IF($C739="","",IF(OR($Q739=TRUE(),$Q739="TRUE"),1,0))</f>
        <v/>
      </c>
      <c r="AN739">
        <f>IF($C739="","",IF($Z739="Yes",1,0))</f>
        <v/>
      </c>
      <c r="AO739">
        <f>IF($AK739=1,IFERROR(IF(VALUE($C739)&lt;100000000,VALUE($C739),1000000000),IFERROR(IF(VALUE(MID($C739,2,20))&lt;100000000,VALUE(MID($C739,2,20)),1000000000),1000000000))+ROW()/100000,"")</f>
        <v/>
      </c>
    </row>
    <row r="740">
      <c r="F740" s="11" t="n"/>
      <c r="N740" s="7">
        <f>IF($C740="","",M740*U740/100)</f>
        <v/>
      </c>
      <c r="T740" s="7" t="n"/>
      <c r="U740" s="7" t="n"/>
      <c r="V740" s="7">
        <f>IF($C740="","",U740*AA740/100)</f>
        <v/>
      </c>
      <c r="W740" s="7">
        <f>IF($C740="","",U740-V740)</f>
        <v/>
      </c>
      <c r="X740" s="7">
        <f>IF($C740="","",W740-N740)</f>
        <v/>
      </c>
      <c r="AA740">
        <f>IF($C740="","",IF($AN740=1,0,IF($AM740=1,Settings!$C$6,Settings!$C$7))*100)</f>
        <v/>
      </c>
      <c r="AE740" s="7" t="n"/>
      <c r="AH740" s="11" t="n"/>
      <c r="AJ740">
        <f>IF($C740="","",$C740&amp;"|"&amp;$D740&amp;"")</f>
        <v/>
      </c>
      <c r="AK740">
        <f>IF($C740="","",IF(COUNTIF($AJ$2:$AJ740,$AJ740)=1,1,0))</f>
        <v/>
      </c>
      <c r="AL740">
        <f>IF($AK740=1,SUMPRODUCT(--($AO$2:$AO$1501&lt;$AO740))+1,"")</f>
        <v/>
      </c>
      <c r="AM740">
        <f>IF($C740="","",IF(OR($Q740=TRUE(),$Q740="TRUE"),1,0))</f>
        <v/>
      </c>
      <c r="AN740">
        <f>IF($C740="","",IF($Z740="Yes",1,0))</f>
        <v/>
      </c>
      <c r="AO740">
        <f>IF($AK740=1,IFERROR(IF(VALUE($C740)&lt;100000000,VALUE($C740),1000000000),IFERROR(IF(VALUE(MID($C740,2,20))&lt;100000000,VALUE(MID($C740,2,20)),1000000000),1000000000))+ROW()/100000,"")</f>
        <v/>
      </c>
    </row>
    <row r="741">
      <c r="F741" s="11" t="n"/>
      <c r="N741" s="7">
        <f>IF($C741="","",M741*U741/100)</f>
        <v/>
      </c>
      <c r="T741" s="7" t="n"/>
      <c r="U741" s="7" t="n"/>
      <c r="V741" s="7">
        <f>IF($C741="","",U741*AA741/100)</f>
        <v/>
      </c>
      <c r="W741" s="7">
        <f>IF($C741="","",U741-V741)</f>
        <v/>
      </c>
      <c r="X741" s="7">
        <f>IF($C741="","",W741-N741)</f>
        <v/>
      </c>
      <c r="AA741">
        <f>IF($C741="","",IF($AN741=1,0,IF($AM741=1,Settings!$C$6,Settings!$C$7))*100)</f>
        <v/>
      </c>
      <c r="AE741" s="7" t="n"/>
      <c r="AH741" s="11" t="n"/>
      <c r="AJ741">
        <f>IF($C741="","",$C741&amp;"|"&amp;$D741&amp;"")</f>
        <v/>
      </c>
      <c r="AK741">
        <f>IF($C741="","",IF(COUNTIF($AJ$2:$AJ741,$AJ741)=1,1,0))</f>
        <v/>
      </c>
      <c r="AL741">
        <f>IF($AK741=1,SUMPRODUCT(--($AO$2:$AO$1501&lt;$AO741))+1,"")</f>
        <v/>
      </c>
      <c r="AM741">
        <f>IF($C741="","",IF(OR($Q741=TRUE(),$Q741="TRUE"),1,0))</f>
        <v/>
      </c>
      <c r="AN741">
        <f>IF($C741="","",IF($Z741="Yes",1,0))</f>
        <v/>
      </c>
      <c r="AO741">
        <f>IF($AK741=1,IFERROR(IF(VALUE($C741)&lt;100000000,VALUE($C741),1000000000),IFERROR(IF(VALUE(MID($C741,2,20))&lt;100000000,VALUE(MID($C741,2,20)),1000000000),1000000000))+ROW()/100000,"")</f>
        <v/>
      </c>
    </row>
    <row r="742">
      <c r="F742" s="11" t="n"/>
      <c r="N742" s="7">
        <f>IF($C742="","",M742*U742/100)</f>
        <v/>
      </c>
      <c r="T742" s="7" t="n"/>
      <c r="U742" s="7" t="n"/>
      <c r="V742" s="7">
        <f>IF($C742="","",U742*AA742/100)</f>
        <v/>
      </c>
      <c r="W742" s="7">
        <f>IF($C742="","",U742-V742)</f>
        <v/>
      </c>
      <c r="X742" s="7">
        <f>IF($C742="","",W742-N742)</f>
        <v/>
      </c>
      <c r="AA742">
        <f>IF($C742="","",IF($AN742=1,0,IF($AM742=1,Settings!$C$6,Settings!$C$7))*100)</f>
        <v/>
      </c>
      <c r="AE742" s="7" t="n"/>
      <c r="AH742" s="11" t="n"/>
      <c r="AJ742">
        <f>IF($C742="","",$C742&amp;"|"&amp;$D742&amp;"")</f>
        <v/>
      </c>
      <c r="AK742">
        <f>IF($C742="","",IF(COUNTIF($AJ$2:$AJ742,$AJ742)=1,1,0))</f>
        <v/>
      </c>
      <c r="AL742">
        <f>IF($AK742=1,SUMPRODUCT(--($AO$2:$AO$1501&lt;$AO742))+1,"")</f>
        <v/>
      </c>
      <c r="AM742">
        <f>IF($C742="","",IF(OR($Q742=TRUE(),$Q742="TRUE"),1,0))</f>
        <v/>
      </c>
      <c r="AN742">
        <f>IF($C742="","",IF($Z742="Yes",1,0))</f>
        <v/>
      </c>
      <c r="AO742">
        <f>IF($AK742=1,IFERROR(IF(VALUE($C742)&lt;100000000,VALUE($C742),1000000000),IFERROR(IF(VALUE(MID($C742,2,20))&lt;100000000,VALUE(MID($C742,2,20)),1000000000),1000000000))+ROW()/100000,"")</f>
        <v/>
      </c>
    </row>
    <row r="743">
      <c r="F743" s="11" t="n"/>
      <c r="N743" s="7">
        <f>IF($C743="","",M743*U743/100)</f>
        <v/>
      </c>
      <c r="T743" s="7" t="n"/>
      <c r="U743" s="7" t="n"/>
      <c r="V743" s="7">
        <f>IF($C743="","",U743*AA743/100)</f>
        <v/>
      </c>
      <c r="W743" s="7">
        <f>IF($C743="","",U743-V743)</f>
        <v/>
      </c>
      <c r="X743" s="7">
        <f>IF($C743="","",W743-N743)</f>
        <v/>
      </c>
      <c r="AA743">
        <f>IF($C743="","",IF($AN743=1,0,IF($AM743=1,Settings!$C$6,Settings!$C$7))*100)</f>
        <v/>
      </c>
      <c r="AE743" s="7" t="n"/>
      <c r="AH743" s="11" t="n"/>
      <c r="AJ743">
        <f>IF($C743="","",$C743&amp;"|"&amp;$D743&amp;"")</f>
        <v/>
      </c>
      <c r="AK743">
        <f>IF($C743="","",IF(COUNTIF($AJ$2:$AJ743,$AJ743)=1,1,0))</f>
        <v/>
      </c>
      <c r="AL743">
        <f>IF($AK743=1,SUMPRODUCT(--($AO$2:$AO$1501&lt;$AO743))+1,"")</f>
        <v/>
      </c>
      <c r="AM743">
        <f>IF($C743="","",IF(OR($Q743=TRUE(),$Q743="TRUE"),1,0))</f>
        <v/>
      </c>
      <c r="AN743">
        <f>IF($C743="","",IF($Z743="Yes",1,0))</f>
        <v/>
      </c>
      <c r="AO743">
        <f>IF($AK743=1,IFERROR(IF(VALUE($C743)&lt;100000000,VALUE($C743),1000000000),IFERROR(IF(VALUE(MID($C743,2,20))&lt;100000000,VALUE(MID($C743,2,20)),1000000000),1000000000))+ROW()/100000,"")</f>
        <v/>
      </c>
    </row>
    <row r="744">
      <c r="F744" s="11" t="n"/>
      <c r="N744" s="7">
        <f>IF($C744="","",M744*U744/100)</f>
        <v/>
      </c>
      <c r="T744" s="7" t="n"/>
      <c r="U744" s="7" t="n"/>
      <c r="V744" s="7">
        <f>IF($C744="","",U744*AA744/100)</f>
        <v/>
      </c>
      <c r="W744" s="7">
        <f>IF($C744="","",U744-V744)</f>
        <v/>
      </c>
      <c r="X744" s="7">
        <f>IF($C744="","",W744-N744)</f>
        <v/>
      </c>
      <c r="AA744">
        <f>IF($C744="","",IF($AN744=1,0,IF($AM744=1,Settings!$C$6,Settings!$C$7))*100)</f>
        <v/>
      </c>
      <c r="AE744" s="7" t="n"/>
      <c r="AH744" s="11" t="n"/>
      <c r="AJ744">
        <f>IF($C744="","",$C744&amp;"|"&amp;$D744&amp;"")</f>
        <v/>
      </c>
      <c r="AK744">
        <f>IF($C744="","",IF(COUNTIF($AJ$2:$AJ744,$AJ744)=1,1,0))</f>
        <v/>
      </c>
      <c r="AL744">
        <f>IF($AK744=1,SUMPRODUCT(--($AO$2:$AO$1501&lt;$AO744))+1,"")</f>
        <v/>
      </c>
      <c r="AM744">
        <f>IF($C744="","",IF(OR($Q744=TRUE(),$Q744="TRUE"),1,0))</f>
        <v/>
      </c>
      <c r="AN744">
        <f>IF($C744="","",IF($Z744="Yes",1,0))</f>
        <v/>
      </c>
      <c r="AO744">
        <f>IF($AK744=1,IFERROR(IF(VALUE($C744)&lt;100000000,VALUE($C744),1000000000),IFERROR(IF(VALUE(MID($C744,2,20))&lt;100000000,VALUE(MID($C744,2,20)),1000000000),1000000000))+ROW()/100000,"")</f>
        <v/>
      </c>
    </row>
    <row r="745">
      <c r="F745" s="11" t="n"/>
      <c r="N745" s="7">
        <f>IF($C745="","",M745*U745/100)</f>
        <v/>
      </c>
      <c r="T745" s="7" t="n"/>
      <c r="U745" s="7" t="n"/>
      <c r="V745" s="7">
        <f>IF($C745="","",U745*AA745/100)</f>
        <v/>
      </c>
      <c r="W745" s="7">
        <f>IF($C745="","",U745-V745)</f>
        <v/>
      </c>
      <c r="X745" s="7">
        <f>IF($C745="","",W745-N745)</f>
        <v/>
      </c>
      <c r="AA745">
        <f>IF($C745="","",IF($AN745=1,0,IF($AM745=1,Settings!$C$6,Settings!$C$7))*100)</f>
        <v/>
      </c>
      <c r="AE745" s="7" t="n"/>
      <c r="AH745" s="11" t="n"/>
      <c r="AJ745">
        <f>IF($C745="","",$C745&amp;"|"&amp;$D745&amp;"")</f>
        <v/>
      </c>
      <c r="AK745">
        <f>IF($C745="","",IF(COUNTIF($AJ$2:$AJ745,$AJ745)=1,1,0))</f>
        <v/>
      </c>
      <c r="AL745">
        <f>IF($AK745=1,SUMPRODUCT(--($AO$2:$AO$1501&lt;$AO745))+1,"")</f>
        <v/>
      </c>
      <c r="AM745">
        <f>IF($C745="","",IF(OR($Q745=TRUE(),$Q745="TRUE"),1,0))</f>
        <v/>
      </c>
      <c r="AN745">
        <f>IF($C745="","",IF($Z745="Yes",1,0))</f>
        <v/>
      </c>
      <c r="AO745">
        <f>IF($AK745=1,IFERROR(IF(VALUE($C745)&lt;100000000,VALUE($C745),1000000000),IFERROR(IF(VALUE(MID($C745,2,20))&lt;100000000,VALUE(MID($C745,2,20)),1000000000),1000000000))+ROW()/100000,"")</f>
        <v/>
      </c>
    </row>
    <row r="746">
      <c r="F746" s="11" t="n"/>
      <c r="N746" s="7">
        <f>IF($C746="","",M746*U746/100)</f>
        <v/>
      </c>
      <c r="T746" s="7" t="n"/>
      <c r="U746" s="7" t="n"/>
      <c r="V746" s="7">
        <f>IF($C746="","",U746*AA746/100)</f>
        <v/>
      </c>
      <c r="W746" s="7">
        <f>IF($C746="","",U746-V746)</f>
        <v/>
      </c>
      <c r="X746" s="7">
        <f>IF($C746="","",W746-N746)</f>
        <v/>
      </c>
      <c r="AA746">
        <f>IF($C746="","",IF($AN746=1,0,IF($AM746=1,Settings!$C$6,Settings!$C$7))*100)</f>
        <v/>
      </c>
      <c r="AE746" s="7" t="n"/>
      <c r="AH746" s="11" t="n"/>
      <c r="AJ746">
        <f>IF($C746="","",$C746&amp;"|"&amp;$D746&amp;"")</f>
        <v/>
      </c>
      <c r="AK746">
        <f>IF($C746="","",IF(COUNTIF($AJ$2:$AJ746,$AJ746)=1,1,0))</f>
        <v/>
      </c>
      <c r="AL746">
        <f>IF($AK746=1,SUMPRODUCT(--($AO$2:$AO$1501&lt;$AO746))+1,"")</f>
        <v/>
      </c>
      <c r="AM746">
        <f>IF($C746="","",IF(OR($Q746=TRUE(),$Q746="TRUE"),1,0))</f>
        <v/>
      </c>
      <c r="AN746">
        <f>IF($C746="","",IF($Z746="Yes",1,0))</f>
        <v/>
      </c>
      <c r="AO746">
        <f>IF($AK746=1,IFERROR(IF(VALUE($C746)&lt;100000000,VALUE($C746),1000000000),IFERROR(IF(VALUE(MID($C746,2,20))&lt;100000000,VALUE(MID($C746,2,20)),1000000000),1000000000))+ROW()/100000,"")</f>
        <v/>
      </c>
    </row>
    <row r="747">
      <c r="F747" s="11" t="n"/>
      <c r="N747" s="7">
        <f>IF($C747="","",M747*U747/100)</f>
        <v/>
      </c>
      <c r="T747" s="7" t="n"/>
      <c r="U747" s="7" t="n"/>
      <c r="V747" s="7">
        <f>IF($C747="","",U747*AA747/100)</f>
        <v/>
      </c>
      <c r="W747" s="7">
        <f>IF($C747="","",U747-V747)</f>
        <v/>
      </c>
      <c r="X747" s="7">
        <f>IF($C747="","",W747-N747)</f>
        <v/>
      </c>
      <c r="AA747">
        <f>IF($C747="","",IF($AN747=1,0,IF($AM747=1,Settings!$C$6,Settings!$C$7))*100)</f>
        <v/>
      </c>
      <c r="AE747" s="7" t="n"/>
      <c r="AH747" s="11" t="n"/>
      <c r="AJ747">
        <f>IF($C747="","",$C747&amp;"|"&amp;$D747&amp;"")</f>
        <v/>
      </c>
      <c r="AK747">
        <f>IF($C747="","",IF(COUNTIF($AJ$2:$AJ747,$AJ747)=1,1,0))</f>
        <v/>
      </c>
      <c r="AL747">
        <f>IF($AK747=1,SUMPRODUCT(--($AO$2:$AO$1501&lt;$AO747))+1,"")</f>
        <v/>
      </c>
      <c r="AM747">
        <f>IF($C747="","",IF(OR($Q747=TRUE(),$Q747="TRUE"),1,0))</f>
        <v/>
      </c>
      <c r="AN747">
        <f>IF($C747="","",IF($Z747="Yes",1,0))</f>
        <v/>
      </c>
      <c r="AO747">
        <f>IF($AK747=1,IFERROR(IF(VALUE($C747)&lt;100000000,VALUE($C747),1000000000),IFERROR(IF(VALUE(MID($C747,2,20))&lt;100000000,VALUE(MID($C747,2,20)),1000000000),1000000000))+ROW()/100000,"")</f>
        <v/>
      </c>
    </row>
    <row r="748">
      <c r="F748" s="11" t="n"/>
      <c r="N748" s="7">
        <f>IF($C748="","",M748*U748/100)</f>
        <v/>
      </c>
      <c r="T748" s="7" t="n"/>
      <c r="U748" s="7" t="n"/>
      <c r="V748" s="7">
        <f>IF($C748="","",U748*AA748/100)</f>
        <v/>
      </c>
      <c r="W748" s="7">
        <f>IF($C748="","",U748-V748)</f>
        <v/>
      </c>
      <c r="X748" s="7">
        <f>IF($C748="","",W748-N748)</f>
        <v/>
      </c>
      <c r="AA748">
        <f>IF($C748="","",IF($AN748=1,0,IF($AM748=1,Settings!$C$6,Settings!$C$7))*100)</f>
        <v/>
      </c>
      <c r="AE748" s="7" t="n"/>
      <c r="AH748" s="11" t="n"/>
      <c r="AJ748">
        <f>IF($C748="","",$C748&amp;"|"&amp;$D748&amp;"")</f>
        <v/>
      </c>
      <c r="AK748">
        <f>IF($C748="","",IF(COUNTIF($AJ$2:$AJ748,$AJ748)=1,1,0))</f>
        <v/>
      </c>
      <c r="AL748">
        <f>IF($AK748=1,SUMPRODUCT(--($AO$2:$AO$1501&lt;$AO748))+1,"")</f>
        <v/>
      </c>
      <c r="AM748">
        <f>IF($C748="","",IF(OR($Q748=TRUE(),$Q748="TRUE"),1,0))</f>
        <v/>
      </c>
      <c r="AN748">
        <f>IF($C748="","",IF($Z748="Yes",1,0))</f>
        <v/>
      </c>
      <c r="AO748">
        <f>IF($AK748=1,IFERROR(IF(VALUE($C748)&lt;100000000,VALUE($C748),1000000000),IFERROR(IF(VALUE(MID($C748,2,20))&lt;100000000,VALUE(MID($C748,2,20)),1000000000),1000000000))+ROW()/100000,"")</f>
        <v/>
      </c>
    </row>
    <row r="749">
      <c r="F749" s="11" t="n"/>
      <c r="N749" s="7">
        <f>IF($C749="","",M749*U749/100)</f>
        <v/>
      </c>
      <c r="T749" s="7" t="n"/>
      <c r="U749" s="7" t="n"/>
      <c r="V749" s="7">
        <f>IF($C749="","",U749*AA749/100)</f>
        <v/>
      </c>
      <c r="W749" s="7">
        <f>IF($C749="","",U749-V749)</f>
        <v/>
      </c>
      <c r="X749" s="7">
        <f>IF($C749="","",W749-N749)</f>
        <v/>
      </c>
      <c r="AA749">
        <f>IF($C749="","",IF($AN749=1,0,IF($AM749=1,Settings!$C$6,Settings!$C$7))*100)</f>
        <v/>
      </c>
      <c r="AE749" s="7" t="n"/>
      <c r="AH749" s="11" t="n"/>
      <c r="AJ749">
        <f>IF($C749="","",$C749&amp;"|"&amp;$D749&amp;"")</f>
        <v/>
      </c>
      <c r="AK749">
        <f>IF($C749="","",IF(COUNTIF($AJ$2:$AJ749,$AJ749)=1,1,0))</f>
        <v/>
      </c>
      <c r="AL749">
        <f>IF($AK749=1,SUMPRODUCT(--($AO$2:$AO$1501&lt;$AO749))+1,"")</f>
        <v/>
      </c>
      <c r="AM749">
        <f>IF($C749="","",IF(OR($Q749=TRUE(),$Q749="TRUE"),1,0))</f>
        <v/>
      </c>
      <c r="AN749">
        <f>IF($C749="","",IF($Z749="Yes",1,0))</f>
        <v/>
      </c>
      <c r="AO749">
        <f>IF($AK749=1,IFERROR(IF(VALUE($C749)&lt;100000000,VALUE($C749),1000000000),IFERROR(IF(VALUE(MID($C749,2,20))&lt;100000000,VALUE(MID($C749,2,20)),1000000000),1000000000))+ROW()/100000,"")</f>
        <v/>
      </c>
    </row>
    <row r="750">
      <c r="F750" s="11" t="n"/>
      <c r="N750" s="7">
        <f>IF($C750="","",M750*U750/100)</f>
        <v/>
      </c>
      <c r="T750" s="7" t="n"/>
      <c r="U750" s="7" t="n"/>
      <c r="V750" s="7">
        <f>IF($C750="","",U750*AA750/100)</f>
        <v/>
      </c>
      <c r="W750" s="7">
        <f>IF($C750="","",U750-V750)</f>
        <v/>
      </c>
      <c r="X750" s="7">
        <f>IF($C750="","",W750-N750)</f>
        <v/>
      </c>
      <c r="AA750">
        <f>IF($C750="","",IF($AN750=1,0,IF($AM750=1,Settings!$C$6,Settings!$C$7))*100)</f>
        <v/>
      </c>
      <c r="AE750" s="7" t="n"/>
      <c r="AH750" s="11" t="n"/>
      <c r="AJ750">
        <f>IF($C750="","",$C750&amp;"|"&amp;$D750&amp;"")</f>
        <v/>
      </c>
      <c r="AK750">
        <f>IF($C750="","",IF(COUNTIF($AJ$2:$AJ750,$AJ750)=1,1,0))</f>
        <v/>
      </c>
      <c r="AL750">
        <f>IF($AK750=1,SUMPRODUCT(--($AO$2:$AO$1501&lt;$AO750))+1,"")</f>
        <v/>
      </c>
      <c r="AM750">
        <f>IF($C750="","",IF(OR($Q750=TRUE(),$Q750="TRUE"),1,0))</f>
        <v/>
      </c>
      <c r="AN750">
        <f>IF($C750="","",IF($Z750="Yes",1,0))</f>
        <v/>
      </c>
      <c r="AO750">
        <f>IF($AK750=1,IFERROR(IF(VALUE($C750)&lt;100000000,VALUE($C750),1000000000),IFERROR(IF(VALUE(MID($C750,2,20))&lt;100000000,VALUE(MID($C750,2,20)),1000000000),1000000000))+ROW()/100000,"")</f>
        <v/>
      </c>
    </row>
    <row r="751">
      <c r="F751" s="11" t="n"/>
      <c r="N751" s="7">
        <f>IF($C751="","",M751*U751/100)</f>
        <v/>
      </c>
      <c r="T751" s="7" t="n"/>
      <c r="U751" s="7" t="n"/>
      <c r="V751" s="7">
        <f>IF($C751="","",U751*AA751/100)</f>
        <v/>
      </c>
      <c r="W751" s="7">
        <f>IF($C751="","",U751-V751)</f>
        <v/>
      </c>
      <c r="X751" s="7">
        <f>IF($C751="","",W751-N751)</f>
        <v/>
      </c>
      <c r="AA751">
        <f>IF($C751="","",IF($AN751=1,0,IF($AM751=1,Settings!$C$6,Settings!$C$7))*100)</f>
        <v/>
      </c>
      <c r="AE751" s="7" t="n"/>
      <c r="AH751" s="11" t="n"/>
      <c r="AJ751">
        <f>IF($C751="","",$C751&amp;"|"&amp;$D751&amp;"")</f>
        <v/>
      </c>
      <c r="AK751">
        <f>IF($C751="","",IF(COUNTIF($AJ$2:$AJ751,$AJ751)=1,1,0))</f>
        <v/>
      </c>
      <c r="AL751">
        <f>IF($AK751=1,SUMPRODUCT(--($AO$2:$AO$1501&lt;$AO751))+1,"")</f>
        <v/>
      </c>
      <c r="AM751">
        <f>IF($C751="","",IF(OR($Q751=TRUE(),$Q751="TRUE"),1,0))</f>
        <v/>
      </c>
      <c r="AN751">
        <f>IF($C751="","",IF($Z751="Yes",1,0))</f>
        <v/>
      </c>
      <c r="AO751">
        <f>IF($AK751=1,IFERROR(IF(VALUE($C751)&lt;100000000,VALUE($C751),1000000000),IFERROR(IF(VALUE(MID($C751,2,20))&lt;100000000,VALUE(MID($C751,2,20)),1000000000),1000000000))+ROW()/100000,"")</f>
        <v/>
      </c>
    </row>
    <row r="752">
      <c r="F752" s="11" t="n"/>
      <c r="N752" s="7">
        <f>IF($C752="","",M752*U752/100)</f>
        <v/>
      </c>
      <c r="T752" s="7" t="n"/>
      <c r="U752" s="7" t="n"/>
      <c r="V752" s="7">
        <f>IF($C752="","",U752*AA752/100)</f>
        <v/>
      </c>
      <c r="W752" s="7">
        <f>IF($C752="","",U752-V752)</f>
        <v/>
      </c>
      <c r="X752" s="7">
        <f>IF($C752="","",W752-N752)</f>
        <v/>
      </c>
      <c r="AA752">
        <f>IF($C752="","",IF($AN752=1,0,IF($AM752=1,Settings!$C$6,Settings!$C$7))*100)</f>
        <v/>
      </c>
      <c r="AE752" s="7" t="n"/>
      <c r="AH752" s="11" t="n"/>
      <c r="AJ752">
        <f>IF($C752="","",$C752&amp;"|"&amp;$D752&amp;"")</f>
        <v/>
      </c>
      <c r="AK752">
        <f>IF($C752="","",IF(COUNTIF($AJ$2:$AJ752,$AJ752)=1,1,0))</f>
        <v/>
      </c>
      <c r="AL752">
        <f>IF($AK752=1,SUMPRODUCT(--($AO$2:$AO$1501&lt;$AO752))+1,"")</f>
        <v/>
      </c>
      <c r="AM752">
        <f>IF($C752="","",IF(OR($Q752=TRUE(),$Q752="TRUE"),1,0))</f>
        <v/>
      </c>
      <c r="AN752">
        <f>IF($C752="","",IF($Z752="Yes",1,0))</f>
        <v/>
      </c>
      <c r="AO752">
        <f>IF($AK752=1,IFERROR(IF(VALUE($C752)&lt;100000000,VALUE($C752),1000000000),IFERROR(IF(VALUE(MID($C752,2,20))&lt;100000000,VALUE(MID($C752,2,20)),1000000000),1000000000))+ROW()/100000,"")</f>
        <v/>
      </c>
    </row>
    <row r="753">
      <c r="F753" s="11" t="n"/>
      <c r="N753" s="7">
        <f>IF($C753="","",M753*U753/100)</f>
        <v/>
      </c>
      <c r="T753" s="7" t="n"/>
      <c r="U753" s="7" t="n"/>
      <c r="V753" s="7">
        <f>IF($C753="","",U753*AA753/100)</f>
        <v/>
      </c>
      <c r="W753" s="7">
        <f>IF($C753="","",U753-V753)</f>
        <v/>
      </c>
      <c r="X753" s="7">
        <f>IF($C753="","",W753-N753)</f>
        <v/>
      </c>
      <c r="AA753">
        <f>IF($C753="","",IF($AN753=1,0,IF($AM753=1,Settings!$C$6,Settings!$C$7))*100)</f>
        <v/>
      </c>
      <c r="AE753" s="7" t="n"/>
      <c r="AH753" s="11" t="n"/>
      <c r="AJ753">
        <f>IF($C753="","",$C753&amp;"|"&amp;$D753&amp;"")</f>
        <v/>
      </c>
      <c r="AK753">
        <f>IF($C753="","",IF(COUNTIF($AJ$2:$AJ753,$AJ753)=1,1,0))</f>
        <v/>
      </c>
      <c r="AL753">
        <f>IF($AK753=1,SUMPRODUCT(--($AO$2:$AO$1501&lt;$AO753))+1,"")</f>
        <v/>
      </c>
      <c r="AM753">
        <f>IF($C753="","",IF(OR($Q753=TRUE(),$Q753="TRUE"),1,0))</f>
        <v/>
      </c>
      <c r="AN753">
        <f>IF($C753="","",IF($Z753="Yes",1,0))</f>
        <v/>
      </c>
      <c r="AO753">
        <f>IF($AK753=1,IFERROR(IF(VALUE($C753)&lt;100000000,VALUE($C753),1000000000),IFERROR(IF(VALUE(MID($C753,2,20))&lt;100000000,VALUE(MID($C753,2,20)),1000000000),1000000000))+ROW()/100000,"")</f>
        <v/>
      </c>
    </row>
    <row r="754">
      <c r="F754" s="11" t="n"/>
      <c r="N754" s="7">
        <f>IF($C754="","",M754*U754/100)</f>
        <v/>
      </c>
      <c r="T754" s="7" t="n"/>
      <c r="U754" s="7" t="n"/>
      <c r="V754" s="7">
        <f>IF($C754="","",U754*AA754/100)</f>
        <v/>
      </c>
      <c r="W754" s="7">
        <f>IF($C754="","",U754-V754)</f>
        <v/>
      </c>
      <c r="X754" s="7">
        <f>IF($C754="","",W754-N754)</f>
        <v/>
      </c>
      <c r="AA754">
        <f>IF($C754="","",IF($AN754=1,0,IF($AM754=1,Settings!$C$6,Settings!$C$7))*100)</f>
        <v/>
      </c>
      <c r="AE754" s="7" t="n"/>
      <c r="AH754" s="11" t="n"/>
      <c r="AJ754">
        <f>IF($C754="","",$C754&amp;"|"&amp;$D754&amp;"")</f>
        <v/>
      </c>
      <c r="AK754">
        <f>IF($C754="","",IF(COUNTIF($AJ$2:$AJ754,$AJ754)=1,1,0))</f>
        <v/>
      </c>
      <c r="AL754">
        <f>IF($AK754=1,SUMPRODUCT(--($AO$2:$AO$1501&lt;$AO754))+1,"")</f>
        <v/>
      </c>
      <c r="AM754">
        <f>IF($C754="","",IF(OR($Q754=TRUE(),$Q754="TRUE"),1,0))</f>
        <v/>
      </c>
      <c r="AN754">
        <f>IF($C754="","",IF($Z754="Yes",1,0))</f>
        <v/>
      </c>
      <c r="AO754">
        <f>IF($AK754=1,IFERROR(IF(VALUE($C754)&lt;100000000,VALUE($C754),1000000000),IFERROR(IF(VALUE(MID($C754,2,20))&lt;100000000,VALUE(MID($C754,2,20)),1000000000),1000000000))+ROW()/100000,"")</f>
        <v/>
      </c>
    </row>
    <row r="755">
      <c r="F755" s="11" t="n"/>
      <c r="N755" s="7">
        <f>IF($C755="","",M755*U755/100)</f>
        <v/>
      </c>
      <c r="T755" s="7" t="n"/>
      <c r="U755" s="7" t="n"/>
      <c r="V755" s="7">
        <f>IF($C755="","",U755*AA755/100)</f>
        <v/>
      </c>
      <c r="W755" s="7">
        <f>IF($C755="","",U755-V755)</f>
        <v/>
      </c>
      <c r="X755" s="7">
        <f>IF($C755="","",W755-N755)</f>
        <v/>
      </c>
      <c r="AA755">
        <f>IF($C755="","",IF($AN755=1,0,IF($AM755=1,Settings!$C$6,Settings!$C$7))*100)</f>
        <v/>
      </c>
      <c r="AE755" s="7" t="n"/>
      <c r="AH755" s="11" t="n"/>
      <c r="AJ755">
        <f>IF($C755="","",$C755&amp;"|"&amp;$D755&amp;"")</f>
        <v/>
      </c>
      <c r="AK755">
        <f>IF($C755="","",IF(COUNTIF($AJ$2:$AJ755,$AJ755)=1,1,0))</f>
        <v/>
      </c>
      <c r="AL755">
        <f>IF($AK755=1,SUMPRODUCT(--($AO$2:$AO$1501&lt;$AO755))+1,"")</f>
        <v/>
      </c>
      <c r="AM755">
        <f>IF($C755="","",IF(OR($Q755=TRUE(),$Q755="TRUE"),1,0))</f>
        <v/>
      </c>
      <c r="AN755">
        <f>IF($C755="","",IF($Z755="Yes",1,0))</f>
        <v/>
      </c>
      <c r="AO755">
        <f>IF($AK755=1,IFERROR(IF(VALUE($C755)&lt;100000000,VALUE($C755),1000000000),IFERROR(IF(VALUE(MID($C755,2,20))&lt;100000000,VALUE(MID($C755,2,20)),1000000000),1000000000))+ROW()/100000,"")</f>
        <v/>
      </c>
    </row>
    <row r="756">
      <c r="F756" s="11" t="n"/>
      <c r="N756" s="7">
        <f>IF($C756="","",M756*U756/100)</f>
        <v/>
      </c>
      <c r="T756" s="7" t="n"/>
      <c r="U756" s="7" t="n"/>
      <c r="V756" s="7">
        <f>IF($C756="","",U756*AA756/100)</f>
        <v/>
      </c>
      <c r="W756" s="7">
        <f>IF($C756="","",U756-V756)</f>
        <v/>
      </c>
      <c r="X756" s="7">
        <f>IF($C756="","",W756-N756)</f>
        <v/>
      </c>
      <c r="AA756">
        <f>IF($C756="","",IF($AN756=1,0,IF($AM756=1,Settings!$C$6,Settings!$C$7))*100)</f>
        <v/>
      </c>
      <c r="AE756" s="7" t="n"/>
      <c r="AH756" s="11" t="n"/>
      <c r="AJ756">
        <f>IF($C756="","",$C756&amp;"|"&amp;$D756&amp;"")</f>
        <v/>
      </c>
      <c r="AK756">
        <f>IF($C756="","",IF(COUNTIF($AJ$2:$AJ756,$AJ756)=1,1,0))</f>
        <v/>
      </c>
      <c r="AL756">
        <f>IF($AK756=1,SUMPRODUCT(--($AO$2:$AO$1501&lt;$AO756))+1,"")</f>
        <v/>
      </c>
      <c r="AM756">
        <f>IF($C756="","",IF(OR($Q756=TRUE(),$Q756="TRUE"),1,0))</f>
        <v/>
      </c>
      <c r="AN756">
        <f>IF($C756="","",IF($Z756="Yes",1,0))</f>
        <v/>
      </c>
      <c r="AO756">
        <f>IF($AK756=1,IFERROR(IF(VALUE($C756)&lt;100000000,VALUE($C756),1000000000),IFERROR(IF(VALUE(MID($C756,2,20))&lt;100000000,VALUE(MID($C756,2,20)),1000000000),1000000000))+ROW()/100000,"")</f>
        <v/>
      </c>
    </row>
    <row r="757">
      <c r="F757" s="11" t="n"/>
      <c r="N757" s="7">
        <f>IF($C757="","",M757*U757/100)</f>
        <v/>
      </c>
      <c r="T757" s="7" t="n"/>
      <c r="U757" s="7" t="n"/>
      <c r="V757" s="7">
        <f>IF($C757="","",U757*AA757/100)</f>
        <v/>
      </c>
      <c r="W757" s="7">
        <f>IF($C757="","",U757-V757)</f>
        <v/>
      </c>
      <c r="X757" s="7">
        <f>IF($C757="","",W757-N757)</f>
        <v/>
      </c>
      <c r="AA757">
        <f>IF($C757="","",IF($AN757=1,0,IF($AM757=1,Settings!$C$6,Settings!$C$7))*100)</f>
        <v/>
      </c>
      <c r="AE757" s="7" t="n"/>
      <c r="AH757" s="11" t="n"/>
      <c r="AJ757">
        <f>IF($C757="","",$C757&amp;"|"&amp;$D757&amp;"")</f>
        <v/>
      </c>
      <c r="AK757">
        <f>IF($C757="","",IF(COUNTIF($AJ$2:$AJ757,$AJ757)=1,1,0))</f>
        <v/>
      </c>
      <c r="AL757">
        <f>IF($AK757=1,SUMPRODUCT(--($AO$2:$AO$1501&lt;$AO757))+1,"")</f>
        <v/>
      </c>
      <c r="AM757">
        <f>IF($C757="","",IF(OR($Q757=TRUE(),$Q757="TRUE"),1,0))</f>
        <v/>
      </c>
      <c r="AN757">
        <f>IF($C757="","",IF($Z757="Yes",1,0))</f>
        <v/>
      </c>
      <c r="AO757">
        <f>IF($AK757=1,IFERROR(IF(VALUE($C757)&lt;100000000,VALUE($C757),1000000000),IFERROR(IF(VALUE(MID($C757,2,20))&lt;100000000,VALUE(MID($C757,2,20)),1000000000),1000000000))+ROW()/100000,"")</f>
        <v/>
      </c>
    </row>
    <row r="758">
      <c r="F758" s="11" t="n"/>
      <c r="N758" s="7">
        <f>IF($C758="","",M758*U758/100)</f>
        <v/>
      </c>
      <c r="T758" s="7" t="n"/>
      <c r="U758" s="7" t="n"/>
      <c r="V758" s="7">
        <f>IF($C758="","",U758*AA758/100)</f>
        <v/>
      </c>
      <c r="W758" s="7">
        <f>IF($C758="","",U758-V758)</f>
        <v/>
      </c>
      <c r="X758" s="7">
        <f>IF($C758="","",W758-N758)</f>
        <v/>
      </c>
      <c r="AA758">
        <f>IF($C758="","",IF($AN758=1,0,IF($AM758=1,Settings!$C$6,Settings!$C$7))*100)</f>
        <v/>
      </c>
      <c r="AE758" s="7" t="n"/>
      <c r="AH758" s="11" t="n"/>
      <c r="AJ758">
        <f>IF($C758="","",$C758&amp;"|"&amp;$D758&amp;"")</f>
        <v/>
      </c>
      <c r="AK758">
        <f>IF($C758="","",IF(COUNTIF($AJ$2:$AJ758,$AJ758)=1,1,0))</f>
        <v/>
      </c>
      <c r="AL758">
        <f>IF($AK758=1,SUMPRODUCT(--($AO$2:$AO$1501&lt;$AO758))+1,"")</f>
        <v/>
      </c>
      <c r="AM758">
        <f>IF($C758="","",IF(OR($Q758=TRUE(),$Q758="TRUE"),1,0))</f>
        <v/>
      </c>
      <c r="AN758">
        <f>IF($C758="","",IF($Z758="Yes",1,0))</f>
        <v/>
      </c>
      <c r="AO758">
        <f>IF($AK758=1,IFERROR(IF(VALUE($C758)&lt;100000000,VALUE($C758),1000000000),IFERROR(IF(VALUE(MID($C758,2,20))&lt;100000000,VALUE(MID($C758,2,20)),1000000000),1000000000))+ROW()/100000,"")</f>
        <v/>
      </c>
    </row>
    <row r="759">
      <c r="F759" s="11" t="n"/>
      <c r="N759" s="7">
        <f>IF($C759="","",M759*U759/100)</f>
        <v/>
      </c>
      <c r="T759" s="7" t="n"/>
      <c r="U759" s="7" t="n"/>
      <c r="V759" s="7">
        <f>IF($C759="","",U759*AA759/100)</f>
        <v/>
      </c>
      <c r="W759" s="7">
        <f>IF($C759="","",U759-V759)</f>
        <v/>
      </c>
      <c r="X759" s="7">
        <f>IF($C759="","",W759-N759)</f>
        <v/>
      </c>
      <c r="AA759">
        <f>IF($C759="","",IF($AN759=1,0,IF($AM759=1,Settings!$C$6,Settings!$C$7))*100)</f>
        <v/>
      </c>
      <c r="AE759" s="7" t="n"/>
      <c r="AH759" s="11" t="n"/>
      <c r="AJ759">
        <f>IF($C759="","",$C759&amp;"|"&amp;$D759&amp;"")</f>
        <v/>
      </c>
      <c r="AK759">
        <f>IF($C759="","",IF(COUNTIF($AJ$2:$AJ759,$AJ759)=1,1,0))</f>
        <v/>
      </c>
      <c r="AL759">
        <f>IF($AK759=1,SUMPRODUCT(--($AO$2:$AO$1501&lt;$AO759))+1,"")</f>
        <v/>
      </c>
      <c r="AM759">
        <f>IF($C759="","",IF(OR($Q759=TRUE(),$Q759="TRUE"),1,0))</f>
        <v/>
      </c>
      <c r="AN759">
        <f>IF($C759="","",IF($Z759="Yes",1,0))</f>
        <v/>
      </c>
      <c r="AO759">
        <f>IF($AK759=1,IFERROR(IF(VALUE($C759)&lt;100000000,VALUE($C759),1000000000),IFERROR(IF(VALUE(MID($C759,2,20))&lt;100000000,VALUE(MID($C759,2,20)),1000000000),1000000000))+ROW()/100000,"")</f>
        <v/>
      </c>
    </row>
    <row r="760">
      <c r="F760" s="11" t="n"/>
      <c r="N760" s="7">
        <f>IF($C760="","",M760*U760/100)</f>
        <v/>
      </c>
      <c r="T760" s="7" t="n"/>
      <c r="U760" s="7" t="n"/>
      <c r="V760" s="7">
        <f>IF($C760="","",U760*AA760/100)</f>
        <v/>
      </c>
      <c r="W760" s="7">
        <f>IF($C760="","",U760-V760)</f>
        <v/>
      </c>
      <c r="X760" s="7">
        <f>IF($C760="","",W760-N760)</f>
        <v/>
      </c>
      <c r="AA760">
        <f>IF($C760="","",IF($AN760=1,0,IF($AM760=1,Settings!$C$6,Settings!$C$7))*100)</f>
        <v/>
      </c>
      <c r="AE760" s="7" t="n"/>
      <c r="AH760" s="11" t="n"/>
      <c r="AJ760">
        <f>IF($C760="","",$C760&amp;"|"&amp;$D760&amp;"")</f>
        <v/>
      </c>
      <c r="AK760">
        <f>IF($C760="","",IF(COUNTIF($AJ$2:$AJ760,$AJ760)=1,1,0))</f>
        <v/>
      </c>
      <c r="AL760">
        <f>IF($AK760=1,SUMPRODUCT(--($AO$2:$AO$1501&lt;$AO760))+1,"")</f>
        <v/>
      </c>
      <c r="AM760">
        <f>IF($C760="","",IF(OR($Q760=TRUE(),$Q760="TRUE"),1,0))</f>
        <v/>
      </c>
      <c r="AN760">
        <f>IF($C760="","",IF($Z760="Yes",1,0))</f>
        <v/>
      </c>
      <c r="AO760">
        <f>IF($AK760=1,IFERROR(IF(VALUE($C760)&lt;100000000,VALUE($C760),1000000000),IFERROR(IF(VALUE(MID($C760,2,20))&lt;100000000,VALUE(MID($C760,2,20)),1000000000),1000000000))+ROW()/100000,"")</f>
        <v/>
      </c>
    </row>
    <row r="761">
      <c r="F761" s="11" t="n"/>
      <c r="N761" s="7">
        <f>IF($C761="","",M761*U761/100)</f>
        <v/>
      </c>
      <c r="T761" s="7" t="n"/>
      <c r="U761" s="7" t="n"/>
      <c r="V761" s="7">
        <f>IF($C761="","",U761*AA761/100)</f>
        <v/>
      </c>
      <c r="W761" s="7">
        <f>IF($C761="","",U761-V761)</f>
        <v/>
      </c>
      <c r="X761" s="7">
        <f>IF($C761="","",W761-N761)</f>
        <v/>
      </c>
      <c r="AA761">
        <f>IF($C761="","",IF($AN761=1,0,IF($AM761=1,Settings!$C$6,Settings!$C$7))*100)</f>
        <v/>
      </c>
      <c r="AE761" s="7" t="n"/>
      <c r="AH761" s="11" t="n"/>
      <c r="AJ761">
        <f>IF($C761="","",$C761&amp;"|"&amp;$D761&amp;"")</f>
        <v/>
      </c>
      <c r="AK761">
        <f>IF($C761="","",IF(COUNTIF($AJ$2:$AJ761,$AJ761)=1,1,0))</f>
        <v/>
      </c>
      <c r="AL761">
        <f>IF($AK761=1,SUMPRODUCT(--($AO$2:$AO$1501&lt;$AO761))+1,"")</f>
        <v/>
      </c>
      <c r="AM761">
        <f>IF($C761="","",IF(OR($Q761=TRUE(),$Q761="TRUE"),1,0))</f>
        <v/>
      </c>
      <c r="AN761">
        <f>IF($C761="","",IF($Z761="Yes",1,0))</f>
        <v/>
      </c>
      <c r="AO761">
        <f>IF($AK761=1,IFERROR(IF(VALUE($C761)&lt;100000000,VALUE($C761),1000000000),IFERROR(IF(VALUE(MID($C761,2,20))&lt;100000000,VALUE(MID($C761,2,20)),1000000000),1000000000))+ROW()/100000,"")</f>
        <v/>
      </c>
    </row>
    <row r="762">
      <c r="F762" s="11" t="n"/>
      <c r="N762" s="7">
        <f>IF($C762="","",M762*U762/100)</f>
        <v/>
      </c>
      <c r="T762" s="7" t="n"/>
      <c r="U762" s="7" t="n"/>
      <c r="V762" s="7">
        <f>IF($C762="","",U762*AA762/100)</f>
        <v/>
      </c>
      <c r="W762" s="7">
        <f>IF($C762="","",U762-V762)</f>
        <v/>
      </c>
      <c r="X762" s="7">
        <f>IF($C762="","",W762-N762)</f>
        <v/>
      </c>
      <c r="AA762">
        <f>IF($C762="","",IF($AN762=1,0,IF($AM762=1,Settings!$C$6,Settings!$C$7))*100)</f>
        <v/>
      </c>
      <c r="AE762" s="7" t="n"/>
      <c r="AH762" s="11" t="n"/>
      <c r="AJ762">
        <f>IF($C762="","",$C762&amp;"|"&amp;$D762&amp;"")</f>
        <v/>
      </c>
      <c r="AK762">
        <f>IF($C762="","",IF(COUNTIF($AJ$2:$AJ762,$AJ762)=1,1,0))</f>
        <v/>
      </c>
      <c r="AL762">
        <f>IF($AK762=1,SUMPRODUCT(--($AO$2:$AO$1501&lt;$AO762))+1,"")</f>
        <v/>
      </c>
      <c r="AM762">
        <f>IF($C762="","",IF(OR($Q762=TRUE(),$Q762="TRUE"),1,0))</f>
        <v/>
      </c>
      <c r="AN762">
        <f>IF($C762="","",IF($Z762="Yes",1,0))</f>
        <v/>
      </c>
      <c r="AO762">
        <f>IF($AK762=1,IFERROR(IF(VALUE($C762)&lt;100000000,VALUE($C762),1000000000),IFERROR(IF(VALUE(MID($C762,2,20))&lt;100000000,VALUE(MID($C762,2,20)),1000000000),1000000000))+ROW()/100000,"")</f>
        <v/>
      </c>
    </row>
    <row r="763">
      <c r="F763" s="11" t="n"/>
      <c r="N763" s="7">
        <f>IF($C763="","",M763*U763/100)</f>
        <v/>
      </c>
      <c r="T763" s="7" t="n"/>
      <c r="U763" s="7" t="n"/>
      <c r="V763" s="7">
        <f>IF($C763="","",U763*AA763/100)</f>
        <v/>
      </c>
      <c r="W763" s="7">
        <f>IF($C763="","",U763-V763)</f>
        <v/>
      </c>
      <c r="X763" s="7">
        <f>IF($C763="","",W763-N763)</f>
        <v/>
      </c>
      <c r="AA763">
        <f>IF($C763="","",IF($AN763=1,0,IF($AM763=1,Settings!$C$6,Settings!$C$7))*100)</f>
        <v/>
      </c>
      <c r="AE763" s="7" t="n"/>
      <c r="AH763" s="11" t="n"/>
      <c r="AJ763">
        <f>IF($C763="","",$C763&amp;"|"&amp;$D763&amp;"")</f>
        <v/>
      </c>
      <c r="AK763">
        <f>IF($C763="","",IF(COUNTIF($AJ$2:$AJ763,$AJ763)=1,1,0))</f>
        <v/>
      </c>
      <c r="AL763">
        <f>IF($AK763=1,SUMPRODUCT(--($AO$2:$AO$1501&lt;$AO763))+1,"")</f>
        <v/>
      </c>
      <c r="AM763">
        <f>IF($C763="","",IF(OR($Q763=TRUE(),$Q763="TRUE"),1,0))</f>
        <v/>
      </c>
      <c r="AN763">
        <f>IF($C763="","",IF($Z763="Yes",1,0))</f>
        <v/>
      </c>
      <c r="AO763">
        <f>IF($AK763=1,IFERROR(IF(VALUE($C763)&lt;100000000,VALUE($C763),1000000000),IFERROR(IF(VALUE(MID($C763,2,20))&lt;100000000,VALUE(MID($C763,2,20)),1000000000),1000000000))+ROW()/100000,"")</f>
        <v/>
      </c>
    </row>
    <row r="764">
      <c r="F764" s="11" t="n"/>
      <c r="N764" s="7">
        <f>IF($C764="","",M764*U764/100)</f>
        <v/>
      </c>
      <c r="T764" s="7" t="n"/>
      <c r="U764" s="7" t="n"/>
      <c r="V764" s="7">
        <f>IF($C764="","",U764*AA764/100)</f>
        <v/>
      </c>
      <c r="W764" s="7">
        <f>IF($C764="","",U764-V764)</f>
        <v/>
      </c>
      <c r="X764" s="7">
        <f>IF($C764="","",W764-N764)</f>
        <v/>
      </c>
      <c r="AA764">
        <f>IF($C764="","",IF($AN764=1,0,IF($AM764=1,Settings!$C$6,Settings!$C$7))*100)</f>
        <v/>
      </c>
      <c r="AE764" s="7" t="n"/>
      <c r="AH764" s="11" t="n"/>
      <c r="AJ764">
        <f>IF($C764="","",$C764&amp;"|"&amp;$D764&amp;"")</f>
        <v/>
      </c>
      <c r="AK764">
        <f>IF($C764="","",IF(COUNTIF($AJ$2:$AJ764,$AJ764)=1,1,0))</f>
        <v/>
      </c>
      <c r="AL764">
        <f>IF($AK764=1,SUMPRODUCT(--($AO$2:$AO$1501&lt;$AO764))+1,"")</f>
        <v/>
      </c>
      <c r="AM764">
        <f>IF($C764="","",IF(OR($Q764=TRUE(),$Q764="TRUE"),1,0))</f>
        <v/>
      </c>
      <c r="AN764">
        <f>IF($C764="","",IF($Z764="Yes",1,0))</f>
        <v/>
      </c>
      <c r="AO764">
        <f>IF($AK764=1,IFERROR(IF(VALUE($C764)&lt;100000000,VALUE($C764),1000000000),IFERROR(IF(VALUE(MID($C764,2,20))&lt;100000000,VALUE(MID($C764,2,20)),1000000000),1000000000))+ROW()/100000,"")</f>
        <v/>
      </c>
    </row>
    <row r="765">
      <c r="F765" s="11" t="n"/>
      <c r="N765" s="7">
        <f>IF($C765="","",M765*U765/100)</f>
        <v/>
      </c>
      <c r="T765" s="7" t="n"/>
      <c r="U765" s="7" t="n"/>
      <c r="V765" s="7">
        <f>IF($C765="","",U765*AA765/100)</f>
        <v/>
      </c>
      <c r="W765" s="7">
        <f>IF($C765="","",U765-V765)</f>
        <v/>
      </c>
      <c r="X765" s="7">
        <f>IF($C765="","",W765-N765)</f>
        <v/>
      </c>
      <c r="AA765">
        <f>IF($C765="","",IF($AN765=1,0,IF($AM765=1,Settings!$C$6,Settings!$C$7))*100)</f>
        <v/>
      </c>
      <c r="AE765" s="7" t="n"/>
      <c r="AH765" s="11" t="n"/>
      <c r="AJ765">
        <f>IF($C765="","",$C765&amp;"|"&amp;$D765&amp;"")</f>
        <v/>
      </c>
      <c r="AK765">
        <f>IF($C765="","",IF(COUNTIF($AJ$2:$AJ765,$AJ765)=1,1,0))</f>
        <v/>
      </c>
      <c r="AL765">
        <f>IF($AK765=1,SUMPRODUCT(--($AO$2:$AO$1501&lt;$AO765))+1,"")</f>
        <v/>
      </c>
      <c r="AM765">
        <f>IF($C765="","",IF(OR($Q765=TRUE(),$Q765="TRUE"),1,0))</f>
        <v/>
      </c>
      <c r="AN765">
        <f>IF($C765="","",IF($Z765="Yes",1,0))</f>
        <v/>
      </c>
      <c r="AO765">
        <f>IF($AK765=1,IFERROR(IF(VALUE($C765)&lt;100000000,VALUE($C765),1000000000),IFERROR(IF(VALUE(MID($C765,2,20))&lt;100000000,VALUE(MID($C765,2,20)),1000000000),1000000000))+ROW()/100000,"")</f>
        <v/>
      </c>
    </row>
    <row r="766">
      <c r="F766" s="11" t="n"/>
      <c r="N766" s="7">
        <f>IF($C766="","",M766*U766/100)</f>
        <v/>
      </c>
      <c r="T766" s="7" t="n"/>
      <c r="U766" s="7" t="n"/>
      <c r="V766" s="7">
        <f>IF($C766="","",U766*AA766/100)</f>
        <v/>
      </c>
      <c r="W766" s="7">
        <f>IF($C766="","",U766-V766)</f>
        <v/>
      </c>
      <c r="X766" s="7">
        <f>IF($C766="","",W766-N766)</f>
        <v/>
      </c>
      <c r="AA766">
        <f>IF($C766="","",IF($AN766=1,0,IF($AM766=1,Settings!$C$6,Settings!$C$7))*100)</f>
        <v/>
      </c>
      <c r="AE766" s="7" t="n"/>
      <c r="AH766" s="11" t="n"/>
      <c r="AJ766">
        <f>IF($C766="","",$C766&amp;"|"&amp;$D766&amp;"")</f>
        <v/>
      </c>
      <c r="AK766">
        <f>IF($C766="","",IF(COUNTIF($AJ$2:$AJ766,$AJ766)=1,1,0))</f>
        <v/>
      </c>
      <c r="AL766">
        <f>IF($AK766=1,SUMPRODUCT(--($AO$2:$AO$1501&lt;$AO766))+1,"")</f>
        <v/>
      </c>
      <c r="AM766">
        <f>IF($C766="","",IF(OR($Q766=TRUE(),$Q766="TRUE"),1,0))</f>
        <v/>
      </c>
      <c r="AN766">
        <f>IF($C766="","",IF($Z766="Yes",1,0))</f>
        <v/>
      </c>
      <c r="AO766">
        <f>IF($AK766=1,IFERROR(IF(VALUE($C766)&lt;100000000,VALUE($C766),1000000000),IFERROR(IF(VALUE(MID($C766,2,20))&lt;100000000,VALUE(MID($C766,2,20)),1000000000),1000000000))+ROW()/100000,"")</f>
        <v/>
      </c>
    </row>
    <row r="767">
      <c r="F767" s="11" t="n"/>
      <c r="N767" s="7">
        <f>IF($C767="","",M767*U767/100)</f>
        <v/>
      </c>
      <c r="T767" s="7" t="n"/>
      <c r="U767" s="7" t="n"/>
      <c r="V767" s="7">
        <f>IF($C767="","",U767*AA767/100)</f>
        <v/>
      </c>
      <c r="W767" s="7">
        <f>IF($C767="","",U767-V767)</f>
        <v/>
      </c>
      <c r="X767" s="7">
        <f>IF($C767="","",W767-N767)</f>
        <v/>
      </c>
      <c r="AA767">
        <f>IF($C767="","",IF($AN767=1,0,IF($AM767=1,Settings!$C$6,Settings!$C$7))*100)</f>
        <v/>
      </c>
      <c r="AE767" s="7" t="n"/>
      <c r="AH767" s="11" t="n"/>
      <c r="AJ767">
        <f>IF($C767="","",$C767&amp;"|"&amp;$D767&amp;"")</f>
        <v/>
      </c>
      <c r="AK767">
        <f>IF($C767="","",IF(COUNTIF($AJ$2:$AJ767,$AJ767)=1,1,0))</f>
        <v/>
      </c>
      <c r="AL767">
        <f>IF($AK767=1,SUMPRODUCT(--($AO$2:$AO$1501&lt;$AO767))+1,"")</f>
        <v/>
      </c>
      <c r="AM767">
        <f>IF($C767="","",IF(OR($Q767=TRUE(),$Q767="TRUE"),1,0))</f>
        <v/>
      </c>
      <c r="AN767">
        <f>IF($C767="","",IF($Z767="Yes",1,0))</f>
        <v/>
      </c>
      <c r="AO767">
        <f>IF($AK767=1,IFERROR(IF(VALUE($C767)&lt;100000000,VALUE($C767),1000000000),IFERROR(IF(VALUE(MID($C767,2,20))&lt;100000000,VALUE(MID($C767,2,20)),1000000000),1000000000))+ROW()/100000,"")</f>
        <v/>
      </c>
    </row>
    <row r="768">
      <c r="F768" s="11" t="n"/>
      <c r="N768" s="7">
        <f>IF($C768="","",M768*U768/100)</f>
        <v/>
      </c>
      <c r="T768" s="7" t="n"/>
      <c r="U768" s="7" t="n"/>
      <c r="V768" s="7">
        <f>IF($C768="","",U768*AA768/100)</f>
        <v/>
      </c>
      <c r="W768" s="7">
        <f>IF($C768="","",U768-V768)</f>
        <v/>
      </c>
      <c r="X768" s="7">
        <f>IF($C768="","",W768-N768)</f>
        <v/>
      </c>
      <c r="AA768">
        <f>IF($C768="","",IF($AN768=1,0,IF($AM768=1,Settings!$C$6,Settings!$C$7))*100)</f>
        <v/>
      </c>
      <c r="AE768" s="7" t="n"/>
      <c r="AH768" s="11" t="n"/>
      <c r="AJ768">
        <f>IF($C768="","",$C768&amp;"|"&amp;$D768&amp;"")</f>
        <v/>
      </c>
      <c r="AK768">
        <f>IF($C768="","",IF(COUNTIF($AJ$2:$AJ768,$AJ768)=1,1,0))</f>
        <v/>
      </c>
      <c r="AL768">
        <f>IF($AK768=1,SUMPRODUCT(--($AO$2:$AO$1501&lt;$AO768))+1,"")</f>
        <v/>
      </c>
      <c r="AM768">
        <f>IF($C768="","",IF(OR($Q768=TRUE(),$Q768="TRUE"),1,0))</f>
        <v/>
      </c>
      <c r="AN768">
        <f>IF($C768="","",IF($Z768="Yes",1,0))</f>
        <v/>
      </c>
      <c r="AO768">
        <f>IF($AK768=1,IFERROR(IF(VALUE($C768)&lt;100000000,VALUE($C768),1000000000),IFERROR(IF(VALUE(MID($C768,2,20))&lt;100000000,VALUE(MID($C768,2,20)),1000000000),1000000000))+ROW()/100000,"")</f>
        <v/>
      </c>
    </row>
    <row r="769">
      <c r="F769" s="11" t="n"/>
      <c r="N769" s="7">
        <f>IF($C769="","",M769*U769/100)</f>
        <v/>
      </c>
      <c r="T769" s="7" t="n"/>
      <c r="U769" s="7" t="n"/>
      <c r="V769" s="7">
        <f>IF($C769="","",U769*AA769/100)</f>
        <v/>
      </c>
      <c r="W769" s="7">
        <f>IF($C769="","",U769-V769)</f>
        <v/>
      </c>
      <c r="X769" s="7">
        <f>IF($C769="","",W769-N769)</f>
        <v/>
      </c>
      <c r="AA769">
        <f>IF($C769="","",IF($AN769=1,0,IF($AM769=1,Settings!$C$6,Settings!$C$7))*100)</f>
        <v/>
      </c>
      <c r="AE769" s="7" t="n"/>
      <c r="AH769" s="11" t="n"/>
      <c r="AJ769">
        <f>IF($C769="","",$C769&amp;"|"&amp;$D769&amp;"")</f>
        <v/>
      </c>
      <c r="AK769">
        <f>IF($C769="","",IF(COUNTIF($AJ$2:$AJ769,$AJ769)=1,1,0))</f>
        <v/>
      </c>
      <c r="AL769">
        <f>IF($AK769=1,SUMPRODUCT(--($AO$2:$AO$1501&lt;$AO769))+1,"")</f>
        <v/>
      </c>
      <c r="AM769">
        <f>IF($C769="","",IF(OR($Q769=TRUE(),$Q769="TRUE"),1,0))</f>
        <v/>
      </c>
      <c r="AN769">
        <f>IF($C769="","",IF($Z769="Yes",1,0))</f>
        <v/>
      </c>
      <c r="AO769">
        <f>IF($AK769=1,IFERROR(IF(VALUE($C769)&lt;100000000,VALUE($C769),1000000000),IFERROR(IF(VALUE(MID($C769,2,20))&lt;100000000,VALUE(MID($C769,2,20)),1000000000),1000000000))+ROW()/100000,"")</f>
        <v/>
      </c>
    </row>
    <row r="770">
      <c r="F770" s="11" t="n"/>
      <c r="N770" s="7">
        <f>IF($C770="","",M770*U770/100)</f>
        <v/>
      </c>
      <c r="T770" s="7" t="n"/>
      <c r="U770" s="7" t="n"/>
      <c r="V770" s="7">
        <f>IF($C770="","",U770*AA770/100)</f>
        <v/>
      </c>
      <c r="W770" s="7">
        <f>IF($C770="","",U770-V770)</f>
        <v/>
      </c>
      <c r="X770" s="7">
        <f>IF($C770="","",W770-N770)</f>
        <v/>
      </c>
      <c r="AA770">
        <f>IF($C770="","",IF($AN770=1,0,IF($AM770=1,Settings!$C$6,Settings!$C$7))*100)</f>
        <v/>
      </c>
      <c r="AE770" s="7" t="n"/>
      <c r="AH770" s="11" t="n"/>
      <c r="AJ770">
        <f>IF($C770="","",$C770&amp;"|"&amp;$D770&amp;"")</f>
        <v/>
      </c>
      <c r="AK770">
        <f>IF($C770="","",IF(COUNTIF($AJ$2:$AJ770,$AJ770)=1,1,0))</f>
        <v/>
      </c>
      <c r="AL770">
        <f>IF($AK770=1,SUMPRODUCT(--($AO$2:$AO$1501&lt;$AO770))+1,"")</f>
        <v/>
      </c>
      <c r="AM770">
        <f>IF($C770="","",IF(OR($Q770=TRUE(),$Q770="TRUE"),1,0))</f>
        <v/>
      </c>
      <c r="AN770">
        <f>IF($C770="","",IF($Z770="Yes",1,0))</f>
        <v/>
      </c>
      <c r="AO770">
        <f>IF($AK770=1,IFERROR(IF(VALUE($C770)&lt;100000000,VALUE($C770),1000000000),IFERROR(IF(VALUE(MID($C770,2,20))&lt;100000000,VALUE(MID($C770,2,20)),1000000000),1000000000))+ROW()/100000,"")</f>
        <v/>
      </c>
    </row>
    <row r="771">
      <c r="F771" s="11" t="n"/>
      <c r="N771" s="7">
        <f>IF($C771="","",M771*U771/100)</f>
        <v/>
      </c>
      <c r="T771" s="7" t="n"/>
      <c r="U771" s="7" t="n"/>
      <c r="V771" s="7">
        <f>IF($C771="","",U771*AA771/100)</f>
        <v/>
      </c>
      <c r="W771" s="7">
        <f>IF($C771="","",U771-V771)</f>
        <v/>
      </c>
      <c r="X771" s="7">
        <f>IF($C771="","",W771-N771)</f>
        <v/>
      </c>
      <c r="AA771">
        <f>IF($C771="","",IF($AN771=1,0,IF($AM771=1,Settings!$C$6,Settings!$C$7))*100)</f>
        <v/>
      </c>
      <c r="AE771" s="7" t="n"/>
      <c r="AH771" s="11" t="n"/>
      <c r="AJ771">
        <f>IF($C771="","",$C771&amp;"|"&amp;$D771&amp;"")</f>
        <v/>
      </c>
      <c r="AK771">
        <f>IF($C771="","",IF(COUNTIF($AJ$2:$AJ771,$AJ771)=1,1,0))</f>
        <v/>
      </c>
      <c r="AL771">
        <f>IF($AK771=1,SUMPRODUCT(--($AO$2:$AO$1501&lt;$AO771))+1,"")</f>
        <v/>
      </c>
      <c r="AM771">
        <f>IF($C771="","",IF(OR($Q771=TRUE(),$Q771="TRUE"),1,0))</f>
        <v/>
      </c>
      <c r="AN771">
        <f>IF($C771="","",IF($Z771="Yes",1,0))</f>
        <v/>
      </c>
      <c r="AO771">
        <f>IF($AK771=1,IFERROR(IF(VALUE($C771)&lt;100000000,VALUE($C771),1000000000),IFERROR(IF(VALUE(MID($C771,2,20))&lt;100000000,VALUE(MID($C771,2,20)),1000000000),1000000000))+ROW()/100000,"")</f>
        <v/>
      </c>
    </row>
    <row r="772">
      <c r="F772" s="11" t="n"/>
      <c r="N772" s="7">
        <f>IF($C772="","",M772*U772/100)</f>
        <v/>
      </c>
      <c r="T772" s="7" t="n"/>
      <c r="U772" s="7" t="n"/>
      <c r="V772" s="7">
        <f>IF($C772="","",U772*AA772/100)</f>
        <v/>
      </c>
      <c r="W772" s="7">
        <f>IF($C772="","",U772-V772)</f>
        <v/>
      </c>
      <c r="X772" s="7">
        <f>IF($C772="","",W772-N772)</f>
        <v/>
      </c>
      <c r="AA772">
        <f>IF($C772="","",IF($AN772=1,0,IF($AM772=1,Settings!$C$6,Settings!$C$7))*100)</f>
        <v/>
      </c>
      <c r="AE772" s="7" t="n"/>
      <c r="AH772" s="11" t="n"/>
      <c r="AJ772">
        <f>IF($C772="","",$C772&amp;"|"&amp;$D772&amp;"")</f>
        <v/>
      </c>
      <c r="AK772">
        <f>IF($C772="","",IF(COUNTIF($AJ$2:$AJ772,$AJ772)=1,1,0))</f>
        <v/>
      </c>
      <c r="AL772">
        <f>IF($AK772=1,SUMPRODUCT(--($AO$2:$AO$1501&lt;$AO772))+1,"")</f>
        <v/>
      </c>
      <c r="AM772">
        <f>IF($C772="","",IF(OR($Q772=TRUE(),$Q772="TRUE"),1,0))</f>
        <v/>
      </c>
      <c r="AN772">
        <f>IF($C772="","",IF($Z772="Yes",1,0))</f>
        <v/>
      </c>
      <c r="AO772">
        <f>IF($AK772=1,IFERROR(IF(VALUE($C772)&lt;100000000,VALUE($C772),1000000000),IFERROR(IF(VALUE(MID($C772,2,20))&lt;100000000,VALUE(MID($C772,2,20)),1000000000),1000000000))+ROW()/100000,"")</f>
        <v/>
      </c>
    </row>
    <row r="773">
      <c r="F773" s="11" t="n"/>
      <c r="N773" s="7">
        <f>IF($C773="","",M773*U773/100)</f>
        <v/>
      </c>
      <c r="T773" s="7" t="n"/>
      <c r="U773" s="7" t="n"/>
      <c r="V773" s="7">
        <f>IF($C773="","",U773*AA773/100)</f>
        <v/>
      </c>
      <c r="W773" s="7">
        <f>IF($C773="","",U773-V773)</f>
        <v/>
      </c>
      <c r="X773" s="7">
        <f>IF($C773="","",W773-N773)</f>
        <v/>
      </c>
      <c r="AA773">
        <f>IF($C773="","",IF($AN773=1,0,IF($AM773=1,Settings!$C$6,Settings!$C$7))*100)</f>
        <v/>
      </c>
      <c r="AE773" s="7" t="n"/>
      <c r="AH773" s="11" t="n"/>
      <c r="AJ773">
        <f>IF($C773="","",$C773&amp;"|"&amp;$D773&amp;"")</f>
        <v/>
      </c>
      <c r="AK773">
        <f>IF($C773="","",IF(COUNTIF($AJ$2:$AJ773,$AJ773)=1,1,0))</f>
        <v/>
      </c>
      <c r="AL773">
        <f>IF($AK773=1,SUMPRODUCT(--($AO$2:$AO$1501&lt;$AO773))+1,"")</f>
        <v/>
      </c>
      <c r="AM773">
        <f>IF($C773="","",IF(OR($Q773=TRUE(),$Q773="TRUE"),1,0))</f>
        <v/>
      </c>
      <c r="AN773">
        <f>IF($C773="","",IF($Z773="Yes",1,0))</f>
        <v/>
      </c>
      <c r="AO773">
        <f>IF($AK773=1,IFERROR(IF(VALUE($C773)&lt;100000000,VALUE($C773),1000000000),IFERROR(IF(VALUE(MID($C773,2,20))&lt;100000000,VALUE(MID($C773,2,20)),1000000000),1000000000))+ROW()/100000,"")</f>
        <v/>
      </c>
    </row>
    <row r="774">
      <c r="F774" s="11" t="n"/>
      <c r="N774" s="7">
        <f>IF($C774="","",M774*U774/100)</f>
        <v/>
      </c>
      <c r="T774" s="7" t="n"/>
      <c r="U774" s="7" t="n"/>
      <c r="V774" s="7">
        <f>IF($C774="","",U774*AA774/100)</f>
        <v/>
      </c>
      <c r="W774" s="7">
        <f>IF($C774="","",U774-V774)</f>
        <v/>
      </c>
      <c r="X774" s="7">
        <f>IF($C774="","",W774-N774)</f>
        <v/>
      </c>
      <c r="AA774">
        <f>IF($C774="","",IF($AN774=1,0,IF($AM774=1,Settings!$C$6,Settings!$C$7))*100)</f>
        <v/>
      </c>
      <c r="AE774" s="7" t="n"/>
      <c r="AH774" s="11" t="n"/>
      <c r="AJ774">
        <f>IF($C774="","",$C774&amp;"|"&amp;$D774&amp;"")</f>
        <v/>
      </c>
      <c r="AK774">
        <f>IF($C774="","",IF(COUNTIF($AJ$2:$AJ774,$AJ774)=1,1,0))</f>
        <v/>
      </c>
      <c r="AL774">
        <f>IF($AK774=1,SUMPRODUCT(--($AO$2:$AO$1501&lt;$AO774))+1,"")</f>
        <v/>
      </c>
      <c r="AM774">
        <f>IF($C774="","",IF(OR($Q774=TRUE(),$Q774="TRUE"),1,0))</f>
        <v/>
      </c>
      <c r="AN774">
        <f>IF($C774="","",IF($Z774="Yes",1,0))</f>
        <v/>
      </c>
      <c r="AO774">
        <f>IF($AK774=1,IFERROR(IF(VALUE($C774)&lt;100000000,VALUE($C774),1000000000),IFERROR(IF(VALUE(MID($C774,2,20))&lt;100000000,VALUE(MID($C774,2,20)),1000000000),1000000000))+ROW()/100000,"")</f>
        <v/>
      </c>
    </row>
    <row r="775">
      <c r="F775" s="11" t="n"/>
      <c r="N775" s="7">
        <f>IF($C775="","",M775*U775/100)</f>
        <v/>
      </c>
      <c r="T775" s="7" t="n"/>
      <c r="U775" s="7" t="n"/>
      <c r="V775" s="7">
        <f>IF($C775="","",U775*AA775/100)</f>
        <v/>
      </c>
      <c r="W775" s="7">
        <f>IF($C775="","",U775-V775)</f>
        <v/>
      </c>
      <c r="X775" s="7">
        <f>IF($C775="","",W775-N775)</f>
        <v/>
      </c>
      <c r="AA775">
        <f>IF($C775="","",IF($AN775=1,0,IF($AM775=1,Settings!$C$6,Settings!$C$7))*100)</f>
        <v/>
      </c>
      <c r="AE775" s="7" t="n"/>
      <c r="AH775" s="11" t="n"/>
      <c r="AJ775">
        <f>IF($C775="","",$C775&amp;"|"&amp;$D775&amp;"")</f>
        <v/>
      </c>
      <c r="AK775">
        <f>IF($C775="","",IF(COUNTIF($AJ$2:$AJ775,$AJ775)=1,1,0))</f>
        <v/>
      </c>
      <c r="AL775">
        <f>IF($AK775=1,SUMPRODUCT(--($AO$2:$AO$1501&lt;$AO775))+1,"")</f>
        <v/>
      </c>
      <c r="AM775">
        <f>IF($C775="","",IF(OR($Q775=TRUE(),$Q775="TRUE"),1,0))</f>
        <v/>
      </c>
      <c r="AN775">
        <f>IF($C775="","",IF($Z775="Yes",1,0))</f>
        <v/>
      </c>
      <c r="AO775">
        <f>IF($AK775=1,IFERROR(IF(VALUE($C775)&lt;100000000,VALUE($C775),1000000000),IFERROR(IF(VALUE(MID($C775,2,20))&lt;100000000,VALUE(MID($C775,2,20)),1000000000),1000000000))+ROW()/100000,"")</f>
        <v/>
      </c>
    </row>
    <row r="776">
      <c r="F776" s="11" t="n"/>
      <c r="N776" s="7">
        <f>IF($C776="","",M776*U776/100)</f>
        <v/>
      </c>
      <c r="T776" s="7" t="n"/>
      <c r="U776" s="7" t="n"/>
      <c r="V776" s="7">
        <f>IF($C776="","",U776*AA776/100)</f>
        <v/>
      </c>
      <c r="W776" s="7">
        <f>IF($C776="","",U776-V776)</f>
        <v/>
      </c>
      <c r="X776" s="7">
        <f>IF($C776="","",W776-N776)</f>
        <v/>
      </c>
      <c r="AA776">
        <f>IF($C776="","",IF($AN776=1,0,IF($AM776=1,Settings!$C$6,Settings!$C$7))*100)</f>
        <v/>
      </c>
      <c r="AE776" s="7" t="n"/>
      <c r="AH776" s="11" t="n"/>
      <c r="AJ776">
        <f>IF($C776="","",$C776&amp;"|"&amp;$D776&amp;"")</f>
        <v/>
      </c>
      <c r="AK776">
        <f>IF($C776="","",IF(COUNTIF($AJ$2:$AJ776,$AJ776)=1,1,0))</f>
        <v/>
      </c>
      <c r="AL776">
        <f>IF($AK776=1,SUMPRODUCT(--($AO$2:$AO$1501&lt;$AO776))+1,"")</f>
        <v/>
      </c>
      <c r="AM776">
        <f>IF($C776="","",IF(OR($Q776=TRUE(),$Q776="TRUE"),1,0))</f>
        <v/>
      </c>
      <c r="AN776">
        <f>IF($C776="","",IF($Z776="Yes",1,0))</f>
        <v/>
      </c>
      <c r="AO776">
        <f>IF($AK776=1,IFERROR(IF(VALUE($C776)&lt;100000000,VALUE($C776),1000000000),IFERROR(IF(VALUE(MID($C776,2,20))&lt;100000000,VALUE(MID($C776,2,20)),1000000000),1000000000))+ROW()/100000,"")</f>
        <v/>
      </c>
    </row>
    <row r="777">
      <c r="F777" s="11" t="n"/>
      <c r="N777" s="7">
        <f>IF($C777="","",M777*U777/100)</f>
        <v/>
      </c>
      <c r="T777" s="7" t="n"/>
      <c r="U777" s="7" t="n"/>
      <c r="V777" s="7">
        <f>IF($C777="","",U777*AA777/100)</f>
        <v/>
      </c>
      <c r="W777" s="7">
        <f>IF($C777="","",U777-V777)</f>
        <v/>
      </c>
      <c r="X777" s="7">
        <f>IF($C777="","",W777-N777)</f>
        <v/>
      </c>
      <c r="AA777">
        <f>IF($C777="","",IF($AN777=1,0,IF($AM777=1,Settings!$C$6,Settings!$C$7))*100)</f>
        <v/>
      </c>
      <c r="AE777" s="7" t="n"/>
      <c r="AH777" s="11" t="n"/>
      <c r="AJ777">
        <f>IF($C777="","",$C777&amp;"|"&amp;$D777&amp;"")</f>
        <v/>
      </c>
      <c r="AK777">
        <f>IF($C777="","",IF(COUNTIF($AJ$2:$AJ777,$AJ777)=1,1,0))</f>
        <v/>
      </c>
      <c r="AL777">
        <f>IF($AK777=1,SUMPRODUCT(--($AO$2:$AO$1501&lt;$AO777))+1,"")</f>
        <v/>
      </c>
      <c r="AM777">
        <f>IF($C777="","",IF(OR($Q777=TRUE(),$Q777="TRUE"),1,0))</f>
        <v/>
      </c>
      <c r="AN777">
        <f>IF($C777="","",IF($Z777="Yes",1,0))</f>
        <v/>
      </c>
      <c r="AO777">
        <f>IF($AK777=1,IFERROR(IF(VALUE($C777)&lt;100000000,VALUE($C777),1000000000),IFERROR(IF(VALUE(MID($C777,2,20))&lt;100000000,VALUE(MID($C777,2,20)),1000000000),1000000000))+ROW()/100000,"")</f>
        <v/>
      </c>
    </row>
    <row r="778">
      <c r="F778" s="11" t="n"/>
      <c r="N778" s="7">
        <f>IF($C778="","",M778*U778/100)</f>
        <v/>
      </c>
      <c r="T778" s="7" t="n"/>
      <c r="U778" s="7" t="n"/>
      <c r="V778" s="7">
        <f>IF($C778="","",U778*AA778/100)</f>
        <v/>
      </c>
      <c r="W778" s="7">
        <f>IF($C778="","",U778-V778)</f>
        <v/>
      </c>
      <c r="X778" s="7">
        <f>IF($C778="","",W778-N778)</f>
        <v/>
      </c>
      <c r="AA778">
        <f>IF($C778="","",IF($AN778=1,0,IF($AM778=1,Settings!$C$6,Settings!$C$7))*100)</f>
        <v/>
      </c>
      <c r="AE778" s="7" t="n"/>
      <c r="AH778" s="11" t="n"/>
      <c r="AJ778">
        <f>IF($C778="","",$C778&amp;"|"&amp;$D778&amp;"")</f>
        <v/>
      </c>
      <c r="AK778">
        <f>IF($C778="","",IF(COUNTIF($AJ$2:$AJ778,$AJ778)=1,1,0))</f>
        <v/>
      </c>
      <c r="AL778">
        <f>IF($AK778=1,SUMPRODUCT(--($AO$2:$AO$1501&lt;$AO778))+1,"")</f>
        <v/>
      </c>
      <c r="AM778">
        <f>IF($C778="","",IF(OR($Q778=TRUE(),$Q778="TRUE"),1,0))</f>
        <v/>
      </c>
      <c r="AN778">
        <f>IF($C778="","",IF($Z778="Yes",1,0))</f>
        <v/>
      </c>
      <c r="AO778">
        <f>IF($AK778=1,IFERROR(IF(VALUE($C778)&lt;100000000,VALUE($C778),1000000000),IFERROR(IF(VALUE(MID($C778,2,20))&lt;100000000,VALUE(MID($C778,2,20)),1000000000),1000000000))+ROW()/100000,"")</f>
        <v/>
      </c>
    </row>
    <row r="779">
      <c r="F779" s="11" t="n"/>
      <c r="N779" s="7">
        <f>IF($C779="","",M779*U779/100)</f>
        <v/>
      </c>
      <c r="T779" s="7" t="n"/>
      <c r="U779" s="7" t="n"/>
      <c r="V779" s="7">
        <f>IF($C779="","",U779*AA779/100)</f>
        <v/>
      </c>
      <c r="W779" s="7">
        <f>IF($C779="","",U779-V779)</f>
        <v/>
      </c>
      <c r="X779" s="7">
        <f>IF($C779="","",W779-N779)</f>
        <v/>
      </c>
      <c r="AA779">
        <f>IF($C779="","",IF($AN779=1,0,IF($AM779=1,Settings!$C$6,Settings!$C$7))*100)</f>
        <v/>
      </c>
      <c r="AE779" s="7" t="n"/>
      <c r="AH779" s="11" t="n"/>
      <c r="AJ779">
        <f>IF($C779="","",$C779&amp;"|"&amp;$D779&amp;"")</f>
        <v/>
      </c>
      <c r="AK779">
        <f>IF($C779="","",IF(COUNTIF($AJ$2:$AJ779,$AJ779)=1,1,0))</f>
        <v/>
      </c>
      <c r="AL779">
        <f>IF($AK779=1,SUMPRODUCT(--($AO$2:$AO$1501&lt;$AO779))+1,"")</f>
        <v/>
      </c>
      <c r="AM779">
        <f>IF($C779="","",IF(OR($Q779=TRUE(),$Q779="TRUE"),1,0))</f>
        <v/>
      </c>
      <c r="AN779">
        <f>IF($C779="","",IF($Z779="Yes",1,0))</f>
        <v/>
      </c>
      <c r="AO779">
        <f>IF($AK779=1,IFERROR(IF(VALUE($C779)&lt;100000000,VALUE($C779),1000000000),IFERROR(IF(VALUE(MID($C779,2,20))&lt;100000000,VALUE(MID($C779,2,20)),1000000000),1000000000))+ROW()/100000,"")</f>
        <v/>
      </c>
    </row>
    <row r="780">
      <c r="F780" s="11" t="n"/>
      <c r="N780" s="7">
        <f>IF($C780="","",M780*U780/100)</f>
        <v/>
      </c>
      <c r="T780" s="7" t="n"/>
      <c r="U780" s="7" t="n"/>
      <c r="V780" s="7">
        <f>IF($C780="","",U780*AA780/100)</f>
        <v/>
      </c>
      <c r="W780" s="7">
        <f>IF($C780="","",U780-V780)</f>
        <v/>
      </c>
      <c r="X780" s="7">
        <f>IF($C780="","",W780-N780)</f>
        <v/>
      </c>
      <c r="AA780">
        <f>IF($C780="","",IF($AN780=1,0,IF($AM780=1,Settings!$C$6,Settings!$C$7))*100)</f>
        <v/>
      </c>
      <c r="AE780" s="7" t="n"/>
      <c r="AH780" s="11" t="n"/>
      <c r="AJ780">
        <f>IF($C780="","",$C780&amp;"|"&amp;$D780&amp;"")</f>
        <v/>
      </c>
      <c r="AK780">
        <f>IF($C780="","",IF(COUNTIF($AJ$2:$AJ780,$AJ780)=1,1,0))</f>
        <v/>
      </c>
      <c r="AL780">
        <f>IF($AK780=1,SUMPRODUCT(--($AO$2:$AO$1501&lt;$AO780))+1,"")</f>
        <v/>
      </c>
      <c r="AM780">
        <f>IF($C780="","",IF(OR($Q780=TRUE(),$Q780="TRUE"),1,0))</f>
        <v/>
      </c>
      <c r="AN780">
        <f>IF($C780="","",IF($Z780="Yes",1,0))</f>
        <v/>
      </c>
      <c r="AO780">
        <f>IF($AK780=1,IFERROR(IF(VALUE($C780)&lt;100000000,VALUE($C780),1000000000),IFERROR(IF(VALUE(MID($C780,2,20))&lt;100000000,VALUE(MID($C780,2,20)),1000000000),1000000000))+ROW()/100000,"")</f>
        <v/>
      </c>
    </row>
    <row r="781">
      <c r="F781" s="11" t="n"/>
      <c r="N781" s="7">
        <f>IF($C781="","",M781*U781/100)</f>
        <v/>
      </c>
      <c r="T781" s="7" t="n"/>
      <c r="U781" s="7" t="n"/>
      <c r="V781" s="7">
        <f>IF($C781="","",U781*AA781/100)</f>
        <v/>
      </c>
      <c r="W781" s="7">
        <f>IF($C781="","",U781-V781)</f>
        <v/>
      </c>
      <c r="X781" s="7">
        <f>IF($C781="","",W781-N781)</f>
        <v/>
      </c>
      <c r="AA781">
        <f>IF($C781="","",IF($AN781=1,0,IF($AM781=1,Settings!$C$6,Settings!$C$7))*100)</f>
        <v/>
      </c>
      <c r="AE781" s="7" t="n"/>
      <c r="AH781" s="11" t="n"/>
      <c r="AJ781">
        <f>IF($C781="","",$C781&amp;"|"&amp;$D781&amp;"")</f>
        <v/>
      </c>
      <c r="AK781">
        <f>IF($C781="","",IF(COUNTIF($AJ$2:$AJ781,$AJ781)=1,1,0))</f>
        <v/>
      </c>
      <c r="AL781">
        <f>IF($AK781=1,SUMPRODUCT(--($AO$2:$AO$1501&lt;$AO781))+1,"")</f>
        <v/>
      </c>
      <c r="AM781">
        <f>IF($C781="","",IF(OR($Q781=TRUE(),$Q781="TRUE"),1,0))</f>
        <v/>
      </c>
      <c r="AN781">
        <f>IF($C781="","",IF($Z781="Yes",1,0))</f>
        <v/>
      </c>
      <c r="AO781">
        <f>IF($AK781=1,IFERROR(IF(VALUE($C781)&lt;100000000,VALUE($C781),1000000000),IFERROR(IF(VALUE(MID($C781,2,20))&lt;100000000,VALUE(MID($C781,2,20)),1000000000),1000000000))+ROW()/100000,"")</f>
        <v/>
      </c>
    </row>
    <row r="782">
      <c r="F782" s="11" t="n"/>
      <c r="N782" s="7">
        <f>IF($C782="","",M782*U782/100)</f>
        <v/>
      </c>
      <c r="T782" s="7" t="n"/>
      <c r="U782" s="7" t="n"/>
      <c r="V782" s="7">
        <f>IF($C782="","",U782*AA782/100)</f>
        <v/>
      </c>
      <c r="W782" s="7">
        <f>IF($C782="","",U782-V782)</f>
        <v/>
      </c>
      <c r="X782" s="7">
        <f>IF($C782="","",W782-N782)</f>
        <v/>
      </c>
      <c r="AA782">
        <f>IF($C782="","",IF($AN782=1,0,IF($AM782=1,Settings!$C$6,Settings!$C$7))*100)</f>
        <v/>
      </c>
      <c r="AE782" s="7" t="n"/>
      <c r="AH782" s="11" t="n"/>
      <c r="AJ782">
        <f>IF($C782="","",$C782&amp;"|"&amp;$D782&amp;"")</f>
        <v/>
      </c>
      <c r="AK782">
        <f>IF($C782="","",IF(COUNTIF($AJ$2:$AJ782,$AJ782)=1,1,0))</f>
        <v/>
      </c>
      <c r="AL782">
        <f>IF($AK782=1,SUMPRODUCT(--($AO$2:$AO$1501&lt;$AO782))+1,"")</f>
        <v/>
      </c>
      <c r="AM782">
        <f>IF($C782="","",IF(OR($Q782=TRUE(),$Q782="TRUE"),1,0))</f>
        <v/>
      </c>
      <c r="AN782">
        <f>IF($C782="","",IF($Z782="Yes",1,0))</f>
        <v/>
      </c>
      <c r="AO782">
        <f>IF($AK782=1,IFERROR(IF(VALUE($C782)&lt;100000000,VALUE($C782),1000000000),IFERROR(IF(VALUE(MID($C782,2,20))&lt;100000000,VALUE(MID($C782,2,20)),1000000000),1000000000))+ROW()/100000,"")</f>
        <v/>
      </c>
    </row>
    <row r="783">
      <c r="F783" s="11" t="n"/>
      <c r="N783" s="7">
        <f>IF($C783="","",M783*U783/100)</f>
        <v/>
      </c>
      <c r="T783" s="7" t="n"/>
      <c r="U783" s="7" t="n"/>
      <c r="V783" s="7">
        <f>IF($C783="","",U783*AA783/100)</f>
        <v/>
      </c>
      <c r="W783" s="7">
        <f>IF($C783="","",U783-V783)</f>
        <v/>
      </c>
      <c r="X783" s="7">
        <f>IF($C783="","",W783-N783)</f>
        <v/>
      </c>
      <c r="AA783">
        <f>IF($C783="","",IF($AN783=1,0,IF($AM783=1,Settings!$C$6,Settings!$C$7))*100)</f>
        <v/>
      </c>
      <c r="AE783" s="7" t="n"/>
      <c r="AH783" s="11" t="n"/>
      <c r="AJ783">
        <f>IF($C783="","",$C783&amp;"|"&amp;$D783&amp;"")</f>
        <v/>
      </c>
      <c r="AK783">
        <f>IF($C783="","",IF(COUNTIF($AJ$2:$AJ783,$AJ783)=1,1,0))</f>
        <v/>
      </c>
      <c r="AL783">
        <f>IF($AK783=1,SUMPRODUCT(--($AO$2:$AO$1501&lt;$AO783))+1,"")</f>
        <v/>
      </c>
      <c r="AM783">
        <f>IF($C783="","",IF(OR($Q783=TRUE(),$Q783="TRUE"),1,0))</f>
        <v/>
      </c>
      <c r="AN783">
        <f>IF($C783="","",IF($Z783="Yes",1,0))</f>
        <v/>
      </c>
      <c r="AO783">
        <f>IF($AK783=1,IFERROR(IF(VALUE($C783)&lt;100000000,VALUE($C783),1000000000),IFERROR(IF(VALUE(MID($C783,2,20))&lt;100000000,VALUE(MID($C783,2,20)),1000000000),1000000000))+ROW()/100000,"")</f>
        <v/>
      </c>
    </row>
    <row r="784">
      <c r="F784" s="11" t="n"/>
      <c r="N784" s="7">
        <f>IF($C784="","",M784*U784/100)</f>
        <v/>
      </c>
      <c r="T784" s="7" t="n"/>
      <c r="U784" s="7" t="n"/>
      <c r="V784" s="7">
        <f>IF($C784="","",U784*AA784/100)</f>
        <v/>
      </c>
      <c r="W784" s="7">
        <f>IF($C784="","",U784-V784)</f>
        <v/>
      </c>
      <c r="X784" s="7">
        <f>IF($C784="","",W784-N784)</f>
        <v/>
      </c>
      <c r="AA784">
        <f>IF($C784="","",IF($AN784=1,0,IF($AM784=1,Settings!$C$6,Settings!$C$7))*100)</f>
        <v/>
      </c>
      <c r="AE784" s="7" t="n"/>
      <c r="AH784" s="11" t="n"/>
      <c r="AJ784">
        <f>IF($C784="","",$C784&amp;"|"&amp;$D784&amp;"")</f>
        <v/>
      </c>
      <c r="AK784">
        <f>IF($C784="","",IF(COUNTIF($AJ$2:$AJ784,$AJ784)=1,1,0))</f>
        <v/>
      </c>
      <c r="AL784">
        <f>IF($AK784=1,SUMPRODUCT(--($AO$2:$AO$1501&lt;$AO784))+1,"")</f>
        <v/>
      </c>
      <c r="AM784">
        <f>IF($C784="","",IF(OR($Q784=TRUE(),$Q784="TRUE"),1,0))</f>
        <v/>
      </c>
      <c r="AN784">
        <f>IF($C784="","",IF($Z784="Yes",1,0))</f>
        <v/>
      </c>
      <c r="AO784">
        <f>IF($AK784=1,IFERROR(IF(VALUE($C784)&lt;100000000,VALUE($C784),1000000000),IFERROR(IF(VALUE(MID($C784,2,20))&lt;100000000,VALUE(MID($C784,2,20)),1000000000),1000000000))+ROW()/100000,"")</f>
        <v/>
      </c>
    </row>
    <row r="785">
      <c r="F785" s="11" t="n"/>
      <c r="N785" s="7">
        <f>IF($C785="","",M785*U785/100)</f>
        <v/>
      </c>
      <c r="T785" s="7" t="n"/>
      <c r="U785" s="7" t="n"/>
      <c r="V785" s="7">
        <f>IF($C785="","",U785*AA785/100)</f>
        <v/>
      </c>
      <c r="W785" s="7">
        <f>IF($C785="","",U785-V785)</f>
        <v/>
      </c>
      <c r="X785" s="7">
        <f>IF($C785="","",W785-N785)</f>
        <v/>
      </c>
      <c r="AA785">
        <f>IF($C785="","",IF($AN785=1,0,IF($AM785=1,Settings!$C$6,Settings!$C$7))*100)</f>
        <v/>
      </c>
      <c r="AE785" s="7" t="n"/>
      <c r="AH785" s="11" t="n"/>
      <c r="AJ785">
        <f>IF($C785="","",$C785&amp;"|"&amp;$D785&amp;"")</f>
        <v/>
      </c>
      <c r="AK785">
        <f>IF($C785="","",IF(COUNTIF($AJ$2:$AJ785,$AJ785)=1,1,0))</f>
        <v/>
      </c>
      <c r="AL785">
        <f>IF($AK785=1,SUMPRODUCT(--($AO$2:$AO$1501&lt;$AO785))+1,"")</f>
        <v/>
      </c>
      <c r="AM785">
        <f>IF($C785="","",IF(OR($Q785=TRUE(),$Q785="TRUE"),1,0))</f>
        <v/>
      </c>
      <c r="AN785">
        <f>IF($C785="","",IF($Z785="Yes",1,0))</f>
        <v/>
      </c>
      <c r="AO785">
        <f>IF($AK785=1,IFERROR(IF(VALUE($C785)&lt;100000000,VALUE($C785),1000000000),IFERROR(IF(VALUE(MID($C785,2,20))&lt;100000000,VALUE(MID($C785,2,20)),1000000000),1000000000))+ROW()/100000,"")</f>
        <v/>
      </c>
    </row>
    <row r="786">
      <c r="F786" s="11" t="n"/>
      <c r="N786" s="7">
        <f>IF($C786="","",M786*U786/100)</f>
        <v/>
      </c>
      <c r="T786" s="7" t="n"/>
      <c r="U786" s="7" t="n"/>
      <c r="V786" s="7">
        <f>IF($C786="","",U786*AA786/100)</f>
        <v/>
      </c>
      <c r="W786" s="7">
        <f>IF($C786="","",U786-V786)</f>
        <v/>
      </c>
      <c r="X786" s="7">
        <f>IF($C786="","",W786-N786)</f>
        <v/>
      </c>
      <c r="AA786">
        <f>IF($C786="","",IF($AN786=1,0,IF($AM786=1,Settings!$C$6,Settings!$C$7))*100)</f>
        <v/>
      </c>
      <c r="AE786" s="7" t="n"/>
      <c r="AH786" s="11" t="n"/>
      <c r="AJ786">
        <f>IF($C786="","",$C786&amp;"|"&amp;$D786&amp;"")</f>
        <v/>
      </c>
      <c r="AK786">
        <f>IF($C786="","",IF(COUNTIF($AJ$2:$AJ786,$AJ786)=1,1,0))</f>
        <v/>
      </c>
      <c r="AL786">
        <f>IF($AK786=1,SUMPRODUCT(--($AO$2:$AO$1501&lt;$AO786))+1,"")</f>
        <v/>
      </c>
      <c r="AM786">
        <f>IF($C786="","",IF(OR($Q786=TRUE(),$Q786="TRUE"),1,0))</f>
        <v/>
      </c>
      <c r="AN786">
        <f>IF($C786="","",IF($Z786="Yes",1,0))</f>
        <v/>
      </c>
      <c r="AO786">
        <f>IF($AK786=1,IFERROR(IF(VALUE($C786)&lt;100000000,VALUE($C786),1000000000),IFERROR(IF(VALUE(MID($C786,2,20))&lt;100000000,VALUE(MID($C786,2,20)),1000000000),1000000000))+ROW()/100000,"")</f>
        <v/>
      </c>
    </row>
    <row r="787">
      <c r="F787" s="11" t="n"/>
      <c r="N787" s="7">
        <f>IF($C787="","",M787*U787/100)</f>
        <v/>
      </c>
      <c r="T787" s="7" t="n"/>
      <c r="U787" s="7" t="n"/>
      <c r="V787" s="7">
        <f>IF($C787="","",U787*AA787/100)</f>
        <v/>
      </c>
      <c r="W787" s="7">
        <f>IF($C787="","",U787-V787)</f>
        <v/>
      </c>
      <c r="X787" s="7">
        <f>IF($C787="","",W787-N787)</f>
        <v/>
      </c>
      <c r="AA787">
        <f>IF($C787="","",IF($AN787=1,0,IF($AM787=1,Settings!$C$6,Settings!$C$7))*100)</f>
        <v/>
      </c>
      <c r="AE787" s="7" t="n"/>
      <c r="AH787" s="11" t="n"/>
      <c r="AJ787">
        <f>IF($C787="","",$C787&amp;"|"&amp;$D787&amp;"")</f>
        <v/>
      </c>
      <c r="AK787">
        <f>IF($C787="","",IF(COUNTIF($AJ$2:$AJ787,$AJ787)=1,1,0))</f>
        <v/>
      </c>
      <c r="AL787">
        <f>IF($AK787=1,SUMPRODUCT(--($AO$2:$AO$1501&lt;$AO787))+1,"")</f>
        <v/>
      </c>
      <c r="AM787">
        <f>IF($C787="","",IF(OR($Q787=TRUE(),$Q787="TRUE"),1,0))</f>
        <v/>
      </c>
      <c r="AN787">
        <f>IF($C787="","",IF($Z787="Yes",1,0))</f>
        <v/>
      </c>
      <c r="AO787">
        <f>IF($AK787=1,IFERROR(IF(VALUE($C787)&lt;100000000,VALUE($C787),1000000000),IFERROR(IF(VALUE(MID($C787,2,20))&lt;100000000,VALUE(MID($C787,2,20)),1000000000),1000000000))+ROW()/100000,"")</f>
        <v/>
      </c>
    </row>
    <row r="788">
      <c r="F788" s="11" t="n"/>
      <c r="N788" s="7">
        <f>IF($C788="","",M788*U788/100)</f>
        <v/>
      </c>
      <c r="T788" s="7" t="n"/>
      <c r="U788" s="7" t="n"/>
      <c r="V788" s="7">
        <f>IF($C788="","",U788*AA788/100)</f>
        <v/>
      </c>
      <c r="W788" s="7">
        <f>IF($C788="","",U788-V788)</f>
        <v/>
      </c>
      <c r="X788" s="7">
        <f>IF($C788="","",W788-N788)</f>
        <v/>
      </c>
      <c r="AA788">
        <f>IF($C788="","",IF($AN788=1,0,IF($AM788=1,Settings!$C$6,Settings!$C$7))*100)</f>
        <v/>
      </c>
      <c r="AE788" s="7" t="n"/>
      <c r="AH788" s="11" t="n"/>
      <c r="AJ788">
        <f>IF($C788="","",$C788&amp;"|"&amp;$D788&amp;"")</f>
        <v/>
      </c>
      <c r="AK788">
        <f>IF($C788="","",IF(COUNTIF($AJ$2:$AJ788,$AJ788)=1,1,0))</f>
        <v/>
      </c>
      <c r="AL788">
        <f>IF($AK788=1,SUMPRODUCT(--($AO$2:$AO$1501&lt;$AO788))+1,"")</f>
        <v/>
      </c>
      <c r="AM788">
        <f>IF($C788="","",IF(OR($Q788=TRUE(),$Q788="TRUE"),1,0))</f>
        <v/>
      </c>
      <c r="AN788">
        <f>IF($C788="","",IF($Z788="Yes",1,0))</f>
        <v/>
      </c>
      <c r="AO788">
        <f>IF($AK788=1,IFERROR(IF(VALUE($C788)&lt;100000000,VALUE($C788),1000000000),IFERROR(IF(VALUE(MID($C788,2,20))&lt;100000000,VALUE(MID($C788,2,20)),1000000000),1000000000))+ROW()/100000,"")</f>
        <v/>
      </c>
    </row>
    <row r="789">
      <c r="F789" s="11" t="n"/>
      <c r="N789" s="7">
        <f>IF($C789="","",M789*U789/100)</f>
        <v/>
      </c>
      <c r="T789" s="7" t="n"/>
      <c r="U789" s="7" t="n"/>
      <c r="V789" s="7">
        <f>IF($C789="","",U789*AA789/100)</f>
        <v/>
      </c>
      <c r="W789" s="7">
        <f>IF($C789="","",U789-V789)</f>
        <v/>
      </c>
      <c r="X789" s="7">
        <f>IF($C789="","",W789-N789)</f>
        <v/>
      </c>
      <c r="AA789">
        <f>IF($C789="","",IF($AN789=1,0,IF($AM789=1,Settings!$C$6,Settings!$C$7))*100)</f>
        <v/>
      </c>
      <c r="AE789" s="7" t="n"/>
      <c r="AH789" s="11" t="n"/>
      <c r="AJ789">
        <f>IF($C789="","",$C789&amp;"|"&amp;$D789&amp;"")</f>
        <v/>
      </c>
      <c r="AK789">
        <f>IF($C789="","",IF(COUNTIF($AJ$2:$AJ789,$AJ789)=1,1,0))</f>
        <v/>
      </c>
      <c r="AL789">
        <f>IF($AK789=1,SUMPRODUCT(--($AO$2:$AO$1501&lt;$AO789))+1,"")</f>
        <v/>
      </c>
      <c r="AM789">
        <f>IF($C789="","",IF(OR($Q789=TRUE(),$Q789="TRUE"),1,0))</f>
        <v/>
      </c>
      <c r="AN789">
        <f>IF($C789="","",IF($Z789="Yes",1,0))</f>
        <v/>
      </c>
      <c r="AO789">
        <f>IF($AK789=1,IFERROR(IF(VALUE($C789)&lt;100000000,VALUE($C789),1000000000),IFERROR(IF(VALUE(MID($C789,2,20))&lt;100000000,VALUE(MID($C789,2,20)),1000000000),1000000000))+ROW()/100000,"")</f>
        <v/>
      </c>
    </row>
    <row r="790">
      <c r="F790" s="11" t="n"/>
      <c r="N790" s="7">
        <f>IF($C790="","",M790*U790/100)</f>
        <v/>
      </c>
      <c r="T790" s="7" t="n"/>
      <c r="U790" s="7" t="n"/>
      <c r="V790" s="7">
        <f>IF($C790="","",U790*AA790/100)</f>
        <v/>
      </c>
      <c r="W790" s="7">
        <f>IF($C790="","",U790-V790)</f>
        <v/>
      </c>
      <c r="X790" s="7">
        <f>IF($C790="","",W790-N790)</f>
        <v/>
      </c>
      <c r="AA790">
        <f>IF($C790="","",IF($AN790=1,0,IF($AM790=1,Settings!$C$6,Settings!$C$7))*100)</f>
        <v/>
      </c>
      <c r="AE790" s="7" t="n"/>
      <c r="AH790" s="11" t="n"/>
      <c r="AJ790">
        <f>IF($C790="","",$C790&amp;"|"&amp;$D790&amp;"")</f>
        <v/>
      </c>
      <c r="AK790">
        <f>IF($C790="","",IF(COUNTIF($AJ$2:$AJ790,$AJ790)=1,1,0))</f>
        <v/>
      </c>
      <c r="AL790">
        <f>IF($AK790=1,SUMPRODUCT(--($AO$2:$AO$1501&lt;$AO790))+1,"")</f>
        <v/>
      </c>
      <c r="AM790">
        <f>IF($C790="","",IF(OR($Q790=TRUE(),$Q790="TRUE"),1,0))</f>
        <v/>
      </c>
      <c r="AN790">
        <f>IF($C790="","",IF($Z790="Yes",1,0))</f>
        <v/>
      </c>
      <c r="AO790">
        <f>IF($AK790=1,IFERROR(IF(VALUE($C790)&lt;100000000,VALUE($C790),1000000000),IFERROR(IF(VALUE(MID($C790,2,20))&lt;100000000,VALUE(MID($C790,2,20)),1000000000),1000000000))+ROW()/100000,"")</f>
        <v/>
      </c>
    </row>
    <row r="791">
      <c r="F791" s="11" t="n"/>
      <c r="N791" s="7">
        <f>IF($C791="","",M791*U791/100)</f>
        <v/>
      </c>
      <c r="T791" s="7" t="n"/>
      <c r="U791" s="7" t="n"/>
      <c r="V791" s="7">
        <f>IF($C791="","",U791*AA791/100)</f>
        <v/>
      </c>
      <c r="W791" s="7">
        <f>IF($C791="","",U791-V791)</f>
        <v/>
      </c>
      <c r="X791" s="7">
        <f>IF($C791="","",W791-N791)</f>
        <v/>
      </c>
      <c r="AA791">
        <f>IF($C791="","",IF($AN791=1,0,IF($AM791=1,Settings!$C$6,Settings!$C$7))*100)</f>
        <v/>
      </c>
      <c r="AE791" s="7" t="n"/>
      <c r="AH791" s="11" t="n"/>
      <c r="AJ791">
        <f>IF($C791="","",$C791&amp;"|"&amp;$D791&amp;"")</f>
        <v/>
      </c>
      <c r="AK791">
        <f>IF($C791="","",IF(COUNTIF($AJ$2:$AJ791,$AJ791)=1,1,0))</f>
        <v/>
      </c>
      <c r="AL791">
        <f>IF($AK791=1,SUMPRODUCT(--($AO$2:$AO$1501&lt;$AO791))+1,"")</f>
        <v/>
      </c>
      <c r="AM791">
        <f>IF($C791="","",IF(OR($Q791=TRUE(),$Q791="TRUE"),1,0))</f>
        <v/>
      </c>
      <c r="AN791">
        <f>IF($C791="","",IF($Z791="Yes",1,0))</f>
        <v/>
      </c>
      <c r="AO791">
        <f>IF($AK791=1,IFERROR(IF(VALUE($C791)&lt;100000000,VALUE($C791),1000000000),IFERROR(IF(VALUE(MID($C791,2,20))&lt;100000000,VALUE(MID($C791,2,20)),1000000000),1000000000))+ROW()/100000,"")</f>
        <v/>
      </c>
    </row>
    <row r="792">
      <c r="F792" s="11" t="n"/>
      <c r="N792" s="7">
        <f>IF($C792="","",M792*U792/100)</f>
        <v/>
      </c>
      <c r="T792" s="7" t="n"/>
      <c r="U792" s="7" t="n"/>
      <c r="V792" s="7">
        <f>IF($C792="","",U792*AA792/100)</f>
        <v/>
      </c>
      <c r="W792" s="7">
        <f>IF($C792="","",U792-V792)</f>
        <v/>
      </c>
      <c r="X792" s="7">
        <f>IF($C792="","",W792-N792)</f>
        <v/>
      </c>
      <c r="AA792">
        <f>IF($C792="","",IF($AN792=1,0,IF($AM792=1,Settings!$C$6,Settings!$C$7))*100)</f>
        <v/>
      </c>
      <c r="AE792" s="7" t="n"/>
      <c r="AH792" s="11" t="n"/>
      <c r="AJ792">
        <f>IF($C792="","",$C792&amp;"|"&amp;$D792&amp;"")</f>
        <v/>
      </c>
      <c r="AK792">
        <f>IF($C792="","",IF(COUNTIF($AJ$2:$AJ792,$AJ792)=1,1,0))</f>
        <v/>
      </c>
      <c r="AL792">
        <f>IF($AK792=1,SUMPRODUCT(--($AO$2:$AO$1501&lt;$AO792))+1,"")</f>
        <v/>
      </c>
      <c r="AM792">
        <f>IF($C792="","",IF(OR($Q792=TRUE(),$Q792="TRUE"),1,0))</f>
        <v/>
      </c>
      <c r="AN792">
        <f>IF($C792="","",IF($Z792="Yes",1,0))</f>
        <v/>
      </c>
      <c r="AO792">
        <f>IF($AK792=1,IFERROR(IF(VALUE($C792)&lt;100000000,VALUE($C792),1000000000),IFERROR(IF(VALUE(MID($C792,2,20))&lt;100000000,VALUE(MID($C792,2,20)),1000000000),1000000000))+ROW()/100000,"")</f>
        <v/>
      </c>
    </row>
    <row r="793">
      <c r="F793" s="11" t="n"/>
      <c r="N793" s="7">
        <f>IF($C793="","",M793*U793/100)</f>
        <v/>
      </c>
      <c r="T793" s="7" t="n"/>
      <c r="U793" s="7" t="n"/>
      <c r="V793" s="7">
        <f>IF($C793="","",U793*AA793/100)</f>
        <v/>
      </c>
      <c r="W793" s="7">
        <f>IF($C793="","",U793-V793)</f>
        <v/>
      </c>
      <c r="X793" s="7">
        <f>IF($C793="","",W793-N793)</f>
        <v/>
      </c>
      <c r="AA793">
        <f>IF($C793="","",IF($AN793=1,0,IF($AM793=1,Settings!$C$6,Settings!$C$7))*100)</f>
        <v/>
      </c>
      <c r="AE793" s="7" t="n"/>
      <c r="AH793" s="11" t="n"/>
      <c r="AJ793">
        <f>IF($C793="","",$C793&amp;"|"&amp;$D793&amp;"")</f>
        <v/>
      </c>
      <c r="AK793">
        <f>IF($C793="","",IF(COUNTIF($AJ$2:$AJ793,$AJ793)=1,1,0))</f>
        <v/>
      </c>
      <c r="AL793">
        <f>IF($AK793=1,SUMPRODUCT(--($AO$2:$AO$1501&lt;$AO793))+1,"")</f>
        <v/>
      </c>
      <c r="AM793">
        <f>IF($C793="","",IF(OR($Q793=TRUE(),$Q793="TRUE"),1,0))</f>
        <v/>
      </c>
      <c r="AN793">
        <f>IF($C793="","",IF($Z793="Yes",1,0))</f>
        <v/>
      </c>
      <c r="AO793">
        <f>IF($AK793=1,IFERROR(IF(VALUE($C793)&lt;100000000,VALUE($C793),1000000000),IFERROR(IF(VALUE(MID($C793,2,20))&lt;100000000,VALUE(MID($C793,2,20)),1000000000),1000000000))+ROW()/100000,"")</f>
        <v/>
      </c>
    </row>
    <row r="794">
      <c r="F794" s="11" t="n"/>
      <c r="N794" s="7">
        <f>IF($C794="","",M794*U794/100)</f>
        <v/>
      </c>
      <c r="T794" s="7" t="n"/>
      <c r="U794" s="7" t="n"/>
      <c r="V794" s="7">
        <f>IF($C794="","",U794*AA794/100)</f>
        <v/>
      </c>
      <c r="W794" s="7">
        <f>IF($C794="","",U794-V794)</f>
        <v/>
      </c>
      <c r="X794" s="7">
        <f>IF($C794="","",W794-N794)</f>
        <v/>
      </c>
      <c r="AA794">
        <f>IF($C794="","",IF($AN794=1,0,IF($AM794=1,Settings!$C$6,Settings!$C$7))*100)</f>
        <v/>
      </c>
      <c r="AE794" s="7" t="n"/>
      <c r="AH794" s="11" t="n"/>
      <c r="AJ794">
        <f>IF($C794="","",$C794&amp;"|"&amp;$D794&amp;"")</f>
        <v/>
      </c>
      <c r="AK794">
        <f>IF($C794="","",IF(COUNTIF($AJ$2:$AJ794,$AJ794)=1,1,0))</f>
        <v/>
      </c>
      <c r="AL794">
        <f>IF($AK794=1,SUMPRODUCT(--($AO$2:$AO$1501&lt;$AO794))+1,"")</f>
        <v/>
      </c>
      <c r="AM794">
        <f>IF($C794="","",IF(OR($Q794=TRUE(),$Q794="TRUE"),1,0))</f>
        <v/>
      </c>
      <c r="AN794">
        <f>IF($C794="","",IF($Z794="Yes",1,0))</f>
        <v/>
      </c>
      <c r="AO794">
        <f>IF($AK794=1,IFERROR(IF(VALUE($C794)&lt;100000000,VALUE($C794),1000000000),IFERROR(IF(VALUE(MID($C794,2,20))&lt;100000000,VALUE(MID($C794,2,20)),1000000000),1000000000))+ROW()/100000,"")</f>
        <v/>
      </c>
    </row>
    <row r="795">
      <c r="F795" s="11" t="n"/>
      <c r="N795" s="7">
        <f>IF($C795="","",M795*U795/100)</f>
        <v/>
      </c>
      <c r="T795" s="7" t="n"/>
      <c r="U795" s="7" t="n"/>
      <c r="V795" s="7">
        <f>IF($C795="","",U795*AA795/100)</f>
        <v/>
      </c>
      <c r="W795" s="7">
        <f>IF($C795="","",U795-V795)</f>
        <v/>
      </c>
      <c r="X795" s="7">
        <f>IF($C795="","",W795-N795)</f>
        <v/>
      </c>
      <c r="AA795">
        <f>IF($C795="","",IF($AN795=1,0,IF($AM795=1,Settings!$C$6,Settings!$C$7))*100)</f>
        <v/>
      </c>
      <c r="AE795" s="7" t="n"/>
      <c r="AH795" s="11" t="n"/>
      <c r="AJ795">
        <f>IF($C795="","",$C795&amp;"|"&amp;$D795&amp;"")</f>
        <v/>
      </c>
      <c r="AK795">
        <f>IF($C795="","",IF(COUNTIF($AJ$2:$AJ795,$AJ795)=1,1,0))</f>
        <v/>
      </c>
      <c r="AL795">
        <f>IF($AK795=1,SUMPRODUCT(--($AO$2:$AO$1501&lt;$AO795))+1,"")</f>
        <v/>
      </c>
      <c r="AM795">
        <f>IF($C795="","",IF(OR($Q795=TRUE(),$Q795="TRUE"),1,0))</f>
        <v/>
      </c>
      <c r="AN795">
        <f>IF($C795="","",IF($Z795="Yes",1,0))</f>
        <v/>
      </c>
      <c r="AO795">
        <f>IF($AK795=1,IFERROR(IF(VALUE($C795)&lt;100000000,VALUE($C795),1000000000),IFERROR(IF(VALUE(MID($C795,2,20))&lt;100000000,VALUE(MID($C795,2,20)),1000000000),1000000000))+ROW()/100000,"")</f>
        <v/>
      </c>
    </row>
    <row r="796">
      <c r="F796" s="11" t="n"/>
      <c r="N796" s="7">
        <f>IF($C796="","",M796*U796/100)</f>
        <v/>
      </c>
      <c r="T796" s="7" t="n"/>
      <c r="U796" s="7" t="n"/>
      <c r="V796" s="7">
        <f>IF($C796="","",U796*AA796/100)</f>
        <v/>
      </c>
      <c r="W796" s="7">
        <f>IF($C796="","",U796-V796)</f>
        <v/>
      </c>
      <c r="X796" s="7">
        <f>IF($C796="","",W796-N796)</f>
        <v/>
      </c>
      <c r="AA796">
        <f>IF($C796="","",IF($AN796=1,0,IF($AM796=1,Settings!$C$6,Settings!$C$7))*100)</f>
        <v/>
      </c>
      <c r="AE796" s="7" t="n"/>
      <c r="AH796" s="11" t="n"/>
      <c r="AJ796">
        <f>IF($C796="","",$C796&amp;"|"&amp;$D796&amp;"")</f>
        <v/>
      </c>
      <c r="AK796">
        <f>IF($C796="","",IF(COUNTIF($AJ$2:$AJ796,$AJ796)=1,1,0))</f>
        <v/>
      </c>
      <c r="AL796">
        <f>IF($AK796=1,SUMPRODUCT(--($AO$2:$AO$1501&lt;$AO796))+1,"")</f>
        <v/>
      </c>
      <c r="AM796">
        <f>IF($C796="","",IF(OR($Q796=TRUE(),$Q796="TRUE"),1,0))</f>
        <v/>
      </c>
      <c r="AN796">
        <f>IF($C796="","",IF($Z796="Yes",1,0))</f>
        <v/>
      </c>
      <c r="AO796">
        <f>IF($AK796=1,IFERROR(IF(VALUE($C796)&lt;100000000,VALUE($C796),1000000000),IFERROR(IF(VALUE(MID($C796,2,20))&lt;100000000,VALUE(MID($C796,2,20)),1000000000),1000000000))+ROW()/100000,"")</f>
        <v/>
      </c>
    </row>
    <row r="797">
      <c r="F797" s="11" t="n"/>
      <c r="N797" s="7">
        <f>IF($C797="","",M797*U797/100)</f>
        <v/>
      </c>
      <c r="T797" s="7" t="n"/>
      <c r="U797" s="7" t="n"/>
      <c r="V797" s="7">
        <f>IF($C797="","",U797*AA797/100)</f>
        <v/>
      </c>
      <c r="W797" s="7">
        <f>IF($C797="","",U797-V797)</f>
        <v/>
      </c>
      <c r="X797" s="7">
        <f>IF($C797="","",W797-N797)</f>
        <v/>
      </c>
      <c r="AA797">
        <f>IF($C797="","",IF($AN797=1,0,IF($AM797=1,Settings!$C$6,Settings!$C$7))*100)</f>
        <v/>
      </c>
      <c r="AE797" s="7" t="n"/>
      <c r="AH797" s="11" t="n"/>
      <c r="AJ797">
        <f>IF($C797="","",$C797&amp;"|"&amp;$D797&amp;"")</f>
        <v/>
      </c>
      <c r="AK797">
        <f>IF($C797="","",IF(COUNTIF($AJ$2:$AJ797,$AJ797)=1,1,0))</f>
        <v/>
      </c>
      <c r="AL797">
        <f>IF($AK797=1,SUMPRODUCT(--($AO$2:$AO$1501&lt;$AO797))+1,"")</f>
        <v/>
      </c>
      <c r="AM797">
        <f>IF($C797="","",IF(OR($Q797=TRUE(),$Q797="TRUE"),1,0))</f>
        <v/>
      </c>
      <c r="AN797">
        <f>IF($C797="","",IF($Z797="Yes",1,0))</f>
        <v/>
      </c>
      <c r="AO797">
        <f>IF($AK797=1,IFERROR(IF(VALUE($C797)&lt;100000000,VALUE($C797),1000000000),IFERROR(IF(VALUE(MID($C797,2,20))&lt;100000000,VALUE(MID($C797,2,20)),1000000000),1000000000))+ROW()/100000,"")</f>
        <v/>
      </c>
    </row>
    <row r="798">
      <c r="F798" s="11" t="n"/>
      <c r="N798" s="7">
        <f>IF($C798="","",M798*U798/100)</f>
        <v/>
      </c>
      <c r="T798" s="7" t="n"/>
      <c r="U798" s="7" t="n"/>
      <c r="V798" s="7">
        <f>IF($C798="","",U798*AA798/100)</f>
        <v/>
      </c>
      <c r="W798" s="7">
        <f>IF($C798="","",U798-V798)</f>
        <v/>
      </c>
      <c r="X798" s="7">
        <f>IF($C798="","",W798-N798)</f>
        <v/>
      </c>
      <c r="AA798">
        <f>IF($C798="","",IF($AN798=1,0,IF($AM798=1,Settings!$C$6,Settings!$C$7))*100)</f>
        <v/>
      </c>
      <c r="AE798" s="7" t="n"/>
      <c r="AH798" s="11" t="n"/>
      <c r="AJ798">
        <f>IF($C798="","",$C798&amp;"|"&amp;$D798&amp;"")</f>
        <v/>
      </c>
      <c r="AK798">
        <f>IF($C798="","",IF(COUNTIF($AJ$2:$AJ798,$AJ798)=1,1,0))</f>
        <v/>
      </c>
      <c r="AL798">
        <f>IF($AK798=1,SUMPRODUCT(--($AO$2:$AO$1501&lt;$AO798))+1,"")</f>
        <v/>
      </c>
      <c r="AM798">
        <f>IF($C798="","",IF(OR($Q798=TRUE(),$Q798="TRUE"),1,0))</f>
        <v/>
      </c>
      <c r="AN798">
        <f>IF($C798="","",IF($Z798="Yes",1,0))</f>
        <v/>
      </c>
      <c r="AO798">
        <f>IF($AK798=1,IFERROR(IF(VALUE($C798)&lt;100000000,VALUE($C798),1000000000),IFERROR(IF(VALUE(MID($C798,2,20))&lt;100000000,VALUE(MID($C798,2,20)),1000000000),1000000000))+ROW()/100000,"")</f>
        <v/>
      </c>
    </row>
    <row r="799">
      <c r="F799" s="11" t="n"/>
      <c r="N799" s="7">
        <f>IF($C799="","",M799*U799/100)</f>
        <v/>
      </c>
      <c r="T799" s="7" t="n"/>
      <c r="U799" s="7" t="n"/>
      <c r="V799" s="7">
        <f>IF($C799="","",U799*AA799/100)</f>
        <v/>
      </c>
      <c r="W799" s="7">
        <f>IF($C799="","",U799-V799)</f>
        <v/>
      </c>
      <c r="X799" s="7">
        <f>IF($C799="","",W799-N799)</f>
        <v/>
      </c>
      <c r="AA799">
        <f>IF($C799="","",IF($AN799=1,0,IF($AM799=1,Settings!$C$6,Settings!$C$7))*100)</f>
        <v/>
      </c>
      <c r="AE799" s="7" t="n"/>
      <c r="AH799" s="11" t="n"/>
      <c r="AJ799">
        <f>IF($C799="","",$C799&amp;"|"&amp;$D799&amp;"")</f>
        <v/>
      </c>
      <c r="AK799">
        <f>IF($C799="","",IF(COUNTIF($AJ$2:$AJ799,$AJ799)=1,1,0))</f>
        <v/>
      </c>
      <c r="AL799">
        <f>IF($AK799=1,SUMPRODUCT(--($AO$2:$AO$1501&lt;$AO799))+1,"")</f>
        <v/>
      </c>
      <c r="AM799">
        <f>IF($C799="","",IF(OR($Q799=TRUE(),$Q799="TRUE"),1,0))</f>
        <v/>
      </c>
      <c r="AN799">
        <f>IF($C799="","",IF($Z799="Yes",1,0))</f>
        <v/>
      </c>
      <c r="AO799">
        <f>IF($AK799=1,IFERROR(IF(VALUE($C799)&lt;100000000,VALUE($C799),1000000000),IFERROR(IF(VALUE(MID($C799,2,20))&lt;100000000,VALUE(MID($C799,2,20)),1000000000),1000000000))+ROW()/100000,"")</f>
        <v/>
      </c>
    </row>
    <row r="800">
      <c r="F800" s="11" t="n"/>
      <c r="N800" s="7">
        <f>IF($C800="","",M800*U800/100)</f>
        <v/>
      </c>
      <c r="T800" s="7" t="n"/>
      <c r="U800" s="7" t="n"/>
      <c r="V800" s="7">
        <f>IF($C800="","",U800*AA800/100)</f>
        <v/>
      </c>
      <c r="W800" s="7">
        <f>IF($C800="","",U800-V800)</f>
        <v/>
      </c>
      <c r="X800" s="7">
        <f>IF($C800="","",W800-N800)</f>
        <v/>
      </c>
      <c r="AA800">
        <f>IF($C800="","",IF($AN800=1,0,IF($AM800=1,Settings!$C$6,Settings!$C$7))*100)</f>
        <v/>
      </c>
      <c r="AE800" s="7" t="n"/>
      <c r="AH800" s="11" t="n"/>
      <c r="AJ800">
        <f>IF($C800="","",$C800&amp;"|"&amp;$D800&amp;"")</f>
        <v/>
      </c>
      <c r="AK800">
        <f>IF($C800="","",IF(COUNTIF($AJ$2:$AJ800,$AJ800)=1,1,0))</f>
        <v/>
      </c>
      <c r="AL800">
        <f>IF($AK800=1,SUMPRODUCT(--($AO$2:$AO$1501&lt;$AO800))+1,"")</f>
        <v/>
      </c>
      <c r="AM800">
        <f>IF($C800="","",IF(OR($Q800=TRUE(),$Q800="TRUE"),1,0))</f>
        <v/>
      </c>
      <c r="AN800">
        <f>IF($C800="","",IF($Z800="Yes",1,0))</f>
        <v/>
      </c>
      <c r="AO800">
        <f>IF($AK800=1,IFERROR(IF(VALUE($C800)&lt;100000000,VALUE($C800),1000000000),IFERROR(IF(VALUE(MID($C800,2,20))&lt;100000000,VALUE(MID($C800,2,20)),1000000000),1000000000))+ROW()/100000,"")</f>
        <v/>
      </c>
    </row>
    <row r="801">
      <c r="F801" s="11" t="n"/>
      <c r="N801" s="7">
        <f>IF($C801="","",M801*U801/100)</f>
        <v/>
      </c>
      <c r="T801" s="7" t="n"/>
      <c r="U801" s="7" t="n"/>
      <c r="V801" s="7">
        <f>IF($C801="","",U801*AA801/100)</f>
        <v/>
      </c>
      <c r="W801" s="7">
        <f>IF($C801="","",U801-V801)</f>
        <v/>
      </c>
      <c r="X801" s="7">
        <f>IF($C801="","",W801-N801)</f>
        <v/>
      </c>
      <c r="AA801">
        <f>IF($C801="","",IF($AN801=1,0,IF($AM801=1,Settings!$C$6,Settings!$C$7))*100)</f>
        <v/>
      </c>
      <c r="AE801" s="7" t="n"/>
      <c r="AH801" s="11" t="n"/>
      <c r="AJ801">
        <f>IF($C801="","",$C801&amp;"|"&amp;$D801&amp;"")</f>
        <v/>
      </c>
      <c r="AK801">
        <f>IF($C801="","",IF(COUNTIF($AJ$2:$AJ801,$AJ801)=1,1,0))</f>
        <v/>
      </c>
      <c r="AL801">
        <f>IF($AK801=1,SUMPRODUCT(--($AO$2:$AO$1501&lt;$AO801))+1,"")</f>
        <v/>
      </c>
      <c r="AM801">
        <f>IF($C801="","",IF(OR($Q801=TRUE(),$Q801="TRUE"),1,0))</f>
        <v/>
      </c>
      <c r="AN801">
        <f>IF($C801="","",IF($Z801="Yes",1,0))</f>
        <v/>
      </c>
      <c r="AO801">
        <f>IF($AK801=1,IFERROR(IF(VALUE($C801)&lt;100000000,VALUE($C801),1000000000),IFERROR(IF(VALUE(MID($C801,2,20))&lt;100000000,VALUE(MID($C801,2,20)),1000000000),1000000000))+ROW()/100000,"")</f>
        <v/>
      </c>
    </row>
    <row r="802">
      <c r="F802" s="11" t="n"/>
      <c r="N802" s="7">
        <f>IF($C802="","",M802*U802/100)</f>
        <v/>
      </c>
      <c r="T802" s="7" t="n"/>
      <c r="U802" s="7" t="n"/>
      <c r="V802" s="7">
        <f>IF($C802="","",U802*AA802/100)</f>
        <v/>
      </c>
      <c r="W802" s="7">
        <f>IF($C802="","",U802-V802)</f>
        <v/>
      </c>
      <c r="X802" s="7">
        <f>IF($C802="","",W802-N802)</f>
        <v/>
      </c>
      <c r="AA802">
        <f>IF($C802="","",IF($AN802=1,0,IF($AM802=1,Settings!$C$6,Settings!$C$7))*100)</f>
        <v/>
      </c>
      <c r="AE802" s="7" t="n"/>
      <c r="AH802" s="11" t="n"/>
      <c r="AJ802">
        <f>IF($C802="","",$C802&amp;"|"&amp;$D802&amp;"")</f>
        <v/>
      </c>
      <c r="AK802">
        <f>IF($C802="","",IF(COUNTIF($AJ$2:$AJ802,$AJ802)=1,1,0))</f>
        <v/>
      </c>
      <c r="AL802">
        <f>IF($AK802=1,SUMPRODUCT(--($AO$2:$AO$1501&lt;$AO802))+1,"")</f>
        <v/>
      </c>
      <c r="AM802">
        <f>IF($C802="","",IF(OR($Q802=TRUE(),$Q802="TRUE"),1,0))</f>
        <v/>
      </c>
      <c r="AN802">
        <f>IF($C802="","",IF($Z802="Yes",1,0))</f>
        <v/>
      </c>
      <c r="AO802">
        <f>IF($AK802=1,IFERROR(IF(VALUE($C802)&lt;100000000,VALUE($C802),1000000000),IFERROR(IF(VALUE(MID($C802,2,20))&lt;100000000,VALUE(MID($C802,2,20)),1000000000),1000000000))+ROW()/100000,"")</f>
        <v/>
      </c>
    </row>
    <row r="803">
      <c r="F803" s="11" t="n"/>
      <c r="N803" s="7">
        <f>IF($C803="","",M803*U803/100)</f>
        <v/>
      </c>
      <c r="T803" s="7" t="n"/>
      <c r="U803" s="7" t="n"/>
      <c r="V803" s="7">
        <f>IF($C803="","",U803*AA803/100)</f>
        <v/>
      </c>
      <c r="W803" s="7">
        <f>IF($C803="","",U803-V803)</f>
        <v/>
      </c>
      <c r="X803" s="7">
        <f>IF($C803="","",W803-N803)</f>
        <v/>
      </c>
      <c r="AA803">
        <f>IF($C803="","",IF($AN803=1,0,IF($AM803=1,Settings!$C$6,Settings!$C$7))*100)</f>
        <v/>
      </c>
      <c r="AE803" s="7" t="n"/>
      <c r="AH803" s="11" t="n"/>
      <c r="AJ803">
        <f>IF($C803="","",$C803&amp;"|"&amp;$D803&amp;"")</f>
        <v/>
      </c>
      <c r="AK803">
        <f>IF($C803="","",IF(COUNTIF($AJ$2:$AJ803,$AJ803)=1,1,0))</f>
        <v/>
      </c>
      <c r="AL803">
        <f>IF($AK803=1,SUMPRODUCT(--($AO$2:$AO$1501&lt;$AO803))+1,"")</f>
        <v/>
      </c>
      <c r="AM803">
        <f>IF($C803="","",IF(OR($Q803=TRUE(),$Q803="TRUE"),1,0))</f>
        <v/>
      </c>
      <c r="AN803">
        <f>IF($C803="","",IF($Z803="Yes",1,0))</f>
        <v/>
      </c>
      <c r="AO803">
        <f>IF($AK803=1,IFERROR(IF(VALUE($C803)&lt;100000000,VALUE($C803),1000000000),IFERROR(IF(VALUE(MID($C803,2,20))&lt;100000000,VALUE(MID($C803,2,20)),1000000000),1000000000))+ROW()/100000,"")</f>
        <v/>
      </c>
    </row>
    <row r="804">
      <c r="F804" s="11" t="n"/>
      <c r="N804" s="7">
        <f>IF($C804="","",M804*U804/100)</f>
        <v/>
      </c>
      <c r="T804" s="7" t="n"/>
      <c r="U804" s="7" t="n"/>
      <c r="V804" s="7">
        <f>IF($C804="","",U804*AA804/100)</f>
        <v/>
      </c>
      <c r="W804" s="7">
        <f>IF($C804="","",U804-V804)</f>
        <v/>
      </c>
      <c r="X804" s="7">
        <f>IF($C804="","",W804-N804)</f>
        <v/>
      </c>
      <c r="AA804">
        <f>IF($C804="","",IF($AN804=1,0,IF($AM804=1,Settings!$C$6,Settings!$C$7))*100)</f>
        <v/>
      </c>
      <c r="AE804" s="7" t="n"/>
      <c r="AH804" s="11" t="n"/>
      <c r="AJ804">
        <f>IF($C804="","",$C804&amp;"|"&amp;$D804&amp;"")</f>
        <v/>
      </c>
      <c r="AK804">
        <f>IF($C804="","",IF(COUNTIF($AJ$2:$AJ804,$AJ804)=1,1,0))</f>
        <v/>
      </c>
      <c r="AL804">
        <f>IF($AK804=1,SUMPRODUCT(--($AO$2:$AO$1501&lt;$AO804))+1,"")</f>
        <v/>
      </c>
      <c r="AM804">
        <f>IF($C804="","",IF(OR($Q804=TRUE(),$Q804="TRUE"),1,0))</f>
        <v/>
      </c>
      <c r="AN804">
        <f>IF($C804="","",IF($Z804="Yes",1,0))</f>
        <v/>
      </c>
      <c r="AO804">
        <f>IF($AK804=1,IFERROR(IF(VALUE($C804)&lt;100000000,VALUE($C804),1000000000),IFERROR(IF(VALUE(MID($C804,2,20))&lt;100000000,VALUE(MID($C804,2,20)),1000000000),1000000000))+ROW()/100000,"")</f>
        <v/>
      </c>
    </row>
    <row r="805">
      <c r="F805" s="11" t="n"/>
      <c r="N805" s="7">
        <f>IF($C805="","",M805*U805/100)</f>
        <v/>
      </c>
      <c r="T805" s="7" t="n"/>
      <c r="U805" s="7" t="n"/>
      <c r="V805" s="7">
        <f>IF($C805="","",U805*AA805/100)</f>
        <v/>
      </c>
      <c r="W805" s="7">
        <f>IF($C805="","",U805-V805)</f>
        <v/>
      </c>
      <c r="X805" s="7">
        <f>IF($C805="","",W805-N805)</f>
        <v/>
      </c>
      <c r="AA805">
        <f>IF($C805="","",IF($AN805=1,0,IF($AM805=1,Settings!$C$6,Settings!$C$7))*100)</f>
        <v/>
      </c>
      <c r="AE805" s="7" t="n"/>
      <c r="AH805" s="11" t="n"/>
      <c r="AJ805">
        <f>IF($C805="","",$C805&amp;"|"&amp;$D805&amp;"")</f>
        <v/>
      </c>
      <c r="AK805">
        <f>IF($C805="","",IF(COUNTIF($AJ$2:$AJ805,$AJ805)=1,1,0))</f>
        <v/>
      </c>
      <c r="AL805">
        <f>IF($AK805=1,SUMPRODUCT(--($AO$2:$AO$1501&lt;$AO805))+1,"")</f>
        <v/>
      </c>
      <c r="AM805">
        <f>IF($C805="","",IF(OR($Q805=TRUE(),$Q805="TRUE"),1,0))</f>
        <v/>
      </c>
      <c r="AN805">
        <f>IF($C805="","",IF($Z805="Yes",1,0))</f>
        <v/>
      </c>
      <c r="AO805">
        <f>IF($AK805=1,IFERROR(IF(VALUE($C805)&lt;100000000,VALUE($C805),1000000000),IFERROR(IF(VALUE(MID($C805,2,20))&lt;100000000,VALUE(MID($C805,2,20)),1000000000),1000000000))+ROW()/100000,"")</f>
        <v/>
      </c>
    </row>
    <row r="806">
      <c r="F806" s="11" t="n"/>
      <c r="N806" s="7">
        <f>IF($C806="","",M806*U806/100)</f>
        <v/>
      </c>
      <c r="T806" s="7" t="n"/>
      <c r="U806" s="7" t="n"/>
      <c r="V806" s="7">
        <f>IF($C806="","",U806*AA806/100)</f>
        <v/>
      </c>
      <c r="W806" s="7">
        <f>IF($C806="","",U806-V806)</f>
        <v/>
      </c>
      <c r="X806" s="7">
        <f>IF($C806="","",W806-N806)</f>
        <v/>
      </c>
      <c r="AA806">
        <f>IF($C806="","",IF($AN806=1,0,IF($AM806=1,Settings!$C$6,Settings!$C$7))*100)</f>
        <v/>
      </c>
      <c r="AE806" s="7" t="n"/>
      <c r="AH806" s="11" t="n"/>
      <c r="AJ806">
        <f>IF($C806="","",$C806&amp;"|"&amp;$D806&amp;"")</f>
        <v/>
      </c>
      <c r="AK806">
        <f>IF($C806="","",IF(COUNTIF($AJ$2:$AJ806,$AJ806)=1,1,0))</f>
        <v/>
      </c>
      <c r="AL806">
        <f>IF($AK806=1,SUMPRODUCT(--($AO$2:$AO$1501&lt;$AO806))+1,"")</f>
        <v/>
      </c>
      <c r="AM806">
        <f>IF($C806="","",IF(OR($Q806=TRUE(),$Q806="TRUE"),1,0))</f>
        <v/>
      </c>
      <c r="AN806">
        <f>IF($C806="","",IF($Z806="Yes",1,0))</f>
        <v/>
      </c>
      <c r="AO806">
        <f>IF($AK806=1,IFERROR(IF(VALUE($C806)&lt;100000000,VALUE($C806),1000000000),IFERROR(IF(VALUE(MID($C806,2,20))&lt;100000000,VALUE(MID($C806,2,20)),1000000000),1000000000))+ROW()/100000,"")</f>
        <v/>
      </c>
    </row>
    <row r="807">
      <c r="F807" s="11" t="n"/>
      <c r="N807" s="7">
        <f>IF($C807="","",M807*U807/100)</f>
        <v/>
      </c>
      <c r="T807" s="7" t="n"/>
      <c r="U807" s="7" t="n"/>
      <c r="V807" s="7">
        <f>IF($C807="","",U807*AA807/100)</f>
        <v/>
      </c>
      <c r="W807" s="7">
        <f>IF($C807="","",U807-V807)</f>
        <v/>
      </c>
      <c r="X807" s="7">
        <f>IF($C807="","",W807-N807)</f>
        <v/>
      </c>
      <c r="AA807">
        <f>IF($C807="","",IF($AN807=1,0,IF($AM807=1,Settings!$C$6,Settings!$C$7))*100)</f>
        <v/>
      </c>
      <c r="AE807" s="7" t="n"/>
      <c r="AH807" s="11" t="n"/>
      <c r="AJ807">
        <f>IF($C807="","",$C807&amp;"|"&amp;$D807&amp;"")</f>
        <v/>
      </c>
      <c r="AK807">
        <f>IF($C807="","",IF(COUNTIF($AJ$2:$AJ807,$AJ807)=1,1,0))</f>
        <v/>
      </c>
      <c r="AL807">
        <f>IF($AK807=1,SUMPRODUCT(--($AO$2:$AO$1501&lt;$AO807))+1,"")</f>
        <v/>
      </c>
      <c r="AM807">
        <f>IF($C807="","",IF(OR($Q807=TRUE(),$Q807="TRUE"),1,0))</f>
        <v/>
      </c>
      <c r="AN807">
        <f>IF($C807="","",IF($Z807="Yes",1,0))</f>
        <v/>
      </c>
      <c r="AO807">
        <f>IF($AK807=1,IFERROR(IF(VALUE($C807)&lt;100000000,VALUE($C807),1000000000),IFERROR(IF(VALUE(MID($C807,2,20))&lt;100000000,VALUE(MID($C807,2,20)),1000000000),1000000000))+ROW()/100000,"")</f>
        <v/>
      </c>
    </row>
    <row r="808">
      <c r="F808" s="11" t="n"/>
      <c r="N808" s="7">
        <f>IF($C808="","",M808*U808/100)</f>
        <v/>
      </c>
      <c r="T808" s="7" t="n"/>
      <c r="U808" s="7" t="n"/>
      <c r="V808" s="7">
        <f>IF($C808="","",U808*AA808/100)</f>
        <v/>
      </c>
      <c r="W808" s="7">
        <f>IF($C808="","",U808-V808)</f>
        <v/>
      </c>
      <c r="X808" s="7">
        <f>IF($C808="","",W808-N808)</f>
        <v/>
      </c>
      <c r="AA808">
        <f>IF($C808="","",IF($AN808=1,0,IF($AM808=1,Settings!$C$6,Settings!$C$7))*100)</f>
        <v/>
      </c>
      <c r="AE808" s="7" t="n"/>
      <c r="AH808" s="11" t="n"/>
      <c r="AJ808">
        <f>IF($C808="","",$C808&amp;"|"&amp;$D808&amp;"")</f>
        <v/>
      </c>
      <c r="AK808">
        <f>IF($C808="","",IF(COUNTIF($AJ$2:$AJ808,$AJ808)=1,1,0))</f>
        <v/>
      </c>
      <c r="AL808">
        <f>IF($AK808=1,SUMPRODUCT(--($AO$2:$AO$1501&lt;$AO808))+1,"")</f>
        <v/>
      </c>
      <c r="AM808">
        <f>IF($C808="","",IF(OR($Q808=TRUE(),$Q808="TRUE"),1,0))</f>
        <v/>
      </c>
      <c r="AN808">
        <f>IF($C808="","",IF($Z808="Yes",1,0))</f>
        <v/>
      </c>
      <c r="AO808">
        <f>IF($AK808=1,IFERROR(IF(VALUE($C808)&lt;100000000,VALUE($C808),1000000000),IFERROR(IF(VALUE(MID($C808,2,20))&lt;100000000,VALUE(MID($C808,2,20)),1000000000),1000000000))+ROW()/100000,"")</f>
        <v/>
      </c>
    </row>
    <row r="809">
      <c r="F809" s="11" t="n"/>
      <c r="N809" s="7">
        <f>IF($C809="","",M809*U809/100)</f>
        <v/>
      </c>
      <c r="T809" s="7" t="n"/>
      <c r="U809" s="7" t="n"/>
      <c r="V809" s="7">
        <f>IF($C809="","",U809*AA809/100)</f>
        <v/>
      </c>
      <c r="W809" s="7">
        <f>IF($C809="","",U809-V809)</f>
        <v/>
      </c>
      <c r="X809" s="7">
        <f>IF($C809="","",W809-N809)</f>
        <v/>
      </c>
      <c r="AA809">
        <f>IF($C809="","",IF($AN809=1,0,IF($AM809=1,Settings!$C$6,Settings!$C$7))*100)</f>
        <v/>
      </c>
      <c r="AE809" s="7" t="n"/>
      <c r="AH809" s="11" t="n"/>
      <c r="AJ809">
        <f>IF($C809="","",$C809&amp;"|"&amp;$D809&amp;"")</f>
        <v/>
      </c>
      <c r="AK809">
        <f>IF($C809="","",IF(COUNTIF($AJ$2:$AJ809,$AJ809)=1,1,0))</f>
        <v/>
      </c>
      <c r="AL809">
        <f>IF($AK809=1,SUMPRODUCT(--($AO$2:$AO$1501&lt;$AO809))+1,"")</f>
        <v/>
      </c>
      <c r="AM809">
        <f>IF($C809="","",IF(OR($Q809=TRUE(),$Q809="TRUE"),1,0))</f>
        <v/>
      </c>
      <c r="AN809">
        <f>IF($C809="","",IF($Z809="Yes",1,0))</f>
        <v/>
      </c>
      <c r="AO809">
        <f>IF($AK809=1,IFERROR(IF(VALUE($C809)&lt;100000000,VALUE($C809),1000000000),IFERROR(IF(VALUE(MID($C809,2,20))&lt;100000000,VALUE(MID($C809,2,20)),1000000000),1000000000))+ROW()/100000,"")</f>
        <v/>
      </c>
    </row>
    <row r="810">
      <c r="F810" s="11" t="n"/>
      <c r="N810" s="7">
        <f>IF($C810="","",M810*U810/100)</f>
        <v/>
      </c>
      <c r="T810" s="7" t="n"/>
      <c r="U810" s="7" t="n"/>
      <c r="V810" s="7">
        <f>IF($C810="","",U810*AA810/100)</f>
        <v/>
      </c>
      <c r="W810" s="7">
        <f>IF($C810="","",U810-V810)</f>
        <v/>
      </c>
      <c r="X810" s="7">
        <f>IF($C810="","",W810-N810)</f>
        <v/>
      </c>
      <c r="AA810">
        <f>IF($C810="","",IF($AN810=1,0,IF($AM810=1,Settings!$C$6,Settings!$C$7))*100)</f>
        <v/>
      </c>
      <c r="AE810" s="7" t="n"/>
      <c r="AH810" s="11" t="n"/>
      <c r="AJ810">
        <f>IF($C810="","",$C810&amp;"|"&amp;$D810&amp;"")</f>
        <v/>
      </c>
      <c r="AK810">
        <f>IF($C810="","",IF(COUNTIF($AJ$2:$AJ810,$AJ810)=1,1,0))</f>
        <v/>
      </c>
      <c r="AL810">
        <f>IF($AK810=1,SUMPRODUCT(--($AO$2:$AO$1501&lt;$AO810))+1,"")</f>
        <v/>
      </c>
      <c r="AM810">
        <f>IF($C810="","",IF(OR($Q810=TRUE(),$Q810="TRUE"),1,0))</f>
        <v/>
      </c>
      <c r="AN810">
        <f>IF($C810="","",IF($Z810="Yes",1,0))</f>
        <v/>
      </c>
      <c r="AO810">
        <f>IF($AK810=1,IFERROR(IF(VALUE($C810)&lt;100000000,VALUE($C810),1000000000),IFERROR(IF(VALUE(MID($C810,2,20))&lt;100000000,VALUE(MID($C810,2,20)),1000000000),1000000000))+ROW()/100000,"")</f>
        <v/>
      </c>
    </row>
    <row r="811">
      <c r="F811" s="11" t="n"/>
      <c r="N811" s="7">
        <f>IF($C811="","",M811*U811/100)</f>
        <v/>
      </c>
      <c r="T811" s="7" t="n"/>
      <c r="U811" s="7" t="n"/>
      <c r="V811" s="7">
        <f>IF($C811="","",U811*AA811/100)</f>
        <v/>
      </c>
      <c r="W811" s="7">
        <f>IF($C811="","",U811-V811)</f>
        <v/>
      </c>
      <c r="X811" s="7">
        <f>IF($C811="","",W811-N811)</f>
        <v/>
      </c>
      <c r="AA811">
        <f>IF($C811="","",IF($AN811=1,0,IF($AM811=1,Settings!$C$6,Settings!$C$7))*100)</f>
        <v/>
      </c>
      <c r="AE811" s="7" t="n"/>
      <c r="AH811" s="11" t="n"/>
      <c r="AJ811">
        <f>IF($C811="","",$C811&amp;"|"&amp;$D811&amp;"")</f>
        <v/>
      </c>
      <c r="AK811">
        <f>IF($C811="","",IF(COUNTIF($AJ$2:$AJ811,$AJ811)=1,1,0))</f>
        <v/>
      </c>
      <c r="AL811">
        <f>IF($AK811=1,SUMPRODUCT(--($AO$2:$AO$1501&lt;$AO811))+1,"")</f>
        <v/>
      </c>
      <c r="AM811">
        <f>IF($C811="","",IF(OR($Q811=TRUE(),$Q811="TRUE"),1,0))</f>
        <v/>
      </c>
      <c r="AN811">
        <f>IF($C811="","",IF($Z811="Yes",1,0))</f>
        <v/>
      </c>
      <c r="AO811">
        <f>IF($AK811=1,IFERROR(IF(VALUE($C811)&lt;100000000,VALUE($C811),1000000000),IFERROR(IF(VALUE(MID($C811,2,20))&lt;100000000,VALUE(MID($C811,2,20)),1000000000),1000000000))+ROW()/100000,"")</f>
        <v/>
      </c>
    </row>
    <row r="812">
      <c r="F812" s="11" t="n"/>
      <c r="N812" s="7">
        <f>IF($C812="","",M812*U812/100)</f>
        <v/>
      </c>
      <c r="T812" s="7" t="n"/>
      <c r="U812" s="7" t="n"/>
      <c r="V812" s="7">
        <f>IF($C812="","",U812*AA812/100)</f>
        <v/>
      </c>
      <c r="W812" s="7">
        <f>IF($C812="","",U812-V812)</f>
        <v/>
      </c>
      <c r="X812" s="7">
        <f>IF($C812="","",W812-N812)</f>
        <v/>
      </c>
      <c r="AA812">
        <f>IF($C812="","",IF($AN812=1,0,IF($AM812=1,Settings!$C$6,Settings!$C$7))*100)</f>
        <v/>
      </c>
      <c r="AE812" s="7" t="n"/>
      <c r="AH812" s="11" t="n"/>
      <c r="AJ812">
        <f>IF($C812="","",$C812&amp;"|"&amp;$D812&amp;"")</f>
        <v/>
      </c>
      <c r="AK812">
        <f>IF($C812="","",IF(COUNTIF($AJ$2:$AJ812,$AJ812)=1,1,0))</f>
        <v/>
      </c>
      <c r="AL812">
        <f>IF($AK812=1,SUMPRODUCT(--($AO$2:$AO$1501&lt;$AO812))+1,"")</f>
        <v/>
      </c>
      <c r="AM812">
        <f>IF($C812="","",IF(OR($Q812=TRUE(),$Q812="TRUE"),1,0))</f>
        <v/>
      </c>
      <c r="AN812">
        <f>IF($C812="","",IF($Z812="Yes",1,0))</f>
        <v/>
      </c>
      <c r="AO812">
        <f>IF($AK812=1,IFERROR(IF(VALUE($C812)&lt;100000000,VALUE($C812),1000000000),IFERROR(IF(VALUE(MID($C812,2,20))&lt;100000000,VALUE(MID($C812,2,20)),1000000000),1000000000))+ROW()/100000,"")</f>
        <v/>
      </c>
    </row>
    <row r="813">
      <c r="F813" s="11" t="n"/>
      <c r="N813" s="7">
        <f>IF($C813="","",M813*U813/100)</f>
        <v/>
      </c>
      <c r="T813" s="7" t="n"/>
      <c r="U813" s="7" t="n"/>
      <c r="V813" s="7">
        <f>IF($C813="","",U813*AA813/100)</f>
        <v/>
      </c>
      <c r="W813" s="7">
        <f>IF($C813="","",U813-V813)</f>
        <v/>
      </c>
      <c r="X813" s="7">
        <f>IF($C813="","",W813-N813)</f>
        <v/>
      </c>
      <c r="AA813">
        <f>IF($C813="","",IF($AN813=1,0,IF($AM813=1,Settings!$C$6,Settings!$C$7))*100)</f>
        <v/>
      </c>
      <c r="AE813" s="7" t="n"/>
      <c r="AH813" s="11" t="n"/>
      <c r="AJ813">
        <f>IF($C813="","",$C813&amp;"|"&amp;$D813&amp;"")</f>
        <v/>
      </c>
      <c r="AK813">
        <f>IF($C813="","",IF(COUNTIF($AJ$2:$AJ813,$AJ813)=1,1,0))</f>
        <v/>
      </c>
      <c r="AL813">
        <f>IF($AK813=1,SUMPRODUCT(--($AO$2:$AO$1501&lt;$AO813))+1,"")</f>
        <v/>
      </c>
      <c r="AM813">
        <f>IF($C813="","",IF(OR($Q813=TRUE(),$Q813="TRUE"),1,0))</f>
        <v/>
      </c>
      <c r="AN813">
        <f>IF($C813="","",IF($Z813="Yes",1,0))</f>
        <v/>
      </c>
      <c r="AO813">
        <f>IF($AK813=1,IFERROR(IF(VALUE($C813)&lt;100000000,VALUE($C813),1000000000),IFERROR(IF(VALUE(MID($C813,2,20))&lt;100000000,VALUE(MID($C813,2,20)),1000000000),1000000000))+ROW()/100000,"")</f>
        <v/>
      </c>
    </row>
    <row r="814">
      <c r="F814" s="11" t="n"/>
      <c r="N814" s="7">
        <f>IF($C814="","",M814*U814/100)</f>
        <v/>
      </c>
      <c r="T814" s="7" t="n"/>
      <c r="U814" s="7" t="n"/>
      <c r="V814" s="7">
        <f>IF($C814="","",U814*AA814/100)</f>
        <v/>
      </c>
      <c r="W814" s="7">
        <f>IF($C814="","",U814-V814)</f>
        <v/>
      </c>
      <c r="X814" s="7">
        <f>IF($C814="","",W814-N814)</f>
        <v/>
      </c>
      <c r="AA814">
        <f>IF($C814="","",IF($AN814=1,0,IF($AM814=1,Settings!$C$6,Settings!$C$7))*100)</f>
        <v/>
      </c>
      <c r="AE814" s="7" t="n"/>
      <c r="AH814" s="11" t="n"/>
      <c r="AJ814">
        <f>IF($C814="","",$C814&amp;"|"&amp;$D814&amp;"")</f>
        <v/>
      </c>
      <c r="AK814">
        <f>IF($C814="","",IF(COUNTIF($AJ$2:$AJ814,$AJ814)=1,1,0))</f>
        <v/>
      </c>
      <c r="AL814">
        <f>IF($AK814=1,SUMPRODUCT(--($AO$2:$AO$1501&lt;$AO814))+1,"")</f>
        <v/>
      </c>
      <c r="AM814">
        <f>IF($C814="","",IF(OR($Q814=TRUE(),$Q814="TRUE"),1,0))</f>
        <v/>
      </c>
      <c r="AN814">
        <f>IF($C814="","",IF($Z814="Yes",1,0))</f>
        <v/>
      </c>
      <c r="AO814">
        <f>IF($AK814=1,IFERROR(IF(VALUE($C814)&lt;100000000,VALUE($C814),1000000000),IFERROR(IF(VALUE(MID($C814,2,20))&lt;100000000,VALUE(MID($C814,2,20)),1000000000),1000000000))+ROW()/100000,"")</f>
        <v/>
      </c>
    </row>
    <row r="815">
      <c r="F815" s="11" t="n"/>
      <c r="N815" s="7">
        <f>IF($C815="","",M815*U815/100)</f>
        <v/>
      </c>
      <c r="T815" s="7" t="n"/>
      <c r="U815" s="7" t="n"/>
      <c r="V815" s="7">
        <f>IF($C815="","",U815*AA815/100)</f>
        <v/>
      </c>
      <c r="W815" s="7">
        <f>IF($C815="","",U815-V815)</f>
        <v/>
      </c>
      <c r="X815" s="7">
        <f>IF($C815="","",W815-N815)</f>
        <v/>
      </c>
      <c r="AA815">
        <f>IF($C815="","",IF($AN815=1,0,IF($AM815=1,Settings!$C$6,Settings!$C$7))*100)</f>
        <v/>
      </c>
      <c r="AE815" s="7" t="n"/>
      <c r="AH815" s="11" t="n"/>
      <c r="AJ815">
        <f>IF($C815="","",$C815&amp;"|"&amp;$D815&amp;"")</f>
        <v/>
      </c>
      <c r="AK815">
        <f>IF($C815="","",IF(COUNTIF($AJ$2:$AJ815,$AJ815)=1,1,0))</f>
        <v/>
      </c>
      <c r="AL815">
        <f>IF($AK815=1,SUMPRODUCT(--($AO$2:$AO$1501&lt;$AO815))+1,"")</f>
        <v/>
      </c>
      <c r="AM815">
        <f>IF($C815="","",IF(OR($Q815=TRUE(),$Q815="TRUE"),1,0))</f>
        <v/>
      </c>
      <c r="AN815">
        <f>IF($C815="","",IF($Z815="Yes",1,0))</f>
        <v/>
      </c>
      <c r="AO815">
        <f>IF($AK815=1,IFERROR(IF(VALUE($C815)&lt;100000000,VALUE($C815),1000000000),IFERROR(IF(VALUE(MID($C815,2,20))&lt;100000000,VALUE(MID($C815,2,20)),1000000000),1000000000))+ROW()/100000,"")</f>
        <v/>
      </c>
    </row>
    <row r="816">
      <c r="F816" s="11" t="n"/>
      <c r="N816" s="7">
        <f>IF($C816="","",M816*U816/100)</f>
        <v/>
      </c>
      <c r="T816" s="7" t="n"/>
      <c r="U816" s="7" t="n"/>
      <c r="V816" s="7">
        <f>IF($C816="","",U816*AA816/100)</f>
        <v/>
      </c>
      <c r="W816" s="7">
        <f>IF($C816="","",U816-V816)</f>
        <v/>
      </c>
      <c r="X816" s="7">
        <f>IF($C816="","",W816-N816)</f>
        <v/>
      </c>
      <c r="AA816">
        <f>IF($C816="","",IF($AN816=1,0,IF($AM816=1,Settings!$C$6,Settings!$C$7))*100)</f>
        <v/>
      </c>
      <c r="AE816" s="7" t="n"/>
      <c r="AH816" s="11" t="n"/>
      <c r="AJ816">
        <f>IF($C816="","",$C816&amp;"|"&amp;$D816&amp;"")</f>
        <v/>
      </c>
      <c r="AK816">
        <f>IF($C816="","",IF(COUNTIF($AJ$2:$AJ816,$AJ816)=1,1,0))</f>
        <v/>
      </c>
      <c r="AL816">
        <f>IF($AK816=1,SUMPRODUCT(--($AO$2:$AO$1501&lt;$AO816))+1,"")</f>
        <v/>
      </c>
      <c r="AM816">
        <f>IF($C816="","",IF(OR($Q816=TRUE(),$Q816="TRUE"),1,0))</f>
        <v/>
      </c>
      <c r="AN816">
        <f>IF($C816="","",IF($Z816="Yes",1,0))</f>
        <v/>
      </c>
      <c r="AO816">
        <f>IF($AK816=1,IFERROR(IF(VALUE($C816)&lt;100000000,VALUE($C816),1000000000),IFERROR(IF(VALUE(MID($C816,2,20))&lt;100000000,VALUE(MID($C816,2,20)),1000000000),1000000000))+ROW()/100000,"")</f>
        <v/>
      </c>
    </row>
    <row r="817">
      <c r="F817" s="11" t="n"/>
      <c r="N817" s="7">
        <f>IF($C817="","",M817*U817/100)</f>
        <v/>
      </c>
      <c r="T817" s="7" t="n"/>
      <c r="U817" s="7" t="n"/>
      <c r="V817" s="7">
        <f>IF($C817="","",U817*AA817/100)</f>
        <v/>
      </c>
      <c r="W817" s="7">
        <f>IF($C817="","",U817-V817)</f>
        <v/>
      </c>
      <c r="X817" s="7">
        <f>IF($C817="","",W817-N817)</f>
        <v/>
      </c>
      <c r="AA817">
        <f>IF($C817="","",IF($AN817=1,0,IF($AM817=1,Settings!$C$6,Settings!$C$7))*100)</f>
        <v/>
      </c>
      <c r="AE817" s="7" t="n"/>
      <c r="AH817" s="11" t="n"/>
      <c r="AJ817">
        <f>IF($C817="","",$C817&amp;"|"&amp;$D817&amp;"")</f>
        <v/>
      </c>
      <c r="AK817">
        <f>IF($C817="","",IF(COUNTIF($AJ$2:$AJ817,$AJ817)=1,1,0))</f>
        <v/>
      </c>
      <c r="AL817">
        <f>IF($AK817=1,SUMPRODUCT(--($AO$2:$AO$1501&lt;$AO817))+1,"")</f>
        <v/>
      </c>
      <c r="AM817">
        <f>IF($C817="","",IF(OR($Q817=TRUE(),$Q817="TRUE"),1,0))</f>
        <v/>
      </c>
      <c r="AN817">
        <f>IF($C817="","",IF($Z817="Yes",1,0))</f>
        <v/>
      </c>
      <c r="AO817">
        <f>IF($AK817=1,IFERROR(IF(VALUE($C817)&lt;100000000,VALUE($C817),1000000000),IFERROR(IF(VALUE(MID($C817,2,20))&lt;100000000,VALUE(MID($C817,2,20)),1000000000),1000000000))+ROW()/100000,"")</f>
        <v/>
      </c>
    </row>
    <row r="818">
      <c r="F818" s="11" t="n"/>
      <c r="N818" s="7">
        <f>IF($C818="","",M818*U818/100)</f>
        <v/>
      </c>
      <c r="T818" s="7" t="n"/>
      <c r="U818" s="7" t="n"/>
      <c r="V818" s="7">
        <f>IF($C818="","",U818*AA818/100)</f>
        <v/>
      </c>
      <c r="W818" s="7">
        <f>IF($C818="","",U818-V818)</f>
        <v/>
      </c>
      <c r="X818" s="7">
        <f>IF($C818="","",W818-N818)</f>
        <v/>
      </c>
      <c r="AA818">
        <f>IF($C818="","",IF($AN818=1,0,IF($AM818=1,Settings!$C$6,Settings!$C$7))*100)</f>
        <v/>
      </c>
      <c r="AE818" s="7" t="n"/>
      <c r="AH818" s="11" t="n"/>
      <c r="AJ818">
        <f>IF($C818="","",$C818&amp;"|"&amp;$D818&amp;"")</f>
        <v/>
      </c>
      <c r="AK818">
        <f>IF($C818="","",IF(COUNTIF($AJ$2:$AJ818,$AJ818)=1,1,0))</f>
        <v/>
      </c>
      <c r="AL818">
        <f>IF($AK818=1,SUMPRODUCT(--($AO$2:$AO$1501&lt;$AO818))+1,"")</f>
        <v/>
      </c>
      <c r="AM818">
        <f>IF($C818="","",IF(OR($Q818=TRUE(),$Q818="TRUE"),1,0))</f>
        <v/>
      </c>
      <c r="AN818">
        <f>IF($C818="","",IF($Z818="Yes",1,0))</f>
        <v/>
      </c>
      <c r="AO818">
        <f>IF($AK818=1,IFERROR(IF(VALUE($C818)&lt;100000000,VALUE($C818),1000000000),IFERROR(IF(VALUE(MID($C818,2,20))&lt;100000000,VALUE(MID($C818,2,20)),1000000000),1000000000))+ROW()/100000,"")</f>
        <v/>
      </c>
    </row>
    <row r="819">
      <c r="F819" s="11" t="n"/>
      <c r="N819" s="7">
        <f>IF($C819="","",M819*U819/100)</f>
        <v/>
      </c>
      <c r="T819" s="7" t="n"/>
      <c r="U819" s="7" t="n"/>
      <c r="V819" s="7">
        <f>IF($C819="","",U819*AA819/100)</f>
        <v/>
      </c>
      <c r="W819" s="7">
        <f>IF($C819="","",U819-V819)</f>
        <v/>
      </c>
      <c r="X819" s="7">
        <f>IF($C819="","",W819-N819)</f>
        <v/>
      </c>
      <c r="AA819">
        <f>IF($C819="","",IF($AN819=1,0,IF($AM819=1,Settings!$C$6,Settings!$C$7))*100)</f>
        <v/>
      </c>
      <c r="AE819" s="7" t="n"/>
      <c r="AH819" s="11" t="n"/>
      <c r="AJ819">
        <f>IF($C819="","",$C819&amp;"|"&amp;$D819&amp;"")</f>
        <v/>
      </c>
      <c r="AK819">
        <f>IF($C819="","",IF(COUNTIF($AJ$2:$AJ819,$AJ819)=1,1,0))</f>
        <v/>
      </c>
      <c r="AL819">
        <f>IF($AK819=1,SUMPRODUCT(--($AO$2:$AO$1501&lt;$AO819))+1,"")</f>
        <v/>
      </c>
      <c r="AM819">
        <f>IF($C819="","",IF(OR($Q819=TRUE(),$Q819="TRUE"),1,0))</f>
        <v/>
      </c>
      <c r="AN819">
        <f>IF($C819="","",IF($Z819="Yes",1,0))</f>
        <v/>
      </c>
      <c r="AO819">
        <f>IF($AK819=1,IFERROR(IF(VALUE($C819)&lt;100000000,VALUE($C819),1000000000),IFERROR(IF(VALUE(MID($C819,2,20))&lt;100000000,VALUE(MID($C819,2,20)),1000000000),1000000000))+ROW()/100000,"")</f>
        <v/>
      </c>
    </row>
    <row r="820">
      <c r="F820" s="11" t="n"/>
      <c r="N820" s="7">
        <f>IF($C820="","",M820*U820/100)</f>
        <v/>
      </c>
      <c r="T820" s="7" t="n"/>
      <c r="U820" s="7" t="n"/>
      <c r="V820" s="7">
        <f>IF($C820="","",U820*AA820/100)</f>
        <v/>
      </c>
      <c r="W820" s="7">
        <f>IF($C820="","",U820-V820)</f>
        <v/>
      </c>
      <c r="X820" s="7">
        <f>IF($C820="","",W820-N820)</f>
        <v/>
      </c>
      <c r="AA820">
        <f>IF($C820="","",IF($AN820=1,0,IF($AM820=1,Settings!$C$6,Settings!$C$7))*100)</f>
        <v/>
      </c>
      <c r="AE820" s="7" t="n"/>
      <c r="AH820" s="11" t="n"/>
      <c r="AJ820">
        <f>IF($C820="","",$C820&amp;"|"&amp;$D820&amp;"")</f>
        <v/>
      </c>
      <c r="AK820">
        <f>IF($C820="","",IF(COUNTIF($AJ$2:$AJ820,$AJ820)=1,1,0))</f>
        <v/>
      </c>
      <c r="AL820">
        <f>IF($AK820=1,SUMPRODUCT(--($AO$2:$AO$1501&lt;$AO820))+1,"")</f>
        <v/>
      </c>
      <c r="AM820">
        <f>IF($C820="","",IF(OR($Q820=TRUE(),$Q820="TRUE"),1,0))</f>
        <v/>
      </c>
      <c r="AN820">
        <f>IF($C820="","",IF($Z820="Yes",1,0))</f>
        <v/>
      </c>
      <c r="AO820">
        <f>IF($AK820=1,IFERROR(IF(VALUE($C820)&lt;100000000,VALUE($C820),1000000000),IFERROR(IF(VALUE(MID($C820,2,20))&lt;100000000,VALUE(MID($C820,2,20)),1000000000),1000000000))+ROW()/100000,"")</f>
        <v/>
      </c>
    </row>
    <row r="821">
      <c r="F821" s="11" t="n"/>
      <c r="N821" s="7">
        <f>IF($C821="","",M821*U821/100)</f>
        <v/>
      </c>
      <c r="T821" s="7" t="n"/>
      <c r="U821" s="7" t="n"/>
      <c r="V821" s="7">
        <f>IF($C821="","",U821*AA821/100)</f>
        <v/>
      </c>
      <c r="W821" s="7">
        <f>IF($C821="","",U821-V821)</f>
        <v/>
      </c>
      <c r="X821" s="7">
        <f>IF($C821="","",W821-N821)</f>
        <v/>
      </c>
      <c r="AA821">
        <f>IF($C821="","",IF($AN821=1,0,IF($AM821=1,Settings!$C$6,Settings!$C$7))*100)</f>
        <v/>
      </c>
      <c r="AE821" s="7" t="n"/>
      <c r="AH821" s="11" t="n"/>
      <c r="AJ821">
        <f>IF($C821="","",$C821&amp;"|"&amp;$D821&amp;"")</f>
        <v/>
      </c>
      <c r="AK821">
        <f>IF($C821="","",IF(COUNTIF($AJ$2:$AJ821,$AJ821)=1,1,0))</f>
        <v/>
      </c>
      <c r="AL821">
        <f>IF($AK821=1,SUMPRODUCT(--($AO$2:$AO$1501&lt;$AO821))+1,"")</f>
        <v/>
      </c>
      <c r="AM821">
        <f>IF($C821="","",IF(OR($Q821=TRUE(),$Q821="TRUE"),1,0))</f>
        <v/>
      </c>
      <c r="AN821">
        <f>IF($C821="","",IF($Z821="Yes",1,0))</f>
        <v/>
      </c>
      <c r="AO821">
        <f>IF($AK821=1,IFERROR(IF(VALUE($C821)&lt;100000000,VALUE($C821),1000000000),IFERROR(IF(VALUE(MID($C821,2,20))&lt;100000000,VALUE(MID($C821,2,20)),1000000000),1000000000))+ROW()/100000,"")</f>
        <v/>
      </c>
    </row>
    <row r="822">
      <c r="F822" s="11" t="n"/>
      <c r="N822" s="7">
        <f>IF($C822="","",M822*U822/100)</f>
        <v/>
      </c>
      <c r="T822" s="7" t="n"/>
      <c r="U822" s="7" t="n"/>
      <c r="V822" s="7">
        <f>IF($C822="","",U822*AA822/100)</f>
        <v/>
      </c>
      <c r="W822" s="7">
        <f>IF($C822="","",U822-V822)</f>
        <v/>
      </c>
      <c r="X822" s="7">
        <f>IF($C822="","",W822-N822)</f>
        <v/>
      </c>
      <c r="AA822">
        <f>IF($C822="","",IF($AN822=1,0,IF($AM822=1,Settings!$C$6,Settings!$C$7))*100)</f>
        <v/>
      </c>
      <c r="AE822" s="7" t="n"/>
      <c r="AH822" s="11" t="n"/>
      <c r="AJ822">
        <f>IF($C822="","",$C822&amp;"|"&amp;$D822&amp;"")</f>
        <v/>
      </c>
      <c r="AK822">
        <f>IF($C822="","",IF(COUNTIF($AJ$2:$AJ822,$AJ822)=1,1,0))</f>
        <v/>
      </c>
      <c r="AL822">
        <f>IF($AK822=1,SUMPRODUCT(--($AO$2:$AO$1501&lt;$AO822))+1,"")</f>
        <v/>
      </c>
      <c r="AM822">
        <f>IF($C822="","",IF(OR($Q822=TRUE(),$Q822="TRUE"),1,0))</f>
        <v/>
      </c>
      <c r="AN822">
        <f>IF($C822="","",IF($Z822="Yes",1,0))</f>
        <v/>
      </c>
      <c r="AO822">
        <f>IF($AK822=1,IFERROR(IF(VALUE($C822)&lt;100000000,VALUE($C822),1000000000),IFERROR(IF(VALUE(MID($C822,2,20))&lt;100000000,VALUE(MID($C822,2,20)),1000000000),1000000000))+ROW()/100000,"")</f>
        <v/>
      </c>
    </row>
    <row r="823">
      <c r="F823" s="11" t="n"/>
      <c r="N823" s="7">
        <f>IF($C823="","",M823*U823/100)</f>
        <v/>
      </c>
      <c r="T823" s="7" t="n"/>
      <c r="U823" s="7" t="n"/>
      <c r="V823" s="7">
        <f>IF($C823="","",U823*AA823/100)</f>
        <v/>
      </c>
      <c r="W823" s="7">
        <f>IF($C823="","",U823-V823)</f>
        <v/>
      </c>
      <c r="X823" s="7">
        <f>IF($C823="","",W823-N823)</f>
        <v/>
      </c>
      <c r="AA823">
        <f>IF($C823="","",IF($AN823=1,0,IF($AM823=1,Settings!$C$6,Settings!$C$7))*100)</f>
        <v/>
      </c>
      <c r="AE823" s="7" t="n"/>
      <c r="AH823" s="11" t="n"/>
      <c r="AJ823">
        <f>IF($C823="","",$C823&amp;"|"&amp;$D823&amp;"")</f>
        <v/>
      </c>
      <c r="AK823">
        <f>IF($C823="","",IF(COUNTIF($AJ$2:$AJ823,$AJ823)=1,1,0))</f>
        <v/>
      </c>
      <c r="AL823">
        <f>IF($AK823=1,SUMPRODUCT(--($AO$2:$AO$1501&lt;$AO823))+1,"")</f>
        <v/>
      </c>
      <c r="AM823">
        <f>IF($C823="","",IF(OR($Q823=TRUE(),$Q823="TRUE"),1,0))</f>
        <v/>
      </c>
      <c r="AN823">
        <f>IF($C823="","",IF($Z823="Yes",1,0))</f>
        <v/>
      </c>
      <c r="AO823">
        <f>IF($AK823=1,IFERROR(IF(VALUE($C823)&lt;100000000,VALUE($C823),1000000000),IFERROR(IF(VALUE(MID($C823,2,20))&lt;100000000,VALUE(MID($C823,2,20)),1000000000),1000000000))+ROW()/100000,"")</f>
        <v/>
      </c>
    </row>
    <row r="824">
      <c r="F824" s="11" t="n"/>
      <c r="N824" s="7">
        <f>IF($C824="","",M824*U824/100)</f>
        <v/>
      </c>
      <c r="T824" s="7" t="n"/>
      <c r="U824" s="7" t="n"/>
      <c r="V824" s="7">
        <f>IF($C824="","",U824*AA824/100)</f>
        <v/>
      </c>
      <c r="W824" s="7">
        <f>IF($C824="","",U824-V824)</f>
        <v/>
      </c>
      <c r="X824" s="7">
        <f>IF($C824="","",W824-N824)</f>
        <v/>
      </c>
      <c r="AA824">
        <f>IF($C824="","",IF($AN824=1,0,IF($AM824=1,Settings!$C$6,Settings!$C$7))*100)</f>
        <v/>
      </c>
      <c r="AE824" s="7" t="n"/>
      <c r="AH824" s="11" t="n"/>
      <c r="AJ824">
        <f>IF($C824="","",$C824&amp;"|"&amp;$D824&amp;"")</f>
        <v/>
      </c>
      <c r="AK824">
        <f>IF($C824="","",IF(COUNTIF($AJ$2:$AJ824,$AJ824)=1,1,0))</f>
        <v/>
      </c>
      <c r="AL824">
        <f>IF($AK824=1,SUMPRODUCT(--($AO$2:$AO$1501&lt;$AO824))+1,"")</f>
        <v/>
      </c>
      <c r="AM824">
        <f>IF($C824="","",IF(OR($Q824=TRUE(),$Q824="TRUE"),1,0))</f>
        <v/>
      </c>
      <c r="AN824">
        <f>IF($C824="","",IF($Z824="Yes",1,0))</f>
        <v/>
      </c>
      <c r="AO824">
        <f>IF($AK824=1,IFERROR(IF(VALUE($C824)&lt;100000000,VALUE($C824),1000000000),IFERROR(IF(VALUE(MID($C824,2,20))&lt;100000000,VALUE(MID($C824,2,20)),1000000000),1000000000))+ROW()/100000,"")</f>
        <v/>
      </c>
    </row>
    <row r="825">
      <c r="F825" s="11" t="n"/>
      <c r="N825" s="7">
        <f>IF($C825="","",M825*U825/100)</f>
        <v/>
      </c>
      <c r="T825" s="7" t="n"/>
      <c r="U825" s="7" t="n"/>
      <c r="V825" s="7">
        <f>IF($C825="","",U825*AA825/100)</f>
        <v/>
      </c>
      <c r="W825" s="7">
        <f>IF($C825="","",U825-V825)</f>
        <v/>
      </c>
      <c r="X825" s="7">
        <f>IF($C825="","",W825-N825)</f>
        <v/>
      </c>
      <c r="AA825">
        <f>IF($C825="","",IF($AN825=1,0,IF($AM825=1,Settings!$C$6,Settings!$C$7))*100)</f>
        <v/>
      </c>
      <c r="AE825" s="7" t="n"/>
      <c r="AH825" s="11" t="n"/>
      <c r="AJ825">
        <f>IF($C825="","",$C825&amp;"|"&amp;$D825&amp;"")</f>
        <v/>
      </c>
      <c r="AK825">
        <f>IF($C825="","",IF(COUNTIF($AJ$2:$AJ825,$AJ825)=1,1,0))</f>
        <v/>
      </c>
      <c r="AL825">
        <f>IF($AK825=1,SUMPRODUCT(--($AO$2:$AO$1501&lt;$AO825))+1,"")</f>
        <v/>
      </c>
      <c r="AM825">
        <f>IF($C825="","",IF(OR($Q825=TRUE(),$Q825="TRUE"),1,0))</f>
        <v/>
      </c>
      <c r="AN825">
        <f>IF($C825="","",IF($Z825="Yes",1,0))</f>
        <v/>
      </c>
      <c r="AO825">
        <f>IF($AK825=1,IFERROR(IF(VALUE($C825)&lt;100000000,VALUE($C825),1000000000),IFERROR(IF(VALUE(MID($C825,2,20))&lt;100000000,VALUE(MID($C825,2,20)),1000000000),1000000000))+ROW()/100000,"")</f>
        <v/>
      </c>
    </row>
    <row r="826">
      <c r="F826" s="11" t="n"/>
      <c r="N826" s="7">
        <f>IF($C826="","",M826*U826/100)</f>
        <v/>
      </c>
      <c r="T826" s="7" t="n"/>
      <c r="U826" s="7" t="n"/>
      <c r="V826" s="7">
        <f>IF($C826="","",U826*AA826/100)</f>
        <v/>
      </c>
      <c r="W826" s="7">
        <f>IF($C826="","",U826-V826)</f>
        <v/>
      </c>
      <c r="X826" s="7">
        <f>IF($C826="","",W826-N826)</f>
        <v/>
      </c>
      <c r="AA826">
        <f>IF($C826="","",IF($AN826=1,0,IF($AM826=1,Settings!$C$6,Settings!$C$7))*100)</f>
        <v/>
      </c>
      <c r="AE826" s="7" t="n"/>
      <c r="AH826" s="11" t="n"/>
      <c r="AJ826">
        <f>IF($C826="","",$C826&amp;"|"&amp;$D826&amp;"")</f>
        <v/>
      </c>
      <c r="AK826">
        <f>IF($C826="","",IF(COUNTIF($AJ$2:$AJ826,$AJ826)=1,1,0))</f>
        <v/>
      </c>
      <c r="AL826">
        <f>IF($AK826=1,SUMPRODUCT(--($AO$2:$AO$1501&lt;$AO826))+1,"")</f>
        <v/>
      </c>
      <c r="AM826">
        <f>IF($C826="","",IF(OR($Q826=TRUE(),$Q826="TRUE"),1,0))</f>
        <v/>
      </c>
      <c r="AN826">
        <f>IF($C826="","",IF($Z826="Yes",1,0))</f>
        <v/>
      </c>
      <c r="AO826">
        <f>IF($AK826=1,IFERROR(IF(VALUE($C826)&lt;100000000,VALUE($C826),1000000000),IFERROR(IF(VALUE(MID($C826,2,20))&lt;100000000,VALUE(MID($C826,2,20)),1000000000),1000000000))+ROW()/100000,"")</f>
        <v/>
      </c>
    </row>
    <row r="827">
      <c r="F827" s="11" t="n"/>
      <c r="N827" s="7">
        <f>IF($C827="","",M827*U827/100)</f>
        <v/>
      </c>
      <c r="T827" s="7" t="n"/>
      <c r="U827" s="7" t="n"/>
      <c r="V827" s="7">
        <f>IF($C827="","",U827*AA827/100)</f>
        <v/>
      </c>
      <c r="W827" s="7">
        <f>IF($C827="","",U827-V827)</f>
        <v/>
      </c>
      <c r="X827" s="7">
        <f>IF($C827="","",W827-N827)</f>
        <v/>
      </c>
      <c r="AA827">
        <f>IF($C827="","",IF($AN827=1,0,IF($AM827=1,Settings!$C$6,Settings!$C$7))*100)</f>
        <v/>
      </c>
      <c r="AE827" s="7" t="n"/>
      <c r="AH827" s="11" t="n"/>
      <c r="AJ827">
        <f>IF($C827="","",$C827&amp;"|"&amp;$D827&amp;"")</f>
        <v/>
      </c>
      <c r="AK827">
        <f>IF($C827="","",IF(COUNTIF($AJ$2:$AJ827,$AJ827)=1,1,0))</f>
        <v/>
      </c>
      <c r="AL827">
        <f>IF($AK827=1,SUMPRODUCT(--($AO$2:$AO$1501&lt;$AO827))+1,"")</f>
        <v/>
      </c>
      <c r="AM827">
        <f>IF($C827="","",IF(OR($Q827=TRUE(),$Q827="TRUE"),1,0))</f>
        <v/>
      </c>
      <c r="AN827">
        <f>IF($C827="","",IF($Z827="Yes",1,0))</f>
        <v/>
      </c>
      <c r="AO827">
        <f>IF($AK827=1,IFERROR(IF(VALUE($C827)&lt;100000000,VALUE($C827),1000000000),IFERROR(IF(VALUE(MID($C827,2,20))&lt;100000000,VALUE(MID($C827,2,20)),1000000000),1000000000))+ROW()/100000,"")</f>
        <v/>
      </c>
    </row>
    <row r="828">
      <c r="F828" s="11" t="n"/>
      <c r="N828" s="7">
        <f>IF($C828="","",M828*U828/100)</f>
        <v/>
      </c>
      <c r="T828" s="7" t="n"/>
      <c r="U828" s="7" t="n"/>
      <c r="V828" s="7">
        <f>IF($C828="","",U828*AA828/100)</f>
        <v/>
      </c>
      <c r="W828" s="7">
        <f>IF($C828="","",U828-V828)</f>
        <v/>
      </c>
      <c r="X828" s="7">
        <f>IF($C828="","",W828-N828)</f>
        <v/>
      </c>
      <c r="AA828">
        <f>IF($C828="","",IF($AN828=1,0,IF($AM828=1,Settings!$C$6,Settings!$C$7))*100)</f>
        <v/>
      </c>
      <c r="AE828" s="7" t="n"/>
      <c r="AH828" s="11" t="n"/>
      <c r="AJ828">
        <f>IF($C828="","",$C828&amp;"|"&amp;$D828&amp;"")</f>
        <v/>
      </c>
      <c r="AK828">
        <f>IF($C828="","",IF(COUNTIF($AJ$2:$AJ828,$AJ828)=1,1,0))</f>
        <v/>
      </c>
      <c r="AL828">
        <f>IF($AK828=1,SUMPRODUCT(--($AO$2:$AO$1501&lt;$AO828))+1,"")</f>
        <v/>
      </c>
      <c r="AM828">
        <f>IF($C828="","",IF(OR($Q828=TRUE(),$Q828="TRUE"),1,0))</f>
        <v/>
      </c>
      <c r="AN828">
        <f>IF($C828="","",IF($Z828="Yes",1,0))</f>
        <v/>
      </c>
      <c r="AO828">
        <f>IF($AK828=1,IFERROR(IF(VALUE($C828)&lt;100000000,VALUE($C828),1000000000),IFERROR(IF(VALUE(MID($C828,2,20))&lt;100000000,VALUE(MID($C828,2,20)),1000000000),1000000000))+ROW()/100000,"")</f>
        <v/>
      </c>
    </row>
    <row r="829">
      <c r="F829" s="11" t="n"/>
      <c r="N829" s="7">
        <f>IF($C829="","",M829*U829/100)</f>
        <v/>
      </c>
      <c r="T829" s="7" t="n"/>
      <c r="U829" s="7" t="n"/>
      <c r="V829" s="7">
        <f>IF($C829="","",U829*AA829/100)</f>
        <v/>
      </c>
      <c r="W829" s="7">
        <f>IF($C829="","",U829-V829)</f>
        <v/>
      </c>
      <c r="X829" s="7">
        <f>IF($C829="","",W829-N829)</f>
        <v/>
      </c>
      <c r="AA829">
        <f>IF($C829="","",IF($AN829=1,0,IF($AM829=1,Settings!$C$6,Settings!$C$7))*100)</f>
        <v/>
      </c>
      <c r="AE829" s="7" t="n"/>
      <c r="AH829" s="11" t="n"/>
      <c r="AJ829">
        <f>IF($C829="","",$C829&amp;"|"&amp;$D829&amp;"")</f>
        <v/>
      </c>
      <c r="AK829">
        <f>IF($C829="","",IF(COUNTIF($AJ$2:$AJ829,$AJ829)=1,1,0))</f>
        <v/>
      </c>
      <c r="AL829">
        <f>IF($AK829=1,SUMPRODUCT(--($AO$2:$AO$1501&lt;$AO829))+1,"")</f>
        <v/>
      </c>
      <c r="AM829">
        <f>IF($C829="","",IF(OR($Q829=TRUE(),$Q829="TRUE"),1,0))</f>
        <v/>
      </c>
      <c r="AN829">
        <f>IF($C829="","",IF($Z829="Yes",1,0))</f>
        <v/>
      </c>
      <c r="AO829">
        <f>IF($AK829=1,IFERROR(IF(VALUE($C829)&lt;100000000,VALUE($C829),1000000000),IFERROR(IF(VALUE(MID($C829,2,20))&lt;100000000,VALUE(MID($C829,2,20)),1000000000),1000000000))+ROW()/100000,"")</f>
        <v/>
      </c>
    </row>
    <row r="830">
      <c r="F830" s="11" t="n"/>
      <c r="N830" s="7">
        <f>IF($C830="","",M830*U830/100)</f>
        <v/>
      </c>
      <c r="T830" s="7" t="n"/>
      <c r="U830" s="7" t="n"/>
      <c r="V830" s="7">
        <f>IF($C830="","",U830*AA830/100)</f>
        <v/>
      </c>
      <c r="W830" s="7">
        <f>IF($C830="","",U830-V830)</f>
        <v/>
      </c>
      <c r="X830" s="7">
        <f>IF($C830="","",W830-N830)</f>
        <v/>
      </c>
      <c r="AA830">
        <f>IF($C830="","",IF($AN830=1,0,IF($AM830=1,Settings!$C$6,Settings!$C$7))*100)</f>
        <v/>
      </c>
      <c r="AE830" s="7" t="n"/>
      <c r="AH830" s="11" t="n"/>
      <c r="AJ830">
        <f>IF($C830="","",$C830&amp;"|"&amp;$D830&amp;"")</f>
        <v/>
      </c>
      <c r="AK830">
        <f>IF($C830="","",IF(COUNTIF($AJ$2:$AJ830,$AJ830)=1,1,0))</f>
        <v/>
      </c>
      <c r="AL830">
        <f>IF($AK830=1,SUMPRODUCT(--($AO$2:$AO$1501&lt;$AO830))+1,"")</f>
        <v/>
      </c>
      <c r="AM830">
        <f>IF($C830="","",IF(OR($Q830=TRUE(),$Q830="TRUE"),1,0))</f>
        <v/>
      </c>
      <c r="AN830">
        <f>IF($C830="","",IF($Z830="Yes",1,0))</f>
        <v/>
      </c>
      <c r="AO830">
        <f>IF($AK830=1,IFERROR(IF(VALUE($C830)&lt;100000000,VALUE($C830),1000000000),IFERROR(IF(VALUE(MID($C830,2,20))&lt;100000000,VALUE(MID($C830,2,20)),1000000000),1000000000))+ROW()/100000,"")</f>
        <v/>
      </c>
    </row>
    <row r="831">
      <c r="F831" s="11" t="n"/>
      <c r="N831" s="7">
        <f>IF($C831="","",M831*U831/100)</f>
        <v/>
      </c>
      <c r="T831" s="7" t="n"/>
      <c r="U831" s="7" t="n"/>
      <c r="V831" s="7">
        <f>IF($C831="","",U831*AA831/100)</f>
        <v/>
      </c>
      <c r="W831" s="7">
        <f>IF($C831="","",U831-V831)</f>
        <v/>
      </c>
      <c r="X831" s="7">
        <f>IF($C831="","",W831-N831)</f>
        <v/>
      </c>
      <c r="AA831">
        <f>IF($C831="","",IF($AN831=1,0,IF($AM831=1,Settings!$C$6,Settings!$C$7))*100)</f>
        <v/>
      </c>
      <c r="AE831" s="7" t="n"/>
      <c r="AH831" s="11" t="n"/>
      <c r="AJ831">
        <f>IF($C831="","",$C831&amp;"|"&amp;$D831&amp;"")</f>
        <v/>
      </c>
      <c r="AK831">
        <f>IF($C831="","",IF(COUNTIF($AJ$2:$AJ831,$AJ831)=1,1,0))</f>
        <v/>
      </c>
      <c r="AL831">
        <f>IF($AK831=1,SUMPRODUCT(--($AO$2:$AO$1501&lt;$AO831))+1,"")</f>
        <v/>
      </c>
      <c r="AM831">
        <f>IF($C831="","",IF(OR($Q831=TRUE(),$Q831="TRUE"),1,0))</f>
        <v/>
      </c>
      <c r="AN831">
        <f>IF($C831="","",IF($Z831="Yes",1,0))</f>
        <v/>
      </c>
      <c r="AO831">
        <f>IF($AK831=1,IFERROR(IF(VALUE($C831)&lt;100000000,VALUE($C831),1000000000),IFERROR(IF(VALUE(MID($C831,2,20))&lt;100000000,VALUE(MID($C831,2,20)),1000000000),1000000000))+ROW()/100000,"")</f>
        <v/>
      </c>
    </row>
    <row r="832">
      <c r="F832" s="11" t="n"/>
      <c r="N832" s="7">
        <f>IF($C832="","",M832*U832/100)</f>
        <v/>
      </c>
      <c r="T832" s="7" t="n"/>
      <c r="U832" s="7" t="n"/>
      <c r="V832" s="7">
        <f>IF($C832="","",U832*AA832/100)</f>
        <v/>
      </c>
      <c r="W832" s="7">
        <f>IF($C832="","",U832-V832)</f>
        <v/>
      </c>
      <c r="X832" s="7">
        <f>IF($C832="","",W832-N832)</f>
        <v/>
      </c>
      <c r="AA832">
        <f>IF($C832="","",IF($AN832=1,0,IF($AM832=1,Settings!$C$6,Settings!$C$7))*100)</f>
        <v/>
      </c>
      <c r="AE832" s="7" t="n"/>
      <c r="AH832" s="11" t="n"/>
      <c r="AJ832">
        <f>IF($C832="","",$C832&amp;"|"&amp;$D832&amp;"")</f>
        <v/>
      </c>
      <c r="AK832">
        <f>IF($C832="","",IF(COUNTIF($AJ$2:$AJ832,$AJ832)=1,1,0))</f>
        <v/>
      </c>
      <c r="AL832">
        <f>IF($AK832=1,SUMPRODUCT(--($AO$2:$AO$1501&lt;$AO832))+1,"")</f>
        <v/>
      </c>
      <c r="AM832">
        <f>IF($C832="","",IF(OR($Q832=TRUE(),$Q832="TRUE"),1,0))</f>
        <v/>
      </c>
      <c r="AN832">
        <f>IF($C832="","",IF($Z832="Yes",1,0))</f>
        <v/>
      </c>
      <c r="AO832">
        <f>IF($AK832=1,IFERROR(IF(VALUE($C832)&lt;100000000,VALUE($C832),1000000000),IFERROR(IF(VALUE(MID($C832,2,20))&lt;100000000,VALUE(MID($C832,2,20)),1000000000),1000000000))+ROW()/100000,"")</f>
        <v/>
      </c>
    </row>
    <row r="833">
      <c r="F833" s="11" t="n"/>
      <c r="N833" s="7">
        <f>IF($C833="","",M833*U833/100)</f>
        <v/>
      </c>
      <c r="T833" s="7" t="n"/>
      <c r="U833" s="7" t="n"/>
      <c r="V833" s="7">
        <f>IF($C833="","",U833*AA833/100)</f>
        <v/>
      </c>
      <c r="W833" s="7">
        <f>IF($C833="","",U833-V833)</f>
        <v/>
      </c>
      <c r="X833" s="7">
        <f>IF($C833="","",W833-N833)</f>
        <v/>
      </c>
      <c r="AA833">
        <f>IF($C833="","",IF($AN833=1,0,IF($AM833=1,Settings!$C$6,Settings!$C$7))*100)</f>
        <v/>
      </c>
      <c r="AE833" s="7" t="n"/>
      <c r="AH833" s="11" t="n"/>
      <c r="AJ833">
        <f>IF($C833="","",$C833&amp;"|"&amp;$D833&amp;"")</f>
        <v/>
      </c>
      <c r="AK833">
        <f>IF($C833="","",IF(COUNTIF($AJ$2:$AJ833,$AJ833)=1,1,0))</f>
        <v/>
      </c>
      <c r="AL833">
        <f>IF($AK833=1,SUMPRODUCT(--($AO$2:$AO$1501&lt;$AO833))+1,"")</f>
        <v/>
      </c>
      <c r="AM833">
        <f>IF($C833="","",IF(OR($Q833=TRUE(),$Q833="TRUE"),1,0))</f>
        <v/>
      </c>
      <c r="AN833">
        <f>IF($C833="","",IF($Z833="Yes",1,0))</f>
        <v/>
      </c>
      <c r="AO833">
        <f>IF($AK833=1,IFERROR(IF(VALUE($C833)&lt;100000000,VALUE($C833),1000000000),IFERROR(IF(VALUE(MID($C833,2,20))&lt;100000000,VALUE(MID($C833,2,20)),1000000000),1000000000))+ROW()/100000,"")</f>
        <v/>
      </c>
    </row>
    <row r="834">
      <c r="F834" s="11" t="n"/>
      <c r="N834" s="7">
        <f>IF($C834="","",M834*U834/100)</f>
        <v/>
      </c>
      <c r="T834" s="7" t="n"/>
      <c r="U834" s="7" t="n"/>
      <c r="V834" s="7">
        <f>IF($C834="","",U834*AA834/100)</f>
        <v/>
      </c>
      <c r="W834" s="7">
        <f>IF($C834="","",U834-V834)</f>
        <v/>
      </c>
      <c r="X834" s="7">
        <f>IF($C834="","",W834-N834)</f>
        <v/>
      </c>
      <c r="AA834">
        <f>IF($C834="","",IF($AN834=1,0,IF($AM834=1,Settings!$C$6,Settings!$C$7))*100)</f>
        <v/>
      </c>
      <c r="AE834" s="7" t="n"/>
      <c r="AH834" s="11" t="n"/>
      <c r="AJ834">
        <f>IF($C834="","",$C834&amp;"|"&amp;$D834&amp;"")</f>
        <v/>
      </c>
      <c r="AK834">
        <f>IF($C834="","",IF(COUNTIF($AJ$2:$AJ834,$AJ834)=1,1,0))</f>
        <v/>
      </c>
      <c r="AL834">
        <f>IF($AK834=1,SUMPRODUCT(--($AO$2:$AO$1501&lt;$AO834))+1,"")</f>
        <v/>
      </c>
      <c r="AM834">
        <f>IF($C834="","",IF(OR($Q834=TRUE(),$Q834="TRUE"),1,0))</f>
        <v/>
      </c>
      <c r="AN834">
        <f>IF($C834="","",IF($Z834="Yes",1,0))</f>
        <v/>
      </c>
      <c r="AO834">
        <f>IF($AK834=1,IFERROR(IF(VALUE($C834)&lt;100000000,VALUE($C834),1000000000),IFERROR(IF(VALUE(MID($C834,2,20))&lt;100000000,VALUE(MID($C834,2,20)),1000000000),1000000000))+ROW()/100000,"")</f>
        <v/>
      </c>
    </row>
    <row r="835">
      <c r="F835" s="11" t="n"/>
      <c r="N835" s="7">
        <f>IF($C835="","",M835*U835/100)</f>
        <v/>
      </c>
      <c r="T835" s="7" t="n"/>
      <c r="U835" s="7" t="n"/>
      <c r="V835" s="7">
        <f>IF($C835="","",U835*AA835/100)</f>
        <v/>
      </c>
      <c r="W835" s="7">
        <f>IF($C835="","",U835-V835)</f>
        <v/>
      </c>
      <c r="X835" s="7">
        <f>IF($C835="","",W835-N835)</f>
        <v/>
      </c>
      <c r="AA835">
        <f>IF($C835="","",IF($AN835=1,0,IF($AM835=1,Settings!$C$6,Settings!$C$7))*100)</f>
        <v/>
      </c>
      <c r="AE835" s="7" t="n"/>
      <c r="AH835" s="11" t="n"/>
      <c r="AJ835">
        <f>IF($C835="","",$C835&amp;"|"&amp;$D835&amp;"")</f>
        <v/>
      </c>
      <c r="AK835">
        <f>IF($C835="","",IF(COUNTIF($AJ$2:$AJ835,$AJ835)=1,1,0))</f>
        <v/>
      </c>
      <c r="AL835">
        <f>IF($AK835=1,SUMPRODUCT(--($AO$2:$AO$1501&lt;$AO835))+1,"")</f>
        <v/>
      </c>
      <c r="AM835">
        <f>IF($C835="","",IF(OR($Q835=TRUE(),$Q835="TRUE"),1,0))</f>
        <v/>
      </c>
      <c r="AN835">
        <f>IF($C835="","",IF($Z835="Yes",1,0))</f>
        <v/>
      </c>
      <c r="AO835">
        <f>IF($AK835=1,IFERROR(IF(VALUE($C835)&lt;100000000,VALUE($C835),1000000000),IFERROR(IF(VALUE(MID($C835,2,20))&lt;100000000,VALUE(MID($C835,2,20)),1000000000),1000000000))+ROW()/100000,"")</f>
        <v/>
      </c>
    </row>
    <row r="836">
      <c r="F836" s="11" t="n"/>
      <c r="N836" s="7">
        <f>IF($C836="","",M836*U836/100)</f>
        <v/>
      </c>
      <c r="T836" s="7" t="n"/>
      <c r="U836" s="7" t="n"/>
      <c r="V836" s="7">
        <f>IF($C836="","",U836*AA836/100)</f>
        <v/>
      </c>
      <c r="W836" s="7">
        <f>IF($C836="","",U836-V836)</f>
        <v/>
      </c>
      <c r="X836" s="7">
        <f>IF($C836="","",W836-N836)</f>
        <v/>
      </c>
      <c r="AA836">
        <f>IF($C836="","",IF($AN836=1,0,IF($AM836=1,Settings!$C$6,Settings!$C$7))*100)</f>
        <v/>
      </c>
      <c r="AE836" s="7" t="n"/>
      <c r="AH836" s="11" t="n"/>
      <c r="AJ836">
        <f>IF($C836="","",$C836&amp;"|"&amp;$D836&amp;"")</f>
        <v/>
      </c>
      <c r="AK836">
        <f>IF($C836="","",IF(COUNTIF($AJ$2:$AJ836,$AJ836)=1,1,0))</f>
        <v/>
      </c>
      <c r="AL836">
        <f>IF($AK836=1,SUMPRODUCT(--($AO$2:$AO$1501&lt;$AO836))+1,"")</f>
        <v/>
      </c>
      <c r="AM836">
        <f>IF($C836="","",IF(OR($Q836=TRUE(),$Q836="TRUE"),1,0))</f>
        <v/>
      </c>
      <c r="AN836">
        <f>IF($C836="","",IF($Z836="Yes",1,0))</f>
        <v/>
      </c>
      <c r="AO836">
        <f>IF($AK836=1,IFERROR(IF(VALUE($C836)&lt;100000000,VALUE($C836),1000000000),IFERROR(IF(VALUE(MID($C836,2,20))&lt;100000000,VALUE(MID($C836,2,20)),1000000000),1000000000))+ROW()/100000,"")</f>
        <v/>
      </c>
    </row>
    <row r="837">
      <c r="F837" s="11" t="n"/>
      <c r="N837" s="7">
        <f>IF($C837="","",M837*U837/100)</f>
        <v/>
      </c>
      <c r="T837" s="7" t="n"/>
      <c r="U837" s="7" t="n"/>
      <c r="V837" s="7">
        <f>IF($C837="","",U837*AA837/100)</f>
        <v/>
      </c>
      <c r="W837" s="7">
        <f>IF($C837="","",U837-V837)</f>
        <v/>
      </c>
      <c r="X837" s="7">
        <f>IF($C837="","",W837-N837)</f>
        <v/>
      </c>
      <c r="AA837">
        <f>IF($C837="","",IF($AN837=1,0,IF($AM837=1,Settings!$C$6,Settings!$C$7))*100)</f>
        <v/>
      </c>
      <c r="AE837" s="7" t="n"/>
      <c r="AH837" s="11" t="n"/>
      <c r="AJ837">
        <f>IF($C837="","",$C837&amp;"|"&amp;$D837&amp;"")</f>
        <v/>
      </c>
      <c r="AK837">
        <f>IF($C837="","",IF(COUNTIF($AJ$2:$AJ837,$AJ837)=1,1,0))</f>
        <v/>
      </c>
      <c r="AL837">
        <f>IF($AK837=1,SUMPRODUCT(--($AO$2:$AO$1501&lt;$AO837))+1,"")</f>
        <v/>
      </c>
      <c r="AM837">
        <f>IF($C837="","",IF(OR($Q837=TRUE(),$Q837="TRUE"),1,0))</f>
        <v/>
      </c>
      <c r="AN837">
        <f>IF($C837="","",IF($Z837="Yes",1,0))</f>
        <v/>
      </c>
      <c r="AO837">
        <f>IF($AK837=1,IFERROR(IF(VALUE($C837)&lt;100000000,VALUE($C837),1000000000),IFERROR(IF(VALUE(MID($C837,2,20))&lt;100000000,VALUE(MID($C837,2,20)),1000000000),1000000000))+ROW()/100000,"")</f>
        <v/>
      </c>
    </row>
    <row r="838">
      <c r="F838" s="11" t="n"/>
      <c r="N838" s="7">
        <f>IF($C838="","",M838*U838/100)</f>
        <v/>
      </c>
      <c r="T838" s="7" t="n"/>
      <c r="U838" s="7" t="n"/>
      <c r="V838" s="7">
        <f>IF($C838="","",U838*AA838/100)</f>
        <v/>
      </c>
      <c r="W838" s="7">
        <f>IF($C838="","",U838-V838)</f>
        <v/>
      </c>
      <c r="X838" s="7">
        <f>IF($C838="","",W838-N838)</f>
        <v/>
      </c>
      <c r="AA838">
        <f>IF($C838="","",IF($AN838=1,0,IF($AM838=1,Settings!$C$6,Settings!$C$7))*100)</f>
        <v/>
      </c>
      <c r="AE838" s="7" t="n"/>
      <c r="AH838" s="11" t="n"/>
      <c r="AJ838">
        <f>IF($C838="","",$C838&amp;"|"&amp;$D838&amp;"")</f>
        <v/>
      </c>
      <c r="AK838">
        <f>IF($C838="","",IF(COUNTIF($AJ$2:$AJ838,$AJ838)=1,1,0))</f>
        <v/>
      </c>
      <c r="AL838">
        <f>IF($AK838=1,SUMPRODUCT(--($AO$2:$AO$1501&lt;$AO838))+1,"")</f>
        <v/>
      </c>
      <c r="AM838">
        <f>IF($C838="","",IF(OR($Q838=TRUE(),$Q838="TRUE"),1,0))</f>
        <v/>
      </c>
      <c r="AN838">
        <f>IF($C838="","",IF($Z838="Yes",1,0))</f>
        <v/>
      </c>
      <c r="AO838">
        <f>IF($AK838=1,IFERROR(IF(VALUE($C838)&lt;100000000,VALUE($C838),1000000000),IFERROR(IF(VALUE(MID($C838,2,20))&lt;100000000,VALUE(MID($C838,2,20)),1000000000),1000000000))+ROW()/100000,"")</f>
        <v/>
      </c>
    </row>
    <row r="839">
      <c r="F839" s="11" t="n"/>
      <c r="N839" s="7">
        <f>IF($C839="","",M839*U839/100)</f>
        <v/>
      </c>
      <c r="T839" s="7" t="n"/>
      <c r="U839" s="7" t="n"/>
      <c r="V839" s="7">
        <f>IF($C839="","",U839*AA839/100)</f>
        <v/>
      </c>
      <c r="W839" s="7">
        <f>IF($C839="","",U839-V839)</f>
        <v/>
      </c>
      <c r="X839" s="7">
        <f>IF($C839="","",W839-N839)</f>
        <v/>
      </c>
      <c r="AA839">
        <f>IF($C839="","",IF($AN839=1,0,IF($AM839=1,Settings!$C$6,Settings!$C$7))*100)</f>
        <v/>
      </c>
      <c r="AE839" s="7" t="n"/>
      <c r="AH839" s="11" t="n"/>
      <c r="AJ839">
        <f>IF($C839="","",$C839&amp;"|"&amp;$D839&amp;"")</f>
        <v/>
      </c>
      <c r="AK839">
        <f>IF($C839="","",IF(COUNTIF($AJ$2:$AJ839,$AJ839)=1,1,0))</f>
        <v/>
      </c>
      <c r="AL839">
        <f>IF($AK839=1,SUMPRODUCT(--($AO$2:$AO$1501&lt;$AO839))+1,"")</f>
        <v/>
      </c>
      <c r="AM839">
        <f>IF($C839="","",IF(OR($Q839=TRUE(),$Q839="TRUE"),1,0))</f>
        <v/>
      </c>
      <c r="AN839">
        <f>IF($C839="","",IF($Z839="Yes",1,0))</f>
        <v/>
      </c>
      <c r="AO839">
        <f>IF($AK839=1,IFERROR(IF(VALUE($C839)&lt;100000000,VALUE($C839),1000000000),IFERROR(IF(VALUE(MID($C839,2,20))&lt;100000000,VALUE(MID($C839,2,20)),1000000000),1000000000))+ROW()/100000,"")</f>
        <v/>
      </c>
    </row>
    <row r="840">
      <c r="F840" s="11" t="n"/>
      <c r="N840" s="7">
        <f>IF($C840="","",M840*U840/100)</f>
        <v/>
      </c>
      <c r="T840" s="7" t="n"/>
      <c r="U840" s="7" t="n"/>
      <c r="V840" s="7">
        <f>IF($C840="","",U840*AA840/100)</f>
        <v/>
      </c>
      <c r="W840" s="7">
        <f>IF($C840="","",U840-V840)</f>
        <v/>
      </c>
      <c r="X840" s="7">
        <f>IF($C840="","",W840-N840)</f>
        <v/>
      </c>
      <c r="AA840">
        <f>IF($C840="","",IF($AN840=1,0,IF($AM840=1,Settings!$C$6,Settings!$C$7))*100)</f>
        <v/>
      </c>
      <c r="AE840" s="7" t="n"/>
      <c r="AH840" s="11" t="n"/>
      <c r="AJ840">
        <f>IF($C840="","",$C840&amp;"|"&amp;$D840&amp;"")</f>
        <v/>
      </c>
      <c r="AK840">
        <f>IF($C840="","",IF(COUNTIF($AJ$2:$AJ840,$AJ840)=1,1,0))</f>
        <v/>
      </c>
      <c r="AL840">
        <f>IF($AK840=1,SUMPRODUCT(--($AO$2:$AO$1501&lt;$AO840))+1,"")</f>
        <v/>
      </c>
      <c r="AM840">
        <f>IF($C840="","",IF(OR($Q840=TRUE(),$Q840="TRUE"),1,0))</f>
        <v/>
      </c>
      <c r="AN840">
        <f>IF($C840="","",IF($Z840="Yes",1,0))</f>
        <v/>
      </c>
      <c r="AO840">
        <f>IF($AK840=1,IFERROR(IF(VALUE($C840)&lt;100000000,VALUE($C840),1000000000),IFERROR(IF(VALUE(MID($C840,2,20))&lt;100000000,VALUE(MID($C840,2,20)),1000000000),1000000000))+ROW()/100000,"")</f>
        <v/>
      </c>
    </row>
    <row r="841">
      <c r="F841" s="11" t="n"/>
      <c r="N841" s="7">
        <f>IF($C841="","",M841*U841/100)</f>
        <v/>
      </c>
      <c r="T841" s="7" t="n"/>
      <c r="U841" s="7" t="n"/>
      <c r="V841" s="7">
        <f>IF($C841="","",U841*AA841/100)</f>
        <v/>
      </c>
      <c r="W841" s="7">
        <f>IF($C841="","",U841-V841)</f>
        <v/>
      </c>
      <c r="X841" s="7">
        <f>IF($C841="","",W841-N841)</f>
        <v/>
      </c>
      <c r="AA841">
        <f>IF($C841="","",IF($AN841=1,0,IF($AM841=1,Settings!$C$6,Settings!$C$7))*100)</f>
        <v/>
      </c>
      <c r="AE841" s="7" t="n"/>
      <c r="AH841" s="11" t="n"/>
      <c r="AJ841">
        <f>IF($C841="","",$C841&amp;"|"&amp;$D841&amp;"")</f>
        <v/>
      </c>
      <c r="AK841">
        <f>IF($C841="","",IF(COUNTIF($AJ$2:$AJ841,$AJ841)=1,1,0))</f>
        <v/>
      </c>
      <c r="AL841">
        <f>IF($AK841=1,SUMPRODUCT(--($AO$2:$AO$1501&lt;$AO841))+1,"")</f>
        <v/>
      </c>
      <c r="AM841">
        <f>IF($C841="","",IF(OR($Q841=TRUE(),$Q841="TRUE"),1,0))</f>
        <v/>
      </c>
      <c r="AN841">
        <f>IF($C841="","",IF($Z841="Yes",1,0))</f>
        <v/>
      </c>
      <c r="AO841">
        <f>IF($AK841=1,IFERROR(IF(VALUE($C841)&lt;100000000,VALUE($C841),1000000000),IFERROR(IF(VALUE(MID($C841,2,20))&lt;100000000,VALUE(MID($C841,2,20)),1000000000),1000000000))+ROW()/100000,"")</f>
        <v/>
      </c>
    </row>
    <row r="842">
      <c r="F842" s="11" t="n"/>
      <c r="N842" s="7">
        <f>IF($C842="","",M842*U842/100)</f>
        <v/>
      </c>
      <c r="T842" s="7" t="n"/>
      <c r="U842" s="7" t="n"/>
      <c r="V842" s="7">
        <f>IF($C842="","",U842*AA842/100)</f>
        <v/>
      </c>
      <c r="W842" s="7">
        <f>IF($C842="","",U842-V842)</f>
        <v/>
      </c>
      <c r="X842" s="7">
        <f>IF($C842="","",W842-N842)</f>
        <v/>
      </c>
      <c r="AA842">
        <f>IF($C842="","",IF($AN842=1,0,IF($AM842=1,Settings!$C$6,Settings!$C$7))*100)</f>
        <v/>
      </c>
      <c r="AE842" s="7" t="n"/>
      <c r="AH842" s="11" t="n"/>
      <c r="AJ842">
        <f>IF($C842="","",$C842&amp;"|"&amp;$D842&amp;"")</f>
        <v/>
      </c>
      <c r="AK842">
        <f>IF($C842="","",IF(COUNTIF($AJ$2:$AJ842,$AJ842)=1,1,0))</f>
        <v/>
      </c>
      <c r="AL842">
        <f>IF($AK842=1,SUMPRODUCT(--($AO$2:$AO$1501&lt;$AO842))+1,"")</f>
        <v/>
      </c>
      <c r="AM842">
        <f>IF($C842="","",IF(OR($Q842=TRUE(),$Q842="TRUE"),1,0))</f>
        <v/>
      </c>
      <c r="AN842">
        <f>IF($C842="","",IF($Z842="Yes",1,0))</f>
        <v/>
      </c>
      <c r="AO842">
        <f>IF($AK842=1,IFERROR(IF(VALUE($C842)&lt;100000000,VALUE($C842),1000000000),IFERROR(IF(VALUE(MID($C842,2,20))&lt;100000000,VALUE(MID($C842,2,20)),1000000000),1000000000))+ROW()/100000,"")</f>
        <v/>
      </c>
    </row>
    <row r="843">
      <c r="F843" s="11" t="n"/>
      <c r="N843" s="7">
        <f>IF($C843="","",M843*U843/100)</f>
        <v/>
      </c>
      <c r="T843" s="7" t="n"/>
      <c r="U843" s="7" t="n"/>
      <c r="V843" s="7">
        <f>IF($C843="","",U843*AA843/100)</f>
        <v/>
      </c>
      <c r="W843" s="7">
        <f>IF($C843="","",U843-V843)</f>
        <v/>
      </c>
      <c r="X843" s="7">
        <f>IF($C843="","",W843-N843)</f>
        <v/>
      </c>
      <c r="AA843">
        <f>IF($C843="","",IF($AN843=1,0,IF($AM843=1,Settings!$C$6,Settings!$C$7))*100)</f>
        <v/>
      </c>
      <c r="AE843" s="7" t="n"/>
      <c r="AH843" s="11" t="n"/>
      <c r="AJ843">
        <f>IF($C843="","",$C843&amp;"|"&amp;$D843&amp;"")</f>
        <v/>
      </c>
      <c r="AK843">
        <f>IF($C843="","",IF(COUNTIF($AJ$2:$AJ843,$AJ843)=1,1,0))</f>
        <v/>
      </c>
      <c r="AL843">
        <f>IF($AK843=1,SUMPRODUCT(--($AO$2:$AO$1501&lt;$AO843))+1,"")</f>
        <v/>
      </c>
      <c r="AM843">
        <f>IF($C843="","",IF(OR($Q843=TRUE(),$Q843="TRUE"),1,0))</f>
        <v/>
      </c>
      <c r="AN843">
        <f>IF($C843="","",IF($Z843="Yes",1,0))</f>
        <v/>
      </c>
      <c r="AO843">
        <f>IF($AK843=1,IFERROR(IF(VALUE($C843)&lt;100000000,VALUE($C843),1000000000),IFERROR(IF(VALUE(MID($C843,2,20))&lt;100000000,VALUE(MID($C843,2,20)),1000000000),1000000000))+ROW()/100000,"")</f>
        <v/>
      </c>
    </row>
    <row r="844">
      <c r="F844" s="11" t="n"/>
      <c r="N844" s="7">
        <f>IF($C844="","",M844*U844/100)</f>
        <v/>
      </c>
      <c r="T844" s="7" t="n"/>
      <c r="U844" s="7" t="n"/>
      <c r="V844" s="7">
        <f>IF($C844="","",U844*AA844/100)</f>
        <v/>
      </c>
      <c r="W844" s="7">
        <f>IF($C844="","",U844-V844)</f>
        <v/>
      </c>
      <c r="X844" s="7">
        <f>IF($C844="","",W844-N844)</f>
        <v/>
      </c>
      <c r="AA844">
        <f>IF($C844="","",IF($AN844=1,0,IF($AM844=1,Settings!$C$6,Settings!$C$7))*100)</f>
        <v/>
      </c>
      <c r="AE844" s="7" t="n"/>
      <c r="AH844" s="11" t="n"/>
      <c r="AJ844">
        <f>IF($C844="","",$C844&amp;"|"&amp;$D844&amp;"")</f>
        <v/>
      </c>
      <c r="AK844">
        <f>IF($C844="","",IF(COUNTIF($AJ$2:$AJ844,$AJ844)=1,1,0))</f>
        <v/>
      </c>
      <c r="AL844">
        <f>IF($AK844=1,SUMPRODUCT(--($AO$2:$AO$1501&lt;$AO844))+1,"")</f>
        <v/>
      </c>
      <c r="AM844">
        <f>IF($C844="","",IF(OR($Q844=TRUE(),$Q844="TRUE"),1,0))</f>
        <v/>
      </c>
      <c r="AN844">
        <f>IF($C844="","",IF($Z844="Yes",1,0))</f>
        <v/>
      </c>
      <c r="AO844">
        <f>IF($AK844=1,IFERROR(IF(VALUE($C844)&lt;100000000,VALUE($C844),1000000000),IFERROR(IF(VALUE(MID($C844,2,20))&lt;100000000,VALUE(MID($C844,2,20)),1000000000),1000000000))+ROW()/100000,"")</f>
        <v/>
      </c>
    </row>
    <row r="845">
      <c r="F845" s="11" t="n"/>
      <c r="N845" s="7">
        <f>IF($C845="","",M845*U845/100)</f>
        <v/>
      </c>
      <c r="T845" s="7" t="n"/>
      <c r="U845" s="7" t="n"/>
      <c r="V845" s="7">
        <f>IF($C845="","",U845*AA845/100)</f>
        <v/>
      </c>
      <c r="W845" s="7">
        <f>IF($C845="","",U845-V845)</f>
        <v/>
      </c>
      <c r="X845" s="7">
        <f>IF($C845="","",W845-N845)</f>
        <v/>
      </c>
      <c r="AA845">
        <f>IF($C845="","",IF($AN845=1,0,IF($AM845=1,Settings!$C$6,Settings!$C$7))*100)</f>
        <v/>
      </c>
      <c r="AE845" s="7" t="n"/>
      <c r="AH845" s="11" t="n"/>
      <c r="AJ845">
        <f>IF($C845="","",$C845&amp;"|"&amp;$D845&amp;"")</f>
        <v/>
      </c>
      <c r="AK845">
        <f>IF($C845="","",IF(COUNTIF($AJ$2:$AJ845,$AJ845)=1,1,0))</f>
        <v/>
      </c>
      <c r="AL845">
        <f>IF($AK845=1,SUMPRODUCT(--($AO$2:$AO$1501&lt;$AO845))+1,"")</f>
        <v/>
      </c>
      <c r="AM845">
        <f>IF($C845="","",IF(OR($Q845=TRUE(),$Q845="TRUE"),1,0))</f>
        <v/>
      </c>
      <c r="AN845">
        <f>IF($C845="","",IF($Z845="Yes",1,0))</f>
        <v/>
      </c>
      <c r="AO845">
        <f>IF($AK845=1,IFERROR(IF(VALUE($C845)&lt;100000000,VALUE($C845),1000000000),IFERROR(IF(VALUE(MID($C845,2,20))&lt;100000000,VALUE(MID($C845,2,20)),1000000000),1000000000))+ROW()/100000,"")</f>
        <v/>
      </c>
    </row>
    <row r="846">
      <c r="F846" s="11" t="n"/>
      <c r="N846" s="7">
        <f>IF($C846="","",M846*U846/100)</f>
        <v/>
      </c>
      <c r="T846" s="7" t="n"/>
      <c r="U846" s="7" t="n"/>
      <c r="V846" s="7">
        <f>IF($C846="","",U846*AA846/100)</f>
        <v/>
      </c>
      <c r="W846" s="7">
        <f>IF($C846="","",U846-V846)</f>
        <v/>
      </c>
      <c r="X846" s="7">
        <f>IF($C846="","",W846-N846)</f>
        <v/>
      </c>
      <c r="AA846">
        <f>IF($C846="","",IF($AN846=1,0,IF($AM846=1,Settings!$C$6,Settings!$C$7))*100)</f>
        <v/>
      </c>
      <c r="AE846" s="7" t="n"/>
      <c r="AH846" s="11" t="n"/>
      <c r="AJ846">
        <f>IF($C846="","",$C846&amp;"|"&amp;$D846&amp;"")</f>
        <v/>
      </c>
      <c r="AK846">
        <f>IF($C846="","",IF(COUNTIF($AJ$2:$AJ846,$AJ846)=1,1,0))</f>
        <v/>
      </c>
      <c r="AL846">
        <f>IF($AK846=1,SUMPRODUCT(--($AO$2:$AO$1501&lt;$AO846))+1,"")</f>
        <v/>
      </c>
      <c r="AM846">
        <f>IF($C846="","",IF(OR($Q846=TRUE(),$Q846="TRUE"),1,0))</f>
        <v/>
      </c>
      <c r="AN846">
        <f>IF($C846="","",IF($Z846="Yes",1,0))</f>
        <v/>
      </c>
      <c r="AO846">
        <f>IF($AK846=1,IFERROR(IF(VALUE($C846)&lt;100000000,VALUE($C846),1000000000),IFERROR(IF(VALUE(MID($C846,2,20))&lt;100000000,VALUE(MID($C846,2,20)),1000000000),1000000000))+ROW()/100000,"")</f>
        <v/>
      </c>
    </row>
    <row r="847">
      <c r="F847" s="11" t="n"/>
      <c r="N847" s="7">
        <f>IF($C847="","",M847*U847/100)</f>
        <v/>
      </c>
      <c r="T847" s="7" t="n"/>
      <c r="U847" s="7" t="n"/>
      <c r="V847" s="7">
        <f>IF($C847="","",U847*AA847/100)</f>
        <v/>
      </c>
      <c r="W847" s="7">
        <f>IF($C847="","",U847-V847)</f>
        <v/>
      </c>
      <c r="X847" s="7">
        <f>IF($C847="","",W847-N847)</f>
        <v/>
      </c>
      <c r="AA847">
        <f>IF($C847="","",IF($AN847=1,0,IF($AM847=1,Settings!$C$6,Settings!$C$7))*100)</f>
        <v/>
      </c>
      <c r="AE847" s="7" t="n"/>
      <c r="AH847" s="11" t="n"/>
      <c r="AJ847">
        <f>IF($C847="","",$C847&amp;"|"&amp;$D847&amp;"")</f>
        <v/>
      </c>
      <c r="AK847">
        <f>IF($C847="","",IF(COUNTIF($AJ$2:$AJ847,$AJ847)=1,1,0))</f>
        <v/>
      </c>
      <c r="AL847">
        <f>IF($AK847=1,SUMPRODUCT(--($AO$2:$AO$1501&lt;$AO847))+1,"")</f>
        <v/>
      </c>
      <c r="AM847">
        <f>IF($C847="","",IF(OR($Q847=TRUE(),$Q847="TRUE"),1,0))</f>
        <v/>
      </c>
      <c r="AN847">
        <f>IF($C847="","",IF($Z847="Yes",1,0))</f>
        <v/>
      </c>
      <c r="AO847">
        <f>IF($AK847=1,IFERROR(IF(VALUE($C847)&lt;100000000,VALUE($C847),1000000000),IFERROR(IF(VALUE(MID($C847,2,20))&lt;100000000,VALUE(MID($C847,2,20)),1000000000),1000000000))+ROW()/100000,"")</f>
        <v/>
      </c>
    </row>
    <row r="848">
      <c r="F848" s="11" t="n"/>
      <c r="N848" s="7">
        <f>IF($C848="","",M848*U848/100)</f>
        <v/>
      </c>
      <c r="T848" s="7" t="n"/>
      <c r="U848" s="7" t="n"/>
      <c r="V848" s="7">
        <f>IF($C848="","",U848*AA848/100)</f>
        <v/>
      </c>
      <c r="W848" s="7">
        <f>IF($C848="","",U848-V848)</f>
        <v/>
      </c>
      <c r="X848" s="7">
        <f>IF($C848="","",W848-N848)</f>
        <v/>
      </c>
      <c r="AA848">
        <f>IF($C848="","",IF($AN848=1,0,IF($AM848=1,Settings!$C$6,Settings!$C$7))*100)</f>
        <v/>
      </c>
      <c r="AE848" s="7" t="n"/>
      <c r="AH848" s="11" t="n"/>
      <c r="AJ848">
        <f>IF($C848="","",$C848&amp;"|"&amp;$D848&amp;"")</f>
        <v/>
      </c>
      <c r="AK848">
        <f>IF($C848="","",IF(COUNTIF($AJ$2:$AJ848,$AJ848)=1,1,0))</f>
        <v/>
      </c>
      <c r="AL848">
        <f>IF($AK848=1,SUMPRODUCT(--($AO$2:$AO$1501&lt;$AO848))+1,"")</f>
        <v/>
      </c>
      <c r="AM848">
        <f>IF($C848="","",IF(OR($Q848=TRUE(),$Q848="TRUE"),1,0))</f>
        <v/>
      </c>
      <c r="AN848">
        <f>IF($C848="","",IF($Z848="Yes",1,0))</f>
        <v/>
      </c>
      <c r="AO848">
        <f>IF($AK848=1,IFERROR(IF(VALUE($C848)&lt;100000000,VALUE($C848),1000000000),IFERROR(IF(VALUE(MID($C848,2,20))&lt;100000000,VALUE(MID($C848,2,20)),1000000000),1000000000))+ROW()/100000,"")</f>
        <v/>
      </c>
    </row>
    <row r="849">
      <c r="F849" s="11" t="n"/>
      <c r="N849" s="7">
        <f>IF($C849="","",M849*U849/100)</f>
        <v/>
      </c>
      <c r="T849" s="7" t="n"/>
      <c r="U849" s="7" t="n"/>
      <c r="V849" s="7">
        <f>IF($C849="","",U849*AA849/100)</f>
        <v/>
      </c>
      <c r="W849" s="7">
        <f>IF($C849="","",U849-V849)</f>
        <v/>
      </c>
      <c r="X849" s="7">
        <f>IF($C849="","",W849-N849)</f>
        <v/>
      </c>
      <c r="AA849">
        <f>IF($C849="","",IF($AN849=1,0,IF($AM849=1,Settings!$C$6,Settings!$C$7))*100)</f>
        <v/>
      </c>
      <c r="AE849" s="7" t="n"/>
      <c r="AH849" s="11" t="n"/>
      <c r="AJ849">
        <f>IF($C849="","",$C849&amp;"|"&amp;$D849&amp;"")</f>
        <v/>
      </c>
      <c r="AK849">
        <f>IF($C849="","",IF(COUNTIF($AJ$2:$AJ849,$AJ849)=1,1,0))</f>
        <v/>
      </c>
      <c r="AL849">
        <f>IF($AK849=1,SUMPRODUCT(--($AO$2:$AO$1501&lt;$AO849))+1,"")</f>
        <v/>
      </c>
      <c r="AM849">
        <f>IF($C849="","",IF(OR($Q849=TRUE(),$Q849="TRUE"),1,0))</f>
        <v/>
      </c>
      <c r="AN849">
        <f>IF($C849="","",IF($Z849="Yes",1,0))</f>
        <v/>
      </c>
      <c r="AO849">
        <f>IF($AK849=1,IFERROR(IF(VALUE($C849)&lt;100000000,VALUE($C849),1000000000),IFERROR(IF(VALUE(MID($C849,2,20))&lt;100000000,VALUE(MID($C849,2,20)),1000000000),1000000000))+ROW()/100000,"")</f>
        <v/>
      </c>
    </row>
    <row r="850">
      <c r="F850" s="11" t="n"/>
      <c r="N850" s="7">
        <f>IF($C850="","",M850*U850/100)</f>
        <v/>
      </c>
      <c r="T850" s="7" t="n"/>
      <c r="U850" s="7" t="n"/>
      <c r="V850" s="7">
        <f>IF($C850="","",U850*AA850/100)</f>
        <v/>
      </c>
      <c r="W850" s="7">
        <f>IF($C850="","",U850-V850)</f>
        <v/>
      </c>
      <c r="X850" s="7">
        <f>IF($C850="","",W850-N850)</f>
        <v/>
      </c>
      <c r="AA850">
        <f>IF($C850="","",IF($AN850=1,0,IF($AM850=1,Settings!$C$6,Settings!$C$7))*100)</f>
        <v/>
      </c>
      <c r="AE850" s="7" t="n"/>
      <c r="AH850" s="11" t="n"/>
      <c r="AJ850">
        <f>IF($C850="","",$C850&amp;"|"&amp;$D850&amp;"")</f>
        <v/>
      </c>
      <c r="AK850">
        <f>IF($C850="","",IF(COUNTIF($AJ$2:$AJ850,$AJ850)=1,1,0))</f>
        <v/>
      </c>
      <c r="AL850">
        <f>IF($AK850=1,SUMPRODUCT(--($AO$2:$AO$1501&lt;$AO850))+1,"")</f>
        <v/>
      </c>
      <c r="AM850">
        <f>IF($C850="","",IF(OR($Q850=TRUE(),$Q850="TRUE"),1,0))</f>
        <v/>
      </c>
      <c r="AN850">
        <f>IF($C850="","",IF($Z850="Yes",1,0))</f>
        <v/>
      </c>
      <c r="AO850">
        <f>IF($AK850=1,IFERROR(IF(VALUE($C850)&lt;100000000,VALUE($C850),1000000000),IFERROR(IF(VALUE(MID($C850,2,20))&lt;100000000,VALUE(MID($C850,2,20)),1000000000),1000000000))+ROW()/100000,"")</f>
        <v/>
      </c>
    </row>
    <row r="851">
      <c r="F851" s="11" t="n"/>
      <c r="N851" s="7">
        <f>IF($C851="","",M851*U851/100)</f>
        <v/>
      </c>
      <c r="T851" s="7" t="n"/>
      <c r="U851" s="7" t="n"/>
      <c r="V851" s="7">
        <f>IF($C851="","",U851*AA851/100)</f>
        <v/>
      </c>
      <c r="W851" s="7">
        <f>IF($C851="","",U851-V851)</f>
        <v/>
      </c>
      <c r="X851" s="7">
        <f>IF($C851="","",W851-N851)</f>
        <v/>
      </c>
      <c r="AA851">
        <f>IF($C851="","",IF($AN851=1,0,IF($AM851=1,Settings!$C$6,Settings!$C$7))*100)</f>
        <v/>
      </c>
      <c r="AE851" s="7" t="n"/>
      <c r="AH851" s="11" t="n"/>
      <c r="AJ851">
        <f>IF($C851="","",$C851&amp;"|"&amp;$D851&amp;"")</f>
        <v/>
      </c>
      <c r="AK851">
        <f>IF($C851="","",IF(COUNTIF($AJ$2:$AJ851,$AJ851)=1,1,0))</f>
        <v/>
      </c>
      <c r="AL851">
        <f>IF($AK851=1,SUMPRODUCT(--($AO$2:$AO$1501&lt;$AO851))+1,"")</f>
        <v/>
      </c>
      <c r="AM851">
        <f>IF($C851="","",IF(OR($Q851=TRUE(),$Q851="TRUE"),1,0))</f>
        <v/>
      </c>
      <c r="AN851">
        <f>IF($C851="","",IF($Z851="Yes",1,0))</f>
        <v/>
      </c>
      <c r="AO851">
        <f>IF($AK851=1,IFERROR(IF(VALUE($C851)&lt;100000000,VALUE($C851),1000000000),IFERROR(IF(VALUE(MID($C851,2,20))&lt;100000000,VALUE(MID($C851,2,20)),1000000000),1000000000))+ROW()/100000,"")</f>
        <v/>
      </c>
    </row>
    <row r="852">
      <c r="F852" s="11" t="n"/>
      <c r="N852" s="7">
        <f>IF($C852="","",M852*U852/100)</f>
        <v/>
      </c>
      <c r="T852" s="7" t="n"/>
      <c r="U852" s="7" t="n"/>
      <c r="V852" s="7">
        <f>IF($C852="","",U852*AA852/100)</f>
        <v/>
      </c>
      <c r="W852" s="7">
        <f>IF($C852="","",U852-V852)</f>
        <v/>
      </c>
      <c r="X852" s="7">
        <f>IF($C852="","",W852-N852)</f>
        <v/>
      </c>
      <c r="AA852">
        <f>IF($C852="","",IF($AN852=1,0,IF($AM852=1,Settings!$C$6,Settings!$C$7))*100)</f>
        <v/>
      </c>
      <c r="AE852" s="7" t="n"/>
      <c r="AH852" s="11" t="n"/>
      <c r="AJ852">
        <f>IF($C852="","",$C852&amp;"|"&amp;$D852&amp;"")</f>
        <v/>
      </c>
      <c r="AK852">
        <f>IF($C852="","",IF(COUNTIF($AJ$2:$AJ852,$AJ852)=1,1,0))</f>
        <v/>
      </c>
      <c r="AL852">
        <f>IF($AK852=1,SUMPRODUCT(--($AO$2:$AO$1501&lt;$AO852))+1,"")</f>
        <v/>
      </c>
      <c r="AM852">
        <f>IF($C852="","",IF(OR($Q852=TRUE(),$Q852="TRUE"),1,0))</f>
        <v/>
      </c>
      <c r="AN852">
        <f>IF($C852="","",IF($Z852="Yes",1,0))</f>
        <v/>
      </c>
      <c r="AO852">
        <f>IF($AK852=1,IFERROR(IF(VALUE($C852)&lt;100000000,VALUE($C852),1000000000),IFERROR(IF(VALUE(MID($C852,2,20))&lt;100000000,VALUE(MID($C852,2,20)),1000000000),1000000000))+ROW()/100000,"")</f>
        <v/>
      </c>
    </row>
    <row r="853">
      <c r="F853" s="11" t="n"/>
      <c r="N853" s="7">
        <f>IF($C853="","",M853*U853/100)</f>
        <v/>
      </c>
      <c r="T853" s="7" t="n"/>
      <c r="U853" s="7" t="n"/>
      <c r="V853" s="7">
        <f>IF($C853="","",U853*AA853/100)</f>
        <v/>
      </c>
      <c r="W853" s="7">
        <f>IF($C853="","",U853-V853)</f>
        <v/>
      </c>
      <c r="X853" s="7">
        <f>IF($C853="","",W853-N853)</f>
        <v/>
      </c>
      <c r="AA853">
        <f>IF($C853="","",IF($AN853=1,0,IF($AM853=1,Settings!$C$6,Settings!$C$7))*100)</f>
        <v/>
      </c>
      <c r="AE853" s="7" t="n"/>
      <c r="AH853" s="11" t="n"/>
      <c r="AJ853">
        <f>IF($C853="","",$C853&amp;"|"&amp;$D853&amp;"")</f>
        <v/>
      </c>
      <c r="AK853">
        <f>IF($C853="","",IF(COUNTIF($AJ$2:$AJ853,$AJ853)=1,1,0))</f>
        <v/>
      </c>
      <c r="AL853">
        <f>IF($AK853=1,SUMPRODUCT(--($AO$2:$AO$1501&lt;$AO853))+1,"")</f>
        <v/>
      </c>
      <c r="AM853">
        <f>IF($C853="","",IF(OR($Q853=TRUE(),$Q853="TRUE"),1,0))</f>
        <v/>
      </c>
      <c r="AN853">
        <f>IF($C853="","",IF($Z853="Yes",1,0))</f>
        <v/>
      </c>
      <c r="AO853">
        <f>IF($AK853=1,IFERROR(IF(VALUE($C853)&lt;100000000,VALUE($C853),1000000000),IFERROR(IF(VALUE(MID($C853,2,20))&lt;100000000,VALUE(MID($C853,2,20)),1000000000),1000000000))+ROW()/100000,"")</f>
        <v/>
      </c>
    </row>
    <row r="854">
      <c r="F854" s="11" t="n"/>
      <c r="N854" s="7">
        <f>IF($C854="","",M854*U854/100)</f>
        <v/>
      </c>
      <c r="T854" s="7" t="n"/>
      <c r="U854" s="7" t="n"/>
      <c r="V854" s="7">
        <f>IF($C854="","",U854*AA854/100)</f>
        <v/>
      </c>
      <c r="W854" s="7">
        <f>IF($C854="","",U854-V854)</f>
        <v/>
      </c>
      <c r="X854" s="7">
        <f>IF($C854="","",W854-N854)</f>
        <v/>
      </c>
      <c r="AA854">
        <f>IF($C854="","",IF($AN854=1,0,IF($AM854=1,Settings!$C$6,Settings!$C$7))*100)</f>
        <v/>
      </c>
      <c r="AE854" s="7" t="n"/>
      <c r="AH854" s="11" t="n"/>
      <c r="AJ854">
        <f>IF($C854="","",$C854&amp;"|"&amp;$D854&amp;"")</f>
        <v/>
      </c>
      <c r="AK854">
        <f>IF($C854="","",IF(COUNTIF($AJ$2:$AJ854,$AJ854)=1,1,0))</f>
        <v/>
      </c>
      <c r="AL854">
        <f>IF($AK854=1,SUMPRODUCT(--($AO$2:$AO$1501&lt;$AO854))+1,"")</f>
        <v/>
      </c>
      <c r="AM854">
        <f>IF($C854="","",IF(OR($Q854=TRUE(),$Q854="TRUE"),1,0))</f>
        <v/>
      </c>
      <c r="AN854">
        <f>IF($C854="","",IF($Z854="Yes",1,0))</f>
        <v/>
      </c>
      <c r="AO854">
        <f>IF($AK854=1,IFERROR(IF(VALUE($C854)&lt;100000000,VALUE($C854),1000000000),IFERROR(IF(VALUE(MID($C854,2,20))&lt;100000000,VALUE(MID($C854,2,20)),1000000000),1000000000))+ROW()/100000,"")</f>
        <v/>
      </c>
    </row>
    <row r="855">
      <c r="F855" s="11" t="n"/>
      <c r="N855" s="7">
        <f>IF($C855="","",M855*U855/100)</f>
        <v/>
      </c>
      <c r="T855" s="7" t="n"/>
      <c r="U855" s="7" t="n"/>
      <c r="V855" s="7">
        <f>IF($C855="","",U855*AA855/100)</f>
        <v/>
      </c>
      <c r="W855" s="7">
        <f>IF($C855="","",U855-V855)</f>
        <v/>
      </c>
      <c r="X855" s="7">
        <f>IF($C855="","",W855-N855)</f>
        <v/>
      </c>
      <c r="AA855">
        <f>IF($C855="","",IF($AN855=1,0,IF($AM855=1,Settings!$C$6,Settings!$C$7))*100)</f>
        <v/>
      </c>
      <c r="AE855" s="7" t="n"/>
      <c r="AH855" s="11" t="n"/>
      <c r="AJ855">
        <f>IF($C855="","",$C855&amp;"|"&amp;$D855&amp;"")</f>
        <v/>
      </c>
      <c r="AK855">
        <f>IF($C855="","",IF(COUNTIF($AJ$2:$AJ855,$AJ855)=1,1,0))</f>
        <v/>
      </c>
      <c r="AL855">
        <f>IF($AK855=1,SUMPRODUCT(--($AO$2:$AO$1501&lt;$AO855))+1,"")</f>
        <v/>
      </c>
      <c r="AM855">
        <f>IF($C855="","",IF(OR($Q855=TRUE(),$Q855="TRUE"),1,0))</f>
        <v/>
      </c>
      <c r="AN855">
        <f>IF($C855="","",IF($Z855="Yes",1,0))</f>
        <v/>
      </c>
      <c r="AO855">
        <f>IF($AK855=1,IFERROR(IF(VALUE($C855)&lt;100000000,VALUE($C855),1000000000),IFERROR(IF(VALUE(MID($C855,2,20))&lt;100000000,VALUE(MID($C855,2,20)),1000000000),1000000000))+ROW()/100000,"")</f>
        <v/>
      </c>
    </row>
    <row r="856">
      <c r="F856" s="11" t="n"/>
      <c r="N856" s="7">
        <f>IF($C856="","",M856*U856/100)</f>
        <v/>
      </c>
      <c r="T856" s="7" t="n"/>
      <c r="U856" s="7" t="n"/>
      <c r="V856" s="7">
        <f>IF($C856="","",U856*AA856/100)</f>
        <v/>
      </c>
      <c r="W856" s="7">
        <f>IF($C856="","",U856-V856)</f>
        <v/>
      </c>
      <c r="X856" s="7">
        <f>IF($C856="","",W856-N856)</f>
        <v/>
      </c>
      <c r="AA856">
        <f>IF($C856="","",IF($AN856=1,0,IF($AM856=1,Settings!$C$6,Settings!$C$7))*100)</f>
        <v/>
      </c>
      <c r="AE856" s="7" t="n"/>
      <c r="AH856" s="11" t="n"/>
      <c r="AJ856">
        <f>IF($C856="","",$C856&amp;"|"&amp;$D856&amp;"")</f>
        <v/>
      </c>
      <c r="AK856">
        <f>IF($C856="","",IF(COUNTIF($AJ$2:$AJ856,$AJ856)=1,1,0))</f>
        <v/>
      </c>
      <c r="AL856">
        <f>IF($AK856=1,SUMPRODUCT(--($AO$2:$AO$1501&lt;$AO856))+1,"")</f>
        <v/>
      </c>
      <c r="AM856">
        <f>IF($C856="","",IF(OR($Q856=TRUE(),$Q856="TRUE"),1,0))</f>
        <v/>
      </c>
      <c r="AN856">
        <f>IF($C856="","",IF($Z856="Yes",1,0))</f>
        <v/>
      </c>
      <c r="AO856">
        <f>IF($AK856=1,IFERROR(IF(VALUE($C856)&lt;100000000,VALUE($C856),1000000000),IFERROR(IF(VALUE(MID($C856,2,20))&lt;100000000,VALUE(MID($C856,2,20)),1000000000),1000000000))+ROW()/100000,"")</f>
        <v/>
      </c>
    </row>
    <row r="857">
      <c r="F857" s="11" t="n"/>
      <c r="N857" s="7">
        <f>IF($C857="","",M857*U857/100)</f>
        <v/>
      </c>
      <c r="T857" s="7" t="n"/>
      <c r="U857" s="7" t="n"/>
      <c r="V857" s="7">
        <f>IF($C857="","",U857*AA857/100)</f>
        <v/>
      </c>
      <c r="W857" s="7">
        <f>IF($C857="","",U857-V857)</f>
        <v/>
      </c>
      <c r="X857" s="7">
        <f>IF($C857="","",W857-N857)</f>
        <v/>
      </c>
      <c r="AA857">
        <f>IF($C857="","",IF($AN857=1,0,IF($AM857=1,Settings!$C$6,Settings!$C$7))*100)</f>
        <v/>
      </c>
      <c r="AE857" s="7" t="n"/>
      <c r="AH857" s="11" t="n"/>
      <c r="AJ857">
        <f>IF($C857="","",$C857&amp;"|"&amp;$D857&amp;"")</f>
        <v/>
      </c>
      <c r="AK857">
        <f>IF($C857="","",IF(COUNTIF($AJ$2:$AJ857,$AJ857)=1,1,0))</f>
        <v/>
      </c>
      <c r="AL857">
        <f>IF($AK857=1,SUMPRODUCT(--($AO$2:$AO$1501&lt;$AO857))+1,"")</f>
        <v/>
      </c>
      <c r="AM857">
        <f>IF($C857="","",IF(OR($Q857=TRUE(),$Q857="TRUE"),1,0))</f>
        <v/>
      </c>
      <c r="AN857">
        <f>IF($C857="","",IF($Z857="Yes",1,0))</f>
        <v/>
      </c>
      <c r="AO857">
        <f>IF($AK857=1,IFERROR(IF(VALUE($C857)&lt;100000000,VALUE($C857),1000000000),IFERROR(IF(VALUE(MID($C857,2,20))&lt;100000000,VALUE(MID($C857,2,20)),1000000000),1000000000))+ROW()/100000,"")</f>
        <v/>
      </c>
    </row>
    <row r="858">
      <c r="F858" s="11" t="n"/>
      <c r="N858" s="7">
        <f>IF($C858="","",M858*U858/100)</f>
        <v/>
      </c>
      <c r="T858" s="7" t="n"/>
      <c r="U858" s="7" t="n"/>
      <c r="V858" s="7">
        <f>IF($C858="","",U858*AA858/100)</f>
        <v/>
      </c>
      <c r="W858" s="7">
        <f>IF($C858="","",U858-V858)</f>
        <v/>
      </c>
      <c r="X858" s="7">
        <f>IF($C858="","",W858-N858)</f>
        <v/>
      </c>
      <c r="AA858">
        <f>IF($C858="","",IF($AN858=1,0,IF($AM858=1,Settings!$C$6,Settings!$C$7))*100)</f>
        <v/>
      </c>
      <c r="AE858" s="7" t="n"/>
      <c r="AH858" s="11" t="n"/>
      <c r="AJ858">
        <f>IF($C858="","",$C858&amp;"|"&amp;$D858&amp;"")</f>
        <v/>
      </c>
      <c r="AK858">
        <f>IF($C858="","",IF(COUNTIF($AJ$2:$AJ858,$AJ858)=1,1,0))</f>
        <v/>
      </c>
      <c r="AL858">
        <f>IF($AK858=1,SUMPRODUCT(--($AO$2:$AO$1501&lt;$AO858))+1,"")</f>
        <v/>
      </c>
      <c r="AM858">
        <f>IF($C858="","",IF(OR($Q858=TRUE(),$Q858="TRUE"),1,0))</f>
        <v/>
      </c>
      <c r="AN858">
        <f>IF($C858="","",IF($Z858="Yes",1,0))</f>
        <v/>
      </c>
      <c r="AO858">
        <f>IF($AK858=1,IFERROR(IF(VALUE($C858)&lt;100000000,VALUE($C858),1000000000),IFERROR(IF(VALUE(MID($C858,2,20))&lt;100000000,VALUE(MID($C858,2,20)),1000000000),1000000000))+ROW()/100000,"")</f>
        <v/>
      </c>
    </row>
    <row r="859">
      <c r="F859" s="11" t="n"/>
      <c r="N859" s="7">
        <f>IF($C859="","",M859*U859/100)</f>
        <v/>
      </c>
      <c r="T859" s="7" t="n"/>
      <c r="U859" s="7" t="n"/>
      <c r="V859" s="7">
        <f>IF($C859="","",U859*AA859/100)</f>
        <v/>
      </c>
      <c r="W859" s="7">
        <f>IF($C859="","",U859-V859)</f>
        <v/>
      </c>
      <c r="X859" s="7">
        <f>IF($C859="","",W859-N859)</f>
        <v/>
      </c>
      <c r="AA859">
        <f>IF($C859="","",IF($AN859=1,0,IF($AM859=1,Settings!$C$6,Settings!$C$7))*100)</f>
        <v/>
      </c>
      <c r="AE859" s="7" t="n"/>
      <c r="AH859" s="11" t="n"/>
      <c r="AJ859">
        <f>IF($C859="","",$C859&amp;"|"&amp;$D859&amp;"")</f>
        <v/>
      </c>
      <c r="AK859">
        <f>IF($C859="","",IF(COUNTIF($AJ$2:$AJ859,$AJ859)=1,1,0))</f>
        <v/>
      </c>
      <c r="AL859">
        <f>IF($AK859=1,SUMPRODUCT(--($AO$2:$AO$1501&lt;$AO859))+1,"")</f>
        <v/>
      </c>
      <c r="AM859">
        <f>IF($C859="","",IF(OR($Q859=TRUE(),$Q859="TRUE"),1,0))</f>
        <v/>
      </c>
      <c r="AN859">
        <f>IF($C859="","",IF($Z859="Yes",1,0))</f>
        <v/>
      </c>
      <c r="AO859">
        <f>IF($AK859=1,IFERROR(IF(VALUE($C859)&lt;100000000,VALUE($C859),1000000000),IFERROR(IF(VALUE(MID($C859,2,20))&lt;100000000,VALUE(MID($C859,2,20)),1000000000),1000000000))+ROW()/100000,"")</f>
        <v/>
      </c>
    </row>
    <row r="860">
      <c r="F860" s="11" t="n"/>
      <c r="N860" s="7">
        <f>IF($C860="","",M860*U860/100)</f>
        <v/>
      </c>
      <c r="T860" s="7" t="n"/>
      <c r="U860" s="7" t="n"/>
      <c r="V860" s="7">
        <f>IF($C860="","",U860*AA860/100)</f>
        <v/>
      </c>
      <c r="W860" s="7">
        <f>IF($C860="","",U860-V860)</f>
        <v/>
      </c>
      <c r="X860" s="7">
        <f>IF($C860="","",W860-N860)</f>
        <v/>
      </c>
      <c r="AA860">
        <f>IF($C860="","",IF($AN860=1,0,IF($AM860=1,Settings!$C$6,Settings!$C$7))*100)</f>
        <v/>
      </c>
      <c r="AE860" s="7" t="n"/>
      <c r="AH860" s="11" t="n"/>
      <c r="AJ860">
        <f>IF($C860="","",$C860&amp;"|"&amp;$D860&amp;"")</f>
        <v/>
      </c>
      <c r="AK860">
        <f>IF($C860="","",IF(COUNTIF($AJ$2:$AJ860,$AJ860)=1,1,0))</f>
        <v/>
      </c>
      <c r="AL860">
        <f>IF($AK860=1,SUMPRODUCT(--($AO$2:$AO$1501&lt;$AO860))+1,"")</f>
        <v/>
      </c>
      <c r="AM860">
        <f>IF($C860="","",IF(OR($Q860=TRUE(),$Q860="TRUE"),1,0))</f>
        <v/>
      </c>
      <c r="AN860">
        <f>IF($C860="","",IF($Z860="Yes",1,0))</f>
        <v/>
      </c>
      <c r="AO860">
        <f>IF($AK860=1,IFERROR(IF(VALUE($C860)&lt;100000000,VALUE($C860),1000000000),IFERROR(IF(VALUE(MID($C860,2,20))&lt;100000000,VALUE(MID($C860,2,20)),1000000000),1000000000))+ROW()/100000,"")</f>
        <v/>
      </c>
    </row>
    <row r="861">
      <c r="F861" s="11" t="n"/>
      <c r="N861" s="7">
        <f>IF($C861="","",M861*U861/100)</f>
        <v/>
      </c>
      <c r="T861" s="7" t="n"/>
      <c r="U861" s="7" t="n"/>
      <c r="V861" s="7">
        <f>IF($C861="","",U861*AA861/100)</f>
        <v/>
      </c>
      <c r="W861" s="7">
        <f>IF($C861="","",U861-V861)</f>
        <v/>
      </c>
      <c r="X861" s="7">
        <f>IF($C861="","",W861-N861)</f>
        <v/>
      </c>
      <c r="AA861">
        <f>IF($C861="","",IF($AN861=1,0,IF($AM861=1,Settings!$C$6,Settings!$C$7))*100)</f>
        <v/>
      </c>
      <c r="AE861" s="7" t="n"/>
      <c r="AH861" s="11" t="n"/>
      <c r="AJ861">
        <f>IF($C861="","",$C861&amp;"|"&amp;$D861&amp;"")</f>
        <v/>
      </c>
      <c r="AK861">
        <f>IF($C861="","",IF(COUNTIF($AJ$2:$AJ861,$AJ861)=1,1,0))</f>
        <v/>
      </c>
      <c r="AL861">
        <f>IF($AK861=1,SUMPRODUCT(--($AO$2:$AO$1501&lt;$AO861))+1,"")</f>
        <v/>
      </c>
      <c r="AM861">
        <f>IF($C861="","",IF(OR($Q861=TRUE(),$Q861="TRUE"),1,0))</f>
        <v/>
      </c>
      <c r="AN861">
        <f>IF($C861="","",IF($Z861="Yes",1,0))</f>
        <v/>
      </c>
      <c r="AO861">
        <f>IF($AK861=1,IFERROR(IF(VALUE($C861)&lt;100000000,VALUE($C861),1000000000),IFERROR(IF(VALUE(MID($C861,2,20))&lt;100000000,VALUE(MID($C861,2,20)),1000000000),1000000000))+ROW()/100000,"")</f>
        <v/>
      </c>
    </row>
    <row r="862">
      <c r="F862" s="11" t="n"/>
      <c r="N862" s="7">
        <f>IF($C862="","",M862*U862/100)</f>
        <v/>
      </c>
      <c r="T862" s="7" t="n"/>
      <c r="U862" s="7" t="n"/>
      <c r="V862" s="7">
        <f>IF($C862="","",U862*AA862/100)</f>
        <v/>
      </c>
      <c r="W862" s="7">
        <f>IF($C862="","",U862-V862)</f>
        <v/>
      </c>
      <c r="X862" s="7">
        <f>IF($C862="","",W862-N862)</f>
        <v/>
      </c>
      <c r="AA862">
        <f>IF($C862="","",IF($AN862=1,0,IF($AM862=1,Settings!$C$6,Settings!$C$7))*100)</f>
        <v/>
      </c>
      <c r="AE862" s="7" t="n"/>
      <c r="AH862" s="11" t="n"/>
      <c r="AJ862">
        <f>IF($C862="","",$C862&amp;"|"&amp;$D862&amp;"")</f>
        <v/>
      </c>
      <c r="AK862">
        <f>IF($C862="","",IF(COUNTIF($AJ$2:$AJ862,$AJ862)=1,1,0))</f>
        <v/>
      </c>
      <c r="AL862">
        <f>IF($AK862=1,SUMPRODUCT(--($AO$2:$AO$1501&lt;$AO862))+1,"")</f>
        <v/>
      </c>
      <c r="AM862">
        <f>IF($C862="","",IF(OR($Q862=TRUE(),$Q862="TRUE"),1,0))</f>
        <v/>
      </c>
      <c r="AN862">
        <f>IF($C862="","",IF($Z862="Yes",1,0))</f>
        <v/>
      </c>
      <c r="AO862">
        <f>IF($AK862=1,IFERROR(IF(VALUE($C862)&lt;100000000,VALUE($C862),1000000000),IFERROR(IF(VALUE(MID($C862,2,20))&lt;100000000,VALUE(MID($C862,2,20)),1000000000),1000000000))+ROW()/100000,"")</f>
        <v/>
      </c>
    </row>
    <row r="863">
      <c r="F863" s="11" t="n"/>
      <c r="N863" s="7">
        <f>IF($C863="","",M863*U863/100)</f>
        <v/>
      </c>
      <c r="T863" s="7" t="n"/>
      <c r="U863" s="7" t="n"/>
      <c r="V863" s="7">
        <f>IF($C863="","",U863*AA863/100)</f>
        <v/>
      </c>
      <c r="W863" s="7">
        <f>IF($C863="","",U863-V863)</f>
        <v/>
      </c>
      <c r="X863" s="7">
        <f>IF($C863="","",W863-N863)</f>
        <v/>
      </c>
      <c r="AA863">
        <f>IF($C863="","",IF($AN863=1,0,IF($AM863=1,Settings!$C$6,Settings!$C$7))*100)</f>
        <v/>
      </c>
      <c r="AE863" s="7" t="n"/>
      <c r="AH863" s="11" t="n"/>
      <c r="AJ863">
        <f>IF($C863="","",$C863&amp;"|"&amp;$D863&amp;"")</f>
        <v/>
      </c>
      <c r="AK863">
        <f>IF($C863="","",IF(COUNTIF($AJ$2:$AJ863,$AJ863)=1,1,0))</f>
        <v/>
      </c>
      <c r="AL863">
        <f>IF($AK863=1,SUMPRODUCT(--($AO$2:$AO$1501&lt;$AO863))+1,"")</f>
        <v/>
      </c>
      <c r="AM863">
        <f>IF($C863="","",IF(OR($Q863=TRUE(),$Q863="TRUE"),1,0))</f>
        <v/>
      </c>
      <c r="AN863">
        <f>IF($C863="","",IF($Z863="Yes",1,0))</f>
        <v/>
      </c>
      <c r="AO863">
        <f>IF($AK863=1,IFERROR(IF(VALUE($C863)&lt;100000000,VALUE($C863),1000000000),IFERROR(IF(VALUE(MID($C863,2,20))&lt;100000000,VALUE(MID($C863,2,20)),1000000000),1000000000))+ROW()/100000,"")</f>
        <v/>
      </c>
    </row>
    <row r="864">
      <c r="F864" s="11" t="n"/>
      <c r="N864" s="7">
        <f>IF($C864="","",M864*U864/100)</f>
        <v/>
      </c>
      <c r="T864" s="7" t="n"/>
      <c r="U864" s="7" t="n"/>
      <c r="V864" s="7">
        <f>IF($C864="","",U864*AA864/100)</f>
        <v/>
      </c>
      <c r="W864" s="7">
        <f>IF($C864="","",U864-V864)</f>
        <v/>
      </c>
      <c r="X864" s="7">
        <f>IF($C864="","",W864-N864)</f>
        <v/>
      </c>
      <c r="AA864">
        <f>IF($C864="","",IF($AN864=1,0,IF($AM864=1,Settings!$C$6,Settings!$C$7))*100)</f>
        <v/>
      </c>
      <c r="AE864" s="7" t="n"/>
      <c r="AH864" s="11" t="n"/>
      <c r="AJ864">
        <f>IF($C864="","",$C864&amp;"|"&amp;$D864&amp;"")</f>
        <v/>
      </c>
      <c r="AK864">
        <f>IF($C864="","",IF(COUNTIF($AJ$2:$AJ864,$AJ864)=1,1,0))</f>
        <v/>
      </c>
      <c r="AL864">
        <f>IF($AK864=1,SUMPRODUCT(--($AO$2:$AO$1501&lt;$AO864))+1,"")</f>
        <v/>
      </c>
      <c r="AM864">
        <f>IF($C864="","",IF(OR($Q864=TRUE(),$Q864="TRUE"),1,0))</f>
        <v/>
      </c>
      <c r="AN864">
        <f>IF($C864="","",IF($Z864="Yes",1,0))</f>
        <v/>
      </c>
      <c r="AO864">
        <f>IF($AK864=1,IFERROR(IF(VALUE($C864)&lt;100000000,VALUE($C864),1000000000),IFERROR(IF(VALUE(MID($C864,2,20))&lt;100000000,VALUE(MID($C864,2,20)),1000000000),1000000000))+ROW()/100000,"")</f>
        <v/>
      </c>
    </row>
    <row r="865">
      <c r="F865" s="11" t="n"/>
      <c r="N865" s="7">
        <f>IF($C865="","",M865*U865/100)</f>
        <v/>
      </c>
      <c r="T865" s="7" t="n"/>
      <c r="U865" s="7" t="n"/>
      <c r="V865" s="7">
        <f>IF($C865="","",U865*AA865/100)</f>
        <v/>
      </c>
      <c r="W865" s="7">
        <f>IF($C865="","",U865-V865)</f>
        <v/>
      </c>
      <c r="X865" s="7">
        <f>IF($C865="","",W865-N865)</f>
        <v/>
      </c>
      <c r="AA865">
        <f>IF($C865="","",IF($AN865=1,0,IF($AM865=1,Settings!$C$6,Settings!$C$7))*100)</f>
        <v/>
      </c>
      <c r="AE865" s="7" t="n"/>
      <c r="AH865" s="11" t="n"/>
      <c r="AJ865">
        <f>IF($C865="","",$C865&amp;"|"&amp;$D865&amp;"")</f>
        <v/>
      </c>
      <c r="AK865">
        <f>IF($C865="","",IF(COUNTIF($AJ$2:$AJ865,$AJ865)=1,1,0))</f>
        <v/>
      </c>
      <c r="AL865">
        <f>IF($AK865=1,SUMPRODUCT(--($AO$2:$AO$1501&lt;$AO865))+1,"")</f>
        <v/>
      </c>
      <c r="AM865">
        <f>IF($C865="","",IF(OR($Q865=TRUE(),$Q865="TRUE"),1,0))</f>
        <v/>
      </c>
      <c r="AN865">
        <f>IF($C865="","",IF($Z865="Yes",1,0))</f>
        <v/>
      </c>
      <c r="AO865">
        <f>IF($AK865=1,IFERROR(IF(VALUE($C865)&lt;100000000,VALUE($C865),1000000000),IFERROR(IF(VALUE(MID($C865,2,20))&lt;100000000,VALUE(MID($C865,2,20)),1000000000),1000000000))+ROW()/100000,"")</f>
        <v/>
      </c>
    </row>
    <row r="866">
      <c r="F866" s="11" t="n"/>
      <c r="N866" s="7">
        <f>IF($C866="","",M866*U866/100)</f>
        <v/>
      </c>
      <c r="T866" s="7" t="n"/>
      <c r="U866" s="7" t="n"/>
      <c r="V866" s="7">
        <f>IF($C866="","",U866*AA866/100)</f>
        <v/>
      </c>
      <c r="W866" s="7">
        <f>IF($C866="","",U866-V866)</f>
        <v/>
      </c>
      <c r="X866" s="7">
        <f>IF($C866="","",W866-N866)</f>
        <v/>
      </c>
      <c r="AA866">
        <f>IF($C866="","",IF($AN866=1,0,IF($AM866=1,Settings!$C$6,Settings!$C$7))*100)</f>
        <v/>
      </c>
      <c r="AE866" s="7" t="n"/>
      <c r="AH866" s="11" t="n"/>
      <c r="AJ866">
        <f>IF($C866="","",$C866&amp;"|"&amp;$D866&amp;"")</f>
        <v/>
      </c>
      <c r="AK866">
        <f>IF($C866="","",IF(COUNTIF($AJ$2:$AJ866,$AJ866)=1,1,0))</f>
        <v/>
      </c>
      <c r="AL866">
        <f>IF($AK866=1,SUMPRODUCT(--($AO$2:$AO$1501&lt;$AO866))+1,"")</f>
        <v/>
      </c>
      <c r="AM866">
        <f>IF($C866="","",IF(OR($Q866=TRUE(),$Q866="TRUE"),1,0))</f>
        <v/>
      </c>
      <c r="AN866">
        <f>IF($C866="","",IF($Z866="Yes",1,0))</f>
        <v/>
      </c>
      <c r="AO866">
        <f>IF($AK866=1,IFERROR(IF(VALUE($C866)&lt;100000000,VALUE($C866),1000000000),IFERROR(IF(VALUE(MID($C866,2,20))&lt;100000000,VALUE(MID($C866,2,20)),1000000000),1000000000))+ROW()/100000,"")</f>
        <v/>
      </c>
    </row>
    <row r="867">
      <c r="F867" s="11" t="n"/>
      <c r="N867" s="7">
        <f>IF($C867="","",M867*U867/100)</f>
        <v/>
      </c>
      <c r="T867" s="7" t="n"/>
      <c r="U867" s="7" t="n"/>
      <c r="V867" s="7">
        <f>IF($C867="","",U867*AA867/100)</f>
        <v/>
      </c>
      <c r="W867" s="7">
        <f>IF($C867="","",U867-V867)</f>
        <v/>
      </c>
      <c r="X867" s="7">
        <f>IF($C867="","",W867-N867)</f>
        <v/>
      </c>
      <c r="AA867">
        <f>IF($C867="","",IF($AN867=1,0,IF($AM867=1,Settings!$C$6,Settings!$C$7))*100)</f>
        <v/>
      </c>
      <c r="AE867" s="7" t="n"/>
      <c r="AH867" s="11" t="n"/>
      <c r="AJ867">
        <f>IF($C867="","",$C867&amp;"|"&amp;$D867&amp;"")</f>
        <v/>
      </c>
      <c r="AK867">
        <f>IF($C867="","",IF(COUNTIF($AJ$2:$AJ867,$AJ867)=1,1,0))</f>
        <v/>
      </c>
      <c r="AL867">
        <f>IF($AK867=1,SUMPRODUCT(--($AO$2:$AO$1501&lt;$AO867))+1,"")</f>
        <v/>
      </c>
      <c r="AM867">
        <f>IF($C867="","",IF(OR($Q867=TRUE(),$Q867="TRUE"),1,0))</f>
        <v/>
      </c>
      <c r="AN867">
        <f>IF($C867="","",IF($Z867="Yes",1,0))</f>
        <v/>
      </c>
      <c r="AO867">
        <f>IF($AK867=1,IFERROR(IF(VALUE($C867)&lt;100000000,VALUE($C867),1000000000),IFERROR(IF(VALUE(MID($C867,2,20))&lt;100000000,VALUE(MID($C867,2,20)),1000000000),1000000000))+ROW()/100000,"")</f>
        <v/>
      </c>
    </row>
    <row r="868">
      <c r="F868" s="11" t="n"/>
      <c r="N868" s="7">
        <f>IF($C868="","",M868*U868/100)</f>
        <v/>
      </c>
      <c r="T868" s="7" t="n"/>
      <c r="U868" s="7" t="n"/>
      <c r="V868" s="7">
        <f>IF($C868="","",U868*AA868/100)</f>
        <v/>
      </c>
      <c r="W868" s="7">
        <f>IF($C868="","",U868-V868)</f>
        <v/>
      </c>
      <c r="X868" s="7">
        <f>IF($C868="","",W868-N868)</f>
        <v/>
      </c>
      <c r="AA868">
        <f>IF($C868="","",IF($AN868=1,0,IF($AM868=1,Settings!$C$6,Settings!$C$7))*100)</f>
        <v/>
      </c>
      <c r="AE868" s="7" t="n"/>
      <c r="AH868" s="11" t="n"/>
      <c r="AJ868">
        <f>IF($C868="","",$C868&amp;"|"&amp;$D868&amp;"")</f>
        <v/>
      </c>
      <c r="AK868">
        <f>IF($C868="","",IF(COUNTIF($AJ$2:$AJ868,$AJ868)=1,1,0))</f>
        <v/>
      </c>
      <c r="AL868">
        <f>IF($AK868=1,SUMPRODUCT(--($AO$2:$AO$1501&lt;$AO868))+1,"")</f>
        <v/>
      </c>
      <c r="AM868">
        <f>IF($C868="","",IF(OR($Q868=TRUE(),$Q868="TRUE"),1,0))</f>
        <v/>
      </c>
      <c r="AN868">
        <f>IF($C868="","",IF($Z868="Yes",1,0))</f>
        <v/>
      </c>
      <c r="AO868">
        <f>IF($AK868=1,IFERROR(IF(VALUE($C868)&lt;100000000,VALUE($C868),1000000000),IFERROR(IF(VALUE(MID($C868,2,20))&lt;100000000,VALUE(MID($C868,2,20)),1000000000),1000000000))+ROW()/100000,"")</f>
        <v/>
      </c>
    </row>
    <row r="869">
      <c r="F869" s="11" t="n"/>
      <c r="N869" s="7">
        <f>IF($C869="","",M869*U869/100)</f>
        <v/>
      </c>
      <c r="T869" s="7" t="n"/>
      <c r="U869" s="7" t="n"/>
      <c r="V869" s="7">
        <f>IF($C869="","",U869*AA869/100)</f>
        <v/>
      </c>
      <c r="W869" s="7">
        <f>IF($C869="","",U869-V869)</f>
        <v/>
      </c>
      <c r="X869" s="7">
        <f>IF($C869="","",W869-N869)</f>
        <v/>
      </c>
      <c r="AA869">
        <f>IF($C869="","",IF($AN869=1,0,IF($AM869=1,Settings!$C$6,Settings!$C$7))*100)</f>
        <v/>
      </c>
      <c r="AE869" s="7" t="n"/>
      <c r="AH869" s="11" t="n"/>
      <c r="AJ869">
        <f>IF($C869="","",$C869&amp;"|"&amp;$D869&amp;"")</f>
        <v/>
      </c>
      <c r="AK869">
        <f>IF($C869="","",IF(COUNTIF($AJ$2:$AJ869,$AJ869)=1,1,0))</f>
        <v/>
      </c>
      <c r="AL869">
        <f>IF($AK869=1,SUMPRODUCT(--($AO$2:$AO$1501&lt;$AO869))+1,"")</f>
        <v/>
      </c>
      <c r="AM869">
        <f>IF($C869="","",IF(OR($Q869=TRUE(),$Q869="TRUE"),1,0))</f>
        <v/>
      </c>
      <c r="AN869">
        <f>IF($C869="","",IF($Z869="Yes",1,0))</f>
        <v/>
      </c>
      <c r="AO869">
        <f>IF($AK869=1,IFERROR(IF(VALUE($C869)&lt;100000000,VALUE($C869),1000000000),IFERROR(IF(VALUE(MID($C869,2,20))&lt;100000000,VALUE(MID($C869,2,20)),1000000000),1000000000))+ROW()/100000,"")</f>
        <v/>
      </c>
    </row>
    <row r="870">
      <c r="F870" s="11" t="n"/>
      <c r="N870" s="7">
        <f>IF($C870="","",M870*U870/100)</f>
        <v/>
      </c>
      <c r="T870" s="7" t="n"/>
      <c r="U870" s="7" t="n"/>
      <c r="V870" s="7">
        <f>IF($C870="","",U870*AA870/100)</f>
        <v/>
      </c>
      <c r="W870" s="7">
        <f>IF($C870="","",U870-V870)</f>
        <v/>
      </c>
      <c r="X870" s="7">
        <f>IF($C870="","",W870-N870)</f>
        <v/>
      </c>
      <c r="AA870">
        <f>IF($C870="","",IF($AN870=1,0,IF($AM870=1,Settings!$C$6,Settings!$C$7))*100)</f>
        <v/>
      </c>
      <c r="AE870" s="7" t="n"/>
      <c r="AH870" s="11" t="n"/>
      <c r="AJ870">
        <f>IF($C870="","",$C870&amp;"|"&amp;$D870&amp;"")</f>
        <v/>
      </c>
      <c r="AK870">
        <f>IF($C870="","",IF(COUNTIF($AJ$2:$AJ870,$AJ870)=1,1,0))</f>
        <v/>
      </c>
      <c r="AL870">
        <f>IF($AK870=1,SUMPRODUCT(--($AO$2:$AO$1501&lt;$AO870))+1,"")</f>
        <v/>
      </c>
      <c r="AM870">
        <f>IF($C870="","",IF(OR($Q870=TRUE(),$Q870="TRUE"),1,0))</f>
        <v/>
      </c>
      <c r="AN870">
        <f>IF($C870="","",IF($Z870="Yes",1,0))</f>
        <v/>
      </c>
      <c r="AO870">
        <f>IF($AK870=1,IFERROR(IF(VALUE($C870)&lt;100000000,VALUE($C870),1000000000),IFERROR(IF(VALUE(MID($C870,2,20))&lt;100000000,VALUE(MID($C870,2,20)),1000000000),1000000000))+ROW()/100000,"")</f>
        <v/>
      </c>
    </row>
    <row r="871">
      <c r="F871" s="11" t="n"/>
      <c r="N871" s="7">
        <f>IF($C871="","",M871*U871/100)</f>
        <v/>
      </c>
      <c r="T871" s="7" t="n"/>
      <c r="U871" s="7" t="n"/>
      <c r="V871" s="7">
        <f>IF($C871="","",U871*AA871/100)</f>
        <v/>
      </c>
      <c r="W871" s="7">
        <f>IF($C871="","",U871-V871)</f>
        <v/>
      </c>
      <c r="X871" s="7">
        <f>IF($C871="","",W871-N871)</f>
        <v/>
      </c>
      <c r="AA871">
        <f>IF($C871="","",IF($AN871=1,0,IF($AM871=1,Settings!$C$6,Settings!$C$7))*100)</f>
        <v/>
      </c>
      <c r="AE871" s="7" t="n"/>
      <c r="AH871" s="11" t="n"/>
      <c r="AJ871">
        <f>IF($C871="","",$C871&amp;"|"&amp;$D871&amp;"")</f>
        <v/>
      </c>
      <c r="AK871">
        <f>IF($C871="","",IF(COUNTIF($AJ$2:$AJ871,$AJ871)=1,1,0))</f>
        <v/>
      </c>
      <c r="AL871">
        <f>IF($AK871=1,SUMPRODUCT(--($AO$2:$AO$1501&lt;$AO871))+1,"")</f>
        <v/>
      </c>
      <c r="AM871">
        <f>IF($C871="","",IF(OR($Q871=TRUE(),$Q871="TRUE"),1,0))</f>
        <v/>
      </c>
      <c r="AN871">
        <f>IF($C871="","",IF($Z871="Yes",1,0))</f>
        <v/>
      </c>
      <c r="AO871">
        <f>IF($AK871=1,IFERROR(IF(VALUE($C871)&lt;100000000,VALUE($C871),1000000000),IFERROR(IF(VALUE(MID($C871,2,20))&lt;100000000,VALUE(MID($C871,2,20)),1000000000),1000000000))+ROW()/100000,"")</f>
        <v/>
      </c>
    </row>
    <row r="872">
      <c r="F872" s="11" t="n"/>
      <c r="N872" s="7">
        <f>IF($C872="","",M872*U872/100)</f>
        <v/>
      </c>
      <c r="T872" s="7" t="n"/>
      <c r="U872" s="7" t="n"/>
      <c r="V872" s="7">
        <f>IF($C872="","",U872*AA872/100)</f>
        <v/>
      </c>
      <c r="W872" s="7">
        <f>IF($C872="","",U872-V872)</f>
        <v/>
      </c>
      <c r="X872" s="7">
        <f>IF($C872="","",W872-N872)</f>
        <v/>
      </c>
      <c r="AA872">
        <f>IF($C872="","",IF($AN872=1,0,IF($AM872=1,Settings!$C$6,Settings!$C$7))*100)</f>
        <v/>
      </c>
      <c r="AE872" s="7" t="n"/>
      <c r="AH872" s="11" t="n"/>
      <c r="AJ872">
        <f>IF($C872="","",$C872&amp;"|"&amp;$D872&amp;"")</f>
        <v/>
      </c>
      <c r="AK872">
        <f>IF($C872="","",IF(COUNTIF($AJ$2:$AJ872,$AJ872)=1,1,0))</f>
        <v/>
      </c>
      <c r="AL872">
        <f>IF($AK872=1,SUMPRODUCT(--($AO$2:$AO$1501&lt;$AO872))+1,"")</f>
        <v/>
      </c>
      <c r="AM872">
        <f>IF($C872="","",IF(OR($Q872=TRUE(),$Q872="TRUE"),1,0))</f>
        <v/>
      </c>
      <c r="AN872">
        <f>IF($C872="","",IF($Z872="Yes",1,0))</f>
        <v/>
      </c>
      <c r="AO872">
        <f>IF($AK872=1,IFERROR(IF(VALUE($C872)&lt;100000000,VALUE($C872),1000000000),IFERROR(IF(VALUE(MID($C872,2,20))&lt;100000000,VALUE(MID($C872,2,20)),1000000000),1000000000))+ROW()/100000,"")</f>
        <v/>
      </c>
    </row>
    <row r="873">
      <c r="F873" s="11" t="n"/>
      <c r="N873" s="7">
        <f>IF($C873="","",M873*U873/100)</f>
        <v/>
      </c>
      <c r="T873" s="7" t="n"/>
      <c r="U873" s="7" t="n"/>
      <c r="V873" s="7">
        <f>IF($C873="","",U873*AA873/100)</f>
        <v/>
      </c>
      <c r="W873" s="7">
        <f>IF($C873="","",U873-V873)</f>
        <v/>
      </c>
      <c r="X873" s="7">
        <f>IF($C873="","",W873-N873)</f>
        <v/>
      </c>
      <c r="AA873">
        <f>IF($C873="","",IF($AN873=1,0,IF($AM873=1,Settings!$C$6,Settings!$C$7))*100)</f>
        <v/>
      </c>
      <c r="AE873" s="7" t="n"/>
      <c r="AH873" s="11" t="n"/>
      <c r="AJ873">
        <f>IF($C873="","",$C873&amp;"|"&amp;$D873&amp;"")</f>
        <v/>
      </c>
      <c r="AK873">
        <f>IF($C873="","",IF(COUNTIF($AJ$2:$AJ873,$AJ873)=1,1,0))</f>
        <v/>
      </c>
      <c r="AL873">
        <f>IF($AK873=1,SUMPRODUCT(--($AO$2:$AO$1501&lt;$AO873))+1,"")</f>
        <v/>
      </c>
      <c r="AM873">
        <f>IF($C873="","",IF(OR($Q873=TRUE(),$Q873="TRUE"),1,0))</f>
        <v/>
      </c>
      <c r="AN873">
        <f>IF($C873="","",IF($Z873="Yes",1,0))</f>
        <v/>
      </c>
      <c r="AO873">
        <f>IF($AK873=1,IFERROR(IF(VALUE($C873)&lt;100000000,VALUE($C873),1000000000),IFERROR(IF(VALUE(MID($C873,2,20))&lt;100000000,VALUE(MID($C873,2,20)),1000000000),1000000000))+ROW()/100000,"")</f>
        <v/>
      </c>
    </row>
    <row r="874">
      <c r="F874" s="11" t="n"/>
      <c r="N874" s="7">
        <f>IF($C874="","",M874*U874/100)</f>
        <v/>
      </c>
      <c r="T874" s="7" t="n"/>
      <c r="U874" s="7" t="n"/>
      <c r="V874" s="7">
        <f>IF($C874="","",U874*AA874/100)</f>
        <v/>
      </c>
      <c r="W874" s="7">
        <f>IF($C874="","",U874-V874)</f>
        <v/>
      </c>
      <c r="X874" s="7">
        <f>IF($C874="","",W874-N874)</f>
        <v/>
      </c>
      <c r="AA874">
        <f>IF($C874="","",IF($AN874=1,0,IF($AM874=1,Settings!$C$6,Settings!$C$7))*100)</f>
        <v/>
      </c>
      <c r="AE874" s="7" t="n"/>
      <c r="AH874" s="11" t="n"/>
      <c r="AJ874">
        <f>IF($C874="","",$C874&amp;"|"&amp;$D874&amp;"")</f>
        <v/>
      </c>
      <c r="AK874">
        <f>IF($C874="","",IF(COUNTIF($AJ$2:$AJ874,$AJ874)=1,1,0))</f>
        <v/>
      </c>
      <c r="AL874">
        <f>IF($AK874=1,SUMPRODUCT(--($AO$2:$AO$1501&lt;$AO874))+1,"")</f>
        <v/>
      </c>
      <c r="AM874">
        <f>IF($C874="","",IF(OR($Q874=TRUE(),$Q874="TRUE"),1,0))</f>
        <v/>
      </c>
      <c r="AN874">
        <f>IF($C874="","",IF($Z874="Yes",1,0))</f>
        <v/>
      </c>
      <c r="AO874">
        <f>IF($AK874=1,IFERROR(IF(VALUE($C874)&lt;100000000,VALUE($C874),1000000000),IFERROR(IF(VALUE(MID($C874,2,20))&lt;100000000,VALUE(MID($C874,2,20)),1000000000),1000000000))+ROW()/100000,"")</f>
        <v/>
      </c>
    </row>
    <row r="875">
      <c r="F875" s="11" t="n"/>
      <c r="N875" s="7">
        <f>IF($C875="","",M875*U875/100)</f>
        <v/>
      </c>
      <c r="T875" s="7" t="n"/>
      <c r="U875" s="7" t="n"/>
      <c r="V875" s="7">
        <f>IF($C875="","",U875*AA875/100)</f>
        <v/>
      </c>
      <c r="W875" s="7">
        <f>IF($C875="","",U875-V875)</f>
        <v/>
      </c>
      <c r="X875" s="7">
        <f>IF($C875="","",W875-N875)</f>
        <v/>
      </c>
      <c r="AA875">
        <f>IF($C875="","",IF($AN875=1,0,IF($AM875=1,Settings!$C$6,Settings!$C$7))*100)</f>
        <v/>
      </c>
      <c r="AE875" s="7" t="n"/>
      <c r="AH875" s="11" t="n"/>
      <c r="AJ875">
        <f>IF($C875="","",$C875&amp;"|"&amp;$D875&amp;"")</f>
        <v/>
      </c>
      <c r="AK875">
        <f>IF($C875="","",IF(COUNTIF($AJ$2:$AJ875,$AJ875)=1,1,0))</f>
        <v/>
      </c>
      <c r="AL875">
        <f>IF($AK875=1,SUMPRODUCT(--($AO$2:$AO$1501&lt;$AO875))+1,"")</f>
        <v/>
      </c>
      <c r="AM875">
        <f>IF($C875="","",IF(OR($Q875=TRUE(),$Q875="TRUE"),1,0))</f>
        <v/>
      </c>
      <c r="AN875">
        <f>IF($C875="","",IF($Z875="Yes",1,0))</f>
        <v/>
      </c>
      <c r="AO875">
        <f>IF($AK875=1,IFERROR(IF(VALUE($C875)&lt;100000000,VALUE($C875),1000000000),IFERROR(IF(VALUE(MID($C875,2,20))&lt;100000000,VALUE(MID($C875,2,20)),1000000000),1000000000))+ROW()/100000,"")</f>
        <v/>
      </c>
    </row>
    <row r="876">
      <c r="F876" s="11" t="n"/>
      <c r="N876" s="7">
        <f>IF($C876="","",M876*U876/100)</f>
        <v/>
      </c>
      <c r="T876" s="7" t="n"/>
      <c r="U876" s="7" t="n"/>
      <c r="V876" s="7">
        <f>IF($C876="","",U876*AA876/100)</f>
        <v/>
      </c>
      <c r="W876" s="7">
        <f>IF($C876="","",U876-V876)</f>
        <v/>
      </c>
      <c r="X876" s="7">
        <f>IF($C876="","",W876-N876)</f>
        <v/>
      </c>
      <c r="AA876">
        <f>IF($C876="","",IF($AN876=1,0,IF($AM876=1,Settings!$C$6,Settings!$C$7))*100)</f>
        <v/>
      </c>
      <c r="AE876" s="7" t="n"/>
      <c r="AH876" s="11" t="n"/>
      <c r="AJ876">
        <f>IF($C876="","",$C876&amp;"|"&amp;$D876&amp;"")</f>
        <v/>
      </c>
      <c r="AK876">
        <f>IF($C876="","",IF(COUNTIF($AJ$2:$AJ876,$AJ876)=1,1,0))</f>
        <v/>
      </c>
      <c r="AL876">
        <f>IF($AK876=1,SUMPRODUCT(--($AO$2:$AO$1501&lt;$AO876))+1,"")</f>
        <v/>
      </c>
      <c r="AM876">
        <f>IF($C876="","",IF(OR($Q876=TRUE(),$Q876="TRUE"),1,0))</f>
        <v/>
      </c>
      <c r="AN876">
        <f>IF($C876="","",IF($Z876="Yes",1,0))</f>
        <v/>
      </c>
      <c r="AO876">
        <f>IF($AK876=1,IFERROR(IF(VALUE($C876)&lt;100000000,VALUE($C876),1000000000),IFERROR(IF(VALUE(MID($C876,2,20))&lt;100000000,VALUE(MID($C876,2,20)),1000000000),1000000000))+ROW()/100000,"")</f>
        <v/>
      </c>
    </row>
    <row r="877">
      <c r="F877" s="11" t="n"/>
      <c r="N877" s="7">
        <f>IF($C877="","",M877*U877/100)</f>
        <v/>
      </c>
      <c r="T877" s="7" t="n"/>
      <c r="U877" s="7" t="n"/>
      <c r="V877" s="7">
        <f>IF($C877="","",U877*AA877/100)</f>
        <v/>
      </c>
      <c r="W877" s="7">
        <f>IF($C877="","",U877-V877)</f>
        <v/>
      </c>
      <c r="X877" s="7">
        <f>IF($C877="","",W877-N877)</f>
        <v/>
      </c>
      <c r="AA877">
        <f>IF($C877="","",IF($AN877=1,0,IF($AM877=1,Settings!$C$6,Settings!$C$7))*100)</f>
        <v/>
      </c>
      <c r="AE877" s="7" t="n"/>
      <c r="AH877" s="11" t="n"/>
      <c r="AJ877">
        <f>IF($C877="","",$C877&amp;"|"&amp;$D877&amp;"")</f>
        <v/>
      </c>
      <c r="AK877">
        <f>IF($C877="","",IF(COUNTIF($AJ$2:$AJ877,$AJ877)=1,1,0))</f>
        <v/>
      </c>
      <c r="AL877">
        <f>IF($AK877=1,SUMPRODUCT(--($AO$2:$AO$1501&lt;$AO877))+1,"")</f>
        <v/>
      </c>
      <c r="AM877">
        <f>IF($C877="","",IF(OR($Q877=TRUE(),$Q877="TRUE"),1,0))</f>
        <v/>
      </c>
      <c r="AN877">
        <f>IF($C877="","",IF($Z877="Yes",1,0))</f>
        <v/>
      </c>
      <c r="AO877">
        <f>IF($AK877=1,IFERROR(IF(VALUE($C877)&lt;100000000,VALUE($C877),1000000000),IFERROR(IF(VALUE(MID($C877,2,20))&lt;100000000,VALUE(MID($C877,2,20)),1000000000),1000000000))+ROW()/100000,"")</f>
        <v/>
      </c>
    </row>
    <row r="878">
      <c r="F878" s="11" t="n"/>
      <c r="N878" s="7">
        <f>IF($C878="","",M878*U878/100)</f>
        <v/>
      </c>
      <c r="T878" s="7" t="n"/>
      <c r="U878" s="7" t="n"/>
      <c r="V878" s="7">
        <f>IF($C878="","",U878*AA878/100)</f>
        <v/>
      </c>
      <c r="W878" s="7">
        <f>IF($C878="","",U878-V878)</f>
        <v/>
      </c>
      <c r="X878" s="7">
        <f>IF($C878="","",W878-N878)</f>
        <v/>
      </c>
      <c r="AA878">
        <f>IF($C878="","",IF($AN878=1,0,IF($AM878=1,Settings!$C$6,Settings!$C$7))*100)</f>
        <v/>
      </c>
      <c r="AE878" s="7" t="n"/>
      <c r="AH878" s="11" t="n"/>
      <c r="AJ878">
        <f>IF($C878="","",$C878&amp;"|"&amp;$D878&amp;"")</f>
        <v/>
      </c>
      <c r="AK878">
        <f>IF($C878="","",IF(COUNTIF($AJ$2:$AJ878,$AJ878)=1,1,0))</f>
        <v/>
      </c>
      <c r="AL878">
        <f>IF($AK878=1,SUMPRODUCT(--($AO$2:$AO$1501&lt;$AO878))+1,"")</f>
        <v/>
      </c>
      <c r="AM878">
        <f>IF($C878="","",IF(OR($Q878=TRUE(),$Q878="TRUE"),1,0))</f>
        <v/>
      </c>
      <c r="AN878">
        <f>IF($C878="","",IF($Z878="Yes",1,0))</f>
        <v/>
      </c>
      <c r="AO878">
        <f>IF($AK878=1,IFERROR(IF(VALUE($C878)&lt;100000000,VALUE($C878),1000000000),IFERROR(IF(VALUE(MID($C878,2,20))&lt;100000000,VALUE(MID($C878,2,20)),1000000000),1000000000))+ROW()/100000,"")</f>
        <v/>
      </c>
    </row>
    <row r="879">
      <c r="F879" s="11" t="n"/>
      <c r="N879" s="7">
        <f>IF($C879="","",M879*U879/100)</f>
        <v/>
      </c>
      <c r="T879" s="7" t="n"/>
      <c r="U879" s="7" t="n"/>
      <c r="V879" s="7">
        <f>IF($C879="","",U879*AA879/100)</f>
        <v/>
      </c>
      <c r="W879" s="7">
        <f>IF($C879="","",U879-V879)</f>
        <v/>
      </c>
      <c r="X879" s="7">
        <f>IF($C879="","",W879-N879)</f>
        <v/>
      </c>
      <c r="AA879">
        <f>IF($C879="","",IF($AN879=1,0,IF($AM879=1,Settings!$C$6,Settings!$C$7))*100)</f>
        <v/>
      </c>
      <c r="AE879" s="7" t="n"/>
      <c r="AH879" s="11" t="n"/>
      <c r="AJ879">
        <f>IF($C879="","",$C879&amp;"|"&amp;$D879&amp;"")</f>
        <v/>
      </c>
      <c r="AK879">
        <f>IF($C879="","",IF(COUNTIF($AJ$2:$AJ879,$AJ879)=1,1,0))</f>
        <v/>
      </c>
      <c r="AL879">
        <f>IF($AK879=1,SUMPRODUCT(--($AO$2:$AO$1501&lt;$AO879))+1,"")</f>
        <v/>
      </c>
      <c r="AM879">
        <f>IF($C879="","",IF(OR($Q879=TRUE(),$Q879="TRUE"),1,0))</f>
        <v/>
      </c>
      <c r="AN879">
        <f>IF($C879="","",IF($Z879="Yes",1,0))</f>
        <v/>
      </c>
      <c r="AO879">
        <f>IF($AK879=1,IFERROR(IF(VALUE($C879)&lt;100000000,VALUE($C879),1000000000),IFERROR(IF(VALUE(MID($C879,2,20))&lt;100000000,VALUE(MID($C879,2,20)),1000000000),1000000000))+ROW()/100000,"")</f>
        <v/>
      </c>
    </row>
    <row r="880">
      <c r="F880" s="11" t="n"/>
      <c r="N880" s="7">
        <f>IF($C880="","",M880*U880/100)</f>
        <v/>
      </c>
      <c r="T880" s="7" t="n"/>
      <c r="U880" s="7" t="n"/>
      <c r="V880" s="7">
        <f>IF($C880="","",U880*AA880/100)</f>
        <v/>
      </c>
      <c r="W880" s="7">
        <f>IF($C880="","",U880-V880)</f>
        <v/>
      </c>
      <c r="X880" s="7">
        <f>IF($C880="","",W880-N880)</f>
        <v/>
      </c>
      <c r="AA880">
        <f>IF($C880="","",IF($AN880=1,0,IF($AM880=1,Settings!$C$6,Settings!$C$7))*100)</f>
        <v/>
      </c>
      <c r="AE880" s="7" t="n"/>
      <c r="AH880" s="11" t="n"/>
      <c r="AJ880">
        <f>IF($C880="","",$C880&amp;"|"&amp;$D880&amp;"")</f>
        <v/>
      </c>
      <c r="AK880">
        <f>IF($C880="","",IF(COUNTIF($AJ$2:$AJ880,$AJ880)=1,1,0))</f>
        <v/>
      </c>
      <c r="AL880">
        <f>IF($AK880=1,SUMPRODUCT(--($AO$2:$AO$1501&lt;$AO880))+1,"")</f>
        <v/>
      </c>
      <c r="AM880">
        <f>IF($C880="","",IF(OR($Q880=TRUE(),$Q880="TRUE"),1,0))</f>
        <v/>
      </c>
      <c r="AN880">
        <f>IF($C880="","",IF($Z880="Yes",1,0))</f>
        <v/>
      </c>
      <c r="AO880">
        <f>IF($AK880=1,IFERROR(IF(VALUE($C880)&lt;100000000,VALUE($C880),1000000000),IFERROR(IF(VALUE(MID($C880,2,20))&lt;100000000,VALUE(MID($C880,2,20)),1000000000),1000000000))+ROW()/100000,"")</f>
        <v/>
      </c>
    </row>
    <row r="881">
      <c r="F881" s="11" t="n"/>
      <c r="N881" s="7">
        <f>IF($C881="","",M881*U881/100)</f>
        <v/>
      </c>
      <c r="T881" s="7" t="n"/>
      <c r="U881" s="7" t="n"/>
      <c r="V881" s="7">
        <f>IF($C881="","",U881*AA881/100)</f>
        <v/>
      </c>
      <c r="W881" s="7">
        <f>IF($C881="","",U881-V881)</f>
        <v/>
      </c>
      <c r="X881" s="7">
        <f>IF($C881="","",W881-N881)</f>
        <v/>
      </c>
      <c r="AA881">
        <f>IF($C881="","",IF($AN881=1,0,IF($AM881=1,Settings!$C$6,Settings!$C$7))*100)</f>
        <v/>
      </c>
      <c r="AE881" s="7" t="n"/>
      <c r="AH881" s="11" t="n"/>
      <c r="AJ881">
        <f>IF($C881="","",$C881&amp;"|"&amp;$D881&amp;"")</f>
        <v/>
      </c>
      <c r="AK881">
        <f>IF($C881="","",IF(COUNTIF($AJ$2:$AJ881,$AJ881)=1,1,0))</f>
        <v/>
      </c>
      <c r="AL881">
        <f>IF($AK881=1,SUMPRODUCT(--($AO$2:$AO$1501&lt;$AO881))+1,"")</f>
        <v/>
      </c>
      <c r="AM881">
        <f>IF($C881="","",IF(OR($Q881=TRUE(),$Q881="TRUE"),1,0))</f>
        <v/>
      </c>
      <c r="AN881">
        <f>IF($C881="","",IF($Z881="Yes",1,0))</f>
        <v/>
      </c>
      <c r="AO881">
        <f>IF($AK881=1,IFERROR(IF(VALUE($C881)&lt;100000000,VALUE($C881),1000000000),IFERROR(IF(VALUE(MID($C881,2,20))&lt;100000000,VALUE(MID($C881,2,20)),1000000000),1000000000))+ROW()/100000,"")</f>
        <v/>
      </c>
    </row>
    <row r="882">
      <c r="F882" s="11" t="n"/>
      <c r="N882" s="7">
        <f>IF($C882="","",M882*U882/100)</f>
        <v/>
      </c>
      <c r="T882" s="7" t="n"/>
      <c r="U882" s="7" t="n"/>
      <c r="V882" s="7">
        <f>IF($C882="","",U882*AA882/100)</f>
        <v/>
      </c>
      <c r="W882" s="7">
        <f>IF($C882="","",U882-V882)</f>
        <v/>
      </c>
      <c r="X882" s="7">
        <f>IF($C882="","",W882-N882)</f>
        <v/>
      </c>
      <c r="AA882">
        <f>IF($C882="","",IF($AN882=1,0,IF($AM882=1,Settings!$C$6,Settings!$C$7))*100)</f>
        <v/>
      </c>
      <c r="AE882" s="7" t="n"/>
      <c r="AH882" s="11" t="n"/>
      <c r="AJ882">
        <f>IF($C882="","",$C882&amp;"|"&amp;$D882&amp;"")</f>
        <v/>
      </c>
      <c r="AK882">
        <f>IF($C882="","",IF(COUNTIF($AJ$2:$AJ882,$AJ882)=1,1,0))</f>
        <v/>
      </c>
      <c r="AL882">
        <f>IF($AK882=1,SUMPRODUCT(--($AO$2:$AO$1501&lt;$AO882))+1,"")</f>
        <v/>
      </c>
      <c r="AM882">
        <f>IF($C882="","",IF(OR($Q882=TRUE(),$Q882="TRUE"),1,0))</f>
        <v/>
      </c>
      <c r="AN882">
        <f>IF($C882="","",IF($Z882="Yes",1,0))</f>
        <v/>
      </c>
      <c r="AO882">
        <f>IF($AK882=1,IFERROR(IF(VALUE($C882)&lt;100000000,VALUE($C882),1000000000),IFERROR(IF(VALUE(MID($C882,2,20))&lt;100000000,VALUE(MID($C882,2,20)),1000000000),1000000000))+ROW()/100000,"")</f>
        <v/>
      </c>
    </row>
    <row r="883">
      <c r="F883" s="11" t="n"/>
      <c r="N883" s="7">
        <f>IF($C883="","",M883*U883/100)</f>
        <v/>
      </c>
      <c r="T883" s="7" t="n"/>
      <c r="U883" s="7" t="n"/>
      <c r="V883" s="7">
        <f>IF($C883="","",U883*AA883/100)</f>
        <v/>
      </c>
      <c r="W883" s="7">
        <f>IF($C883="","",U883-V883)</f>
        <v/>
      </c>
      <c r="X883" s="7">
        <f>IF($C883="","",W883-N883)</f>
        <v/>
      </c>
      <c r="AA883">
        <f>IF($C883="","",IF($AN883=1,0,IF($AM883=1,Settings!$C$6,Settings!$C$7))*100)</f>
        <v/>
      </c>
      <c r="AE883" s="7" t="n"/>
      <c r="AH883" s="11" t="n"/>
      <c r="AJ883">
        <f>IF($C883="","",$C883&amp;"|"&amp;$D883&amp;"")</f>
        <v/>
      </c>
      <c r="AK883">
        <f>IF($C883="","",IF(COUNTIF($AJ$2:$AJ883,$AJ883)=1,1,0))</f>
        <v/>
      </c>
      <c r="AL883">
        <f>IF($AK883=1,SUMPRODUCT(--($AO$2:$AO$1501&lt;$AO883))+1,"")</f>
        <v/>
      </c>
      <c r="AM883">
        <f>IF($C883="","",IF(OR($Q883=TRUE(),$Q883="TRUE"),1,0))</f>
        <v/>
      </c>
      <c r="AN883">
        <f>IF($C883="","",IF($Z883="Yes",1,0))</f>
        <v/>
      </c>
      <c r="AO883">
        <f>IF($AK883=1,IFERROR(IF(VALUE($C883)&lt;100000000,VALUE($C883),1000000000),IFERROR(IF(VALUE(MID($C883,2,20))&lt;100000000,VALUE(MID($C883,2,20)),1000000000),1000000000))+ROW()/100000,"")</f>
        <v/>
      </c>
    </row>
    <row r="884">
      <c r="F884" s="11" t="n"/>
      <c r="N884" s="7">
        <f>IF($C884="","",M884*U884/100)</f>
        <v/>
      </c>
      <c r="T884" s="7" t="n"/>
      <c r="U884" s="7" t="n"/>
      <c r="V884" s="7">
        <f>IF($C884="","",U884*AA884/100)</f>
        <v/>
      </c>
      <c r="W884" s="7">
        <f>IF($C884="","",U884-V884)</f>
        <v/>
      </c>
      <c r="X884" s="7">
        <f>IF($C884="","",W884-N884)</f>
        <v/>
      </c>
      <c r="AA884">
        <f>IF($C884="","",IF($AN884=1,0,IF($AM884=1,Settings!$C$6,Settings!$C$7))*100)</f>
        <v/>
      </c>
      <c r="AE884" s="7" t="n"/>
      <c r="AH884" s="11" t="n"/>
      <c r="AJ884">
        <f>IF($C884="","",$C884&amp;"|"&amp;$D884&amp;"")</f>
        <v/>
      </c>
      <c r="AK884">
        <f>IF($C884="","",IF(COUNTIF($AJ$2:$AJ884,$AJ884)=1,1,0))</f>
        <v/>
      </c>
      <c r="AL884">
        <f>IF($AK884=1,SUMPRODUCT(--($AO$2:$AO$1501&lt;$AO884))+1,"")</f>
        <v/>
      </c>
      <c r="AM884">
        <f>IF($C884="","",IF(OR($Q884=TRUE(),$Q884="TRUE"),1,0))</f>
        <v/>
      </c>
      <c r="AN884">
        <f>IF($C884="","",IF($Z884="Yes",1,0))</f>
        <v/>
      </c>
      <c r="AO884">
        <f>IF($AK884=1,IFERROR(IF(VALUE($C884)&lt;100000000,VALUE($C884),1000000000),IFERROR(IF(VALUE(MID($C884,2,20))&lt;100000000,VALUE(MID($C884,2,20)),1000000000),1000000000))+ROW()/100000,"")</f>
        <v/>
      </c>
    </row>
    <row r="885">
      <c r="F885" s="11" t="n"/>
      <c r="N885" s="7">
        <f>IF($C885="","",M885*U885/100)</f>
        <v/>
      </c>
      <c r="T885" s="7" t="n"/>
      <c r="U885" s="7" t="n"/>
      <c r="V885" s="7">
        <f>IF($C885="","",U885*AA885/100)</f>
        <v/>
      </c>
      <c r="W885" s="7">
        <f>IF($C885="","",U885-V885)</f>
        <v/>
      </c>
      <c r="X885" s="7">
        <f>IF($C885="","",W885-N885)</f>
        <v/>
      </c>
      <c r="AA885">
        <f>IF($C885="","",IF($AN885=1,0,IF($AM885=1,Settings!$C$6,Settings!$C$7))*100)</f>
        <v/>
      </c>
      <c r="AE885" s="7" t="n"/>
      <c r="AH885" s="11" t="n"/>
      <c r="AJ885">
        <f>IF($C885="","",$C885&amp;"|"&amp;$D885&amp;"")</f>
        <v/>
      </c>
      <c r="AK885">
        <f>IF($C885="","",IF(COUNTIF($AJ$2:$AJ885,$AJ885)=1,1,0))</f>
        <v/>
      </c>
      <c r="AL885">
        <f>IF($AK885=1,SUMPRODUCT(--($AO$2:$AO$1501&lt;$AO885))+1,"")</f>
        <v/>
      </c>
      <c r="AM885">
        <f>IF($C885="","",IF(OR($Q885=TRUE(),$Q885="TRUE"),1,0))</f>
        <v/>
      </c>
      <c r="AN885">
        <f>IF($C885="","",IF($Z885="Yes",1,0))</f>
        <v/>
      </c>
      <c r="AO885">
        <f>IF($AK885=1,IFERROR(IF(VALUE($C885)&lt;100000000,VALUE($C885),1000000000),IFERROR(IF(VALUE(MID($C885,2,20))&lt;100000000,VALUE(MID($C885,2,20)),1000000000),1000000000))+ROW()/100000,"")</f>
        <v/>
      </c>
    </row>
    <row r="886">
      <c r="F886" s="11" t="n"/>
      <c r="N886" s="7">
        <f>IF($C886="","",M886*U886/100)</f>
        <v/>
      </c>
      <c r="T886" s="7" t="n"/>
      <c r="U886" s="7" t="n"/>
      <c r="V886" s="7">
        <f>IF($C886="","",U886*AA886/100)</f>
        <v/>
      </c>
      <c r="W886" s="7">
        <f>IF($C886="","",U886-V886)</f>
        <v/>
      </c>
      <c r="X886" s="7">
        <f>IF($C886="","",W886-N886)</f>
        <v/>
      </c>
      <c r="AA886">
        <f>IF($C886="","",IF($AN886=1,0,IF($AM886=1,Settings!$C$6,Settings!$C$7))*100)</f>
        <v/>
      </c>
      <c r="AE886" s="7" t="n"/>
      <c r="AH886" s="11" t="n"/>
      <c r="AJ886">
        <f>IF($C886="","",$C886&amp;"|"&amp;$D886&amp;"")</f>
        <v/>
      </c>
      <c r="AK886">
        <f>IF($C886="","",IF(COUNTIF($AJ$2:$AJ886,$AJ886)=1,1,0))</f>
        <v/>
      </c>
      <c r="AL886">
        <f>IF($AK886=1,SUMPRODUCT(--($AO$2:$AO$1501&lt;$AO886))+1,"")</f>
        <v/>
      </c>
      <c r="AM886">
        <f>IF($C886="","",IF(OR($Q886=TRUE(),$Q886="TRUE"),1,0))</f>
        <v/>
      </c>
      <c r="AN886">
        <f>IF($C886="","",IF($Z886="Yes",1,0))</f>
        <v/>
      </c>
      <c r="AO886">
        <f>IF($AK886=1,IFERROR(IF(VALUE($C886)&lt;100000000,VALUE($C886),1000000000),IFERROR(IF(VALUE(MID($C886,2,20))&lt;100000000,VALUE(MID($C886,2,20)),1000000000),1000000000))+ROW()/100000,"")</f>
        <v/>
      </c>
    </row>
    <row r="887">
      <c r="F887" s="11" t="n"/>
      <c r="N887" s="7">
        <f>IF($C887="","",M887*U887/100)</f>
        <v/>
      </c>
      <c r="T887" s="7" t="n"/>
      <c r="U887" s="7" t="n"/>
      <c r="V887" s="7">
        <f>IF($C887="","",U887*AA887/100)</f>
        <v/>
      </c>
      <c r="W887" s="7">
        <f>IF($C887="","",U887-V887)</f>
        <v/>
      </c>
      <c r="X887" s="7">
        <f>IF($C887="","",W887-N887)</f>
        <v/>
      </c>
      <c r="AA887">
        <f>IF($C887="","",IF($AN887=1,0,IF($AM887=1,Settings!$C$6,Settings!$C$7))*100)</f>
        <v/>
      </c>
      <c r="AE887" s="7" t="n"/>
      <c r="AH887" s="11" t="n"/>
      <c r="AJ887">
        <f>IF($C887="","",$C887&amp;"|"&amp;$D887&amp;"")</f>
        <v/>
      </c>
      <c r="AK887">
        <f>IF($C887="","",IF(COUNTIF($AJ$2:$AJ887,$AJ887)=1,1,0))</f>
        <v/>
      </c>
      <c r="AL887">
        <f>IF($AK887=1,SUMPRODUCT(--($AO$2:$AO$1501&lt;$AO887))+1,"")</f>
        <v/>
      </c>
      <c r="AM887">
        <f>IF($C887="","",IF(OR($Q887=TRUE(),$Q887="TRUE"),1,0))</f>
        <v/>
      </c>
      <c r="AN887">
        <f>IF($C887="","",IF($Z887="Yes",1,0))</f>
        <v/>
      </c>
      <c r="AO887">
        <f>IF($AK887=1,IFERROR(IF(VALUE($C887)&lt;100000000,VALUE($C887),1000000000),IFERROR(IF(VALUE(MID($C887,2,20))&lt;100000000,VALUE(MID($C887,2,20)),1000000000),1000000000))+ROW()/100000,"")</f>
        <v/>
      </c>
    </row>
    <row r="888">
      <c r="F888" s="11" t="n"/>
      <c r="N888" s="7">
        <f>IF($C888="","",M888*U888/100)</f>
        <v/>
      </c>
      <c r="T888" s="7" t="n"/>
      <c r="U888" s="7" t="n"/>
      <c r="V888" s="7">
        <f>IF($C888="","",U888*AA888/100)</f>
        <v/>
      </c>
      <c r="W888" s="7">
        <f>IF($C888="","",U888-V888)</f>
        <v/>
      </c>
      <c r="X888" s="7">
        <f>IF($C888="","",W888-N888)</f>
        <v/>
      </c>
      <c r="AA888">
        <f>IF($C888="","",IF($AN888=1,0,IF($AM888=1,Settings!$C$6,Settings!$C$7))*100)</f>
        <v/>
      </c>
      <c r="AE888" s="7" t="n"/>
      <c r="AH888" s="11" t="n"/>
      <c r="AJ888">
        <f>IF($C888="","",$C888&amp;"|"&amp;$D888&amp;"")</f>
        <v/>
      </c>
      <c r="AK888">
        <f>IF($C888="","",IF(COUNTIF($AJ$2:$AJ888,$AJ888)=1,1,0))</f>
        <v/>
      </c>
      <c r="AL888">
        <f>IF($AK888=1,SUMPRODUCT(--($AO$2:$AO$1501&lt;$AO888))+1,"")</f>
        <v/>
      </c>
      <c r="AM888">
        <f>IF($C888="","",IF(OR($Q888=TRUE(),$Q888="TRUE"),1,0))</f>
        <v/>
      </c>
      <c r="AN888">
        <f>IF($C888="","",IF($Z888="Yes",1,0))</f>
        <v/>
      </c>
      <c r="AO888">
        <f>IF($AK888=1,IFERROR(IF(VALUE($C888)&lt;100000000,VALUE($C888),1000000000),IFERROR(IF(VALUE(MID($C888,2,20))&lt;100000000,VALUE(MID($C888,2,20)),1000000000),1000000000))+ROW()/100000,"")</f>
        <v/>
      </c>
    </row>
    <row r="889">
      <c r="F889" s="11" t="n"/>
      <c r="N889" s="7">
        <f>IF($C889="","",M889*U889/100)</f>
        <v/>
      </c>
      <c r="T889" s="7" t="n"/>
      <c r="U889" s="7" t="n"/>
      <c r="V889" s="7">
        <f>IF($C889="","",U889*AA889/100)</f>
        <v/>
      </c>
      <c r="W889" s="7">
        <f>IF($C889="","",U889-V889)</f>
        <v/>
      </c>
      <c r="X889" s="7">
        <f>IF($C889="","",W889-N889)</f>
        <v/>
      </c>
      <c r="AA889">
        <f>IF($C889="","",IF($AN889=1,0,IF($AM889=1,Settings!$C$6,Settings!$C$7))*100)</f>
        <v/>
      </c>
      <c r="AE889" s="7" t="n"/>
      <c r="AH889" s="11" t="n"/>
      <c r="AJ889">
        <f>IF($C889="","",$C889&amp;"|"&amp;$D889&amp;"")</f>
        <v/>
      </c>
      <c r="AK889">
        <f>IF($C889="","",IF(COUNTIF($AJ$2:$AJ889,$AJ889)=1,1,0))</f>
        <v/>
      </c>
      <c r="AL889">
        <f>IF($AK889=1,SUMPRODUCT(--($AO$2:$AO$1501&lt;$AO889))+1,"")</f>
        <v/>
      </c>
      <c r="AM889">
        <f>IF($C889="","",IF(OR($Q889=TRUE(),$Q889="TRUE"),1,0))</f>
        <v/>
      </c>
      <c r="AN889">
        <f>IF($C889="","",IF($Z889="Yes",1,0))</f>
        <v/>
      </c>
      <c r="AO889">
        <f>IF($AK889=1,IFERROR(IF(VALUE($C889)&lt;100000000,VALUE($C889),1000000000),IFERROR(IF(VALUE(MID($C889,2,20))&lt;100000000,VALUE(MID($C889,2,20)),1000000000),1000000000))+ROW()/100000,"")</f>
        <v/>
      </c>
    </row>
    <row r="890">
      <c r="F890" s="11" t="n"/>
      <c r="N890" s="7">
        <f>IF($C890="","",M890*U890/100)</f>
        <v/>
      </c>
      <c r="T890" s="7" t="n"/>
      <c r="U890" s="7" t="n"/>
      <c r="V890" s="7">
        <f>IF($C890="","",U890*AA890/100)</f>
        <v/>
      </c>
      <c r="W890" s="7">
        <f>IF($C890="","",U890-V890)</f>
        <v/>
      </c>
      <c r="X890" s="7">
        <f>IF($C890="","",W890-N890)</f>
        <v/>
      </c>
      <c r="AA890">
        <f>IF($C890="","",IF($AN890=1,0,IF($AM890=1,Settings!$C$6,Settings!$C$7))*100)</f>
        <v/>
      </c>
      <c r="AE890" s="7" t="n"/>
      <c r="AH890" s="11" t="n"/>
      <c r="AJ890">
        <f>IF($C890="","",$C890&amp;"|"&amp;$D890&amp;"")</f>
        <v/>
      </c>
      <c r="AK890">
        <f>IF($C890="","",IF(COUNTIF($AJ$2:$AJ890,$AJ890)=1,1,0))</f>
        <v/>
      </c>
      <c r="AL890">
        <f>IF($AK890=1,SUMPRODUCT(--($AO$2:$AO$1501&lt;$AO890))+1,"")</f>
        <v/>
      </c>
      <c r="AM890">
        <f>IF($C890="","",IF(OR($Q890=TRUE(),$Q890="TRUE"),1,0))</f>
        <v/>
      </c>
      <c r="AN890">
        <f>IF($C890="","",IF($Z890="Yes",1,0))</f>
        <v/>
      </c>
      <c r="AO890">
        <f>IF($AK890=1,IFERROR(IF(VALUE($C890)&lt;100000000,VALUE($C890),1000000000),IFERROR(IF(VALUE(MID($C890,2,20))&lt;100000000,VALUE(MID($C890,2,20)),1000000000),1000000000))+ROW()/100000,"")</f>
        <v/>
      </c>
    </row>
    <row r="891">
      <c r="F891" s="11" t="n"/>
      <c r="N891" s="7">
        <f>IF($C891="","",M891*U891/100)</f>
        <v/>
      </c>
      <c r="T891" s="7" t="n"/>
      <c r="U891" s="7" t="n"/>
      <c r="V891" s="7">
        <f>IF($C891="","",U891*AA891/100)</f>
        <v/>
      </c>
      <c r="W891" s="7">
        <f>IF($C891="","",U891-V891)</f>
        <v/>
      </c>
      <c r="X891" s="7">
        <f>IF($C891="","",W891-N891)</f>
        <v/>
      </c>
      <c r="AA891">
        <f>IF($C891="","",IF($AN891=1,0,IF($AM891=1,Settings!$C$6,Settings!$C$7))*100)</f>
        <v/>
      </c>
      <c r="AE891" s="7" t="n"/>
      <c r="AH891" s="11" t="n"/>
      <c r="AJ891">
        <f>IF($C891="","",$C891&amp;"|"&amp;$D891&amp;"")</f>
        <v/>
      </c>
      <c r="AK891">
        <f>IF($C891="","",IF(COUNTIF($AJ$2:$AJ891,$AJ891)=1,1,0))</f>
        <v/>
      </c>
      <c r="AL891">
        <f>IF($AK891=1,SUMPRODUCT(--($AO$2:$AO$1501&lt;$AO891))+1,"")</f>
        <v/>
      </c>
      <c r="AM891">
        <f>IF($C891="","",IF(OR($Q891=TRUE(),$Q891="TRUE"),1,0))</f>
        <v/>
      </c>
      <c r="AN891">
        <f>IF($C891="","",IF($Z891="Yes",1,0))</f>
        <v/>
      </c>
      <c r="AO891">
        <f>IF($AK891=1,IFERROR(IF(VALUE($C891)&lt;100000000,VALUE($C891),1000000000),IFERROR(IF(VALUE(MID($C891,2,20))&lt;100000000,VALUE(MID($C891,2,20)),1000000000),1000000000))+ROW()/100000,"")</f>
        <v/>
      </c>
    </row>
    <row r="892">
      <c r="F892" s="11" t="n"/>
      <c r="N892" s="7">
        <f>IF($C892="","",M892*U892/100)</f>
        <v/>
      </c>
      <c r="T892" s="7" t="n"/>
      <c r="U892" s="7" t="n"/>
      <c r="V892" s="7">
        <f>IF($C892="","",U892*AA892/100)</f>
        <v/>
      </c>
      <c r="W892" s="7">
        <f>IF($C892="","",U892-V892)</f>
        <v/>
      </c>
      <c r="X892" s="7">
        <f>IF($C892="","",W892-N892)</f>
        <v/>
      </c>
      <c r="AA892">
        <f>IF($C892="","",IF($AN892=1,0,IF($AM892=1,Settings!$C$6,Settings!$C$7))*100)</f>
        <v/>
      </c>
      <c r="AE892" s="7" t="n"/>
      <c r="AH892" s="11" t="n"/>
      <c r="AJ892">
        <f>IF($C892="","",$C892&amp;"|"&amp;$D892&amp;"")</f>
        <v/>
      </c>
      <c r="AK892">
        <f>IF($C892="","",IF(COUNTIF($AJ$2:$AJ892,$AJ892)=1,1,0))</f>
        <v/>
      </c>
      <c r="AL892">
        <f>IF($AK892=1,SUMPRODUCT(--($AO$2:$AO$1501&lt;$AO892))+1,"")</f>
        <v/>
      </c>
      <c r="AM892">
        <f>IF($C892="","",IF(OR($Q892=TRUE(),$Q892="TRUE"),1,0))</f>
        <v/>
      </c>
      <c r="AN892">
        <f>IF($C892="","",IF($Z892="Yes",1,0))</f>
        <v/>
      </c>
      <c r="AO892">
        <f>IF($AK892=1,IFERROR(IF(VALUE($C892)&lt;100000000,VALUE($C892),1000000000),IFERROR(IF(VALUE(MID($C892,2,20))&lt;100000000,VALUE(MID($C892,2,20)),1000000000),1000000000))+ROW()/100000,"")</f>
        <v/>
      </c>
    </row>
    <row r="893">
      <c r="F893" s="11" t="n"/>
      <c r="N893" s="7">
        <f>IF($C893="","",M893*U893/100)</f>
        <v/>
      </c>
      <c r="T893" s="7" t="n"/>
      <c r="U893" s="7" t="n"/>
      <c r="V893" s="7">
        <f>IF($C893="","",U893*AA893/100)</f>
        <v/>
      </c>
      <c r="W893" s="7">
        <f>IF($C893="","",U893-V893)</f>
        <v/>
      </c>
      <c r="X893" s="7">
        <f>IF($C893="","",W893-N893)</f>
        <v/>
      </c>
      <c r="AA893">
        <f>IF($C893="","",IF($AN893=1,0,IF($AM893=1,Settings!$C$6,Settings!$C$7))*100)</f>
        <v/>
      </c>
      <c r="AE893" s="7" t="n"/>
      <c r="AH893" s="11" t="n"/>
      <c r="AJ893">
        <f>IF($C893="","",$C893&amp;"|"&amp;$D893&amp;"")</f>
        <v/>
      </c>
      <c r="AK893">
        <f>IF($C893="","",IF(COUNTIF($AJ$2:$AJ893,$AJ893)=1,1,0))</f>
        <v/>
      </c>
      <c r="AL893">
        <f>IF($AK893=1,SUMPRODUCT(--($AO$2:$AO$1501&lt;$AO893))+1,"")</f>
        <v/>
      </c>
      <c r="AM893">
        <f>IF($C893="","",IF(OR($Q893=TRUE(),$Q893="TRUE"),1,0))</f>
        <v/>
      </c>
      <c r="AN893">
        <f>IF($C893="","",IF($Z893="Yes",1,0))</f>
        <v/>
      </c>
      <c r="AO893">
        <f>IF($AK893=1,IFERROR(IF(VALUE($C893)&lt;100000000,VALUE($C893),1000000000),IFERROR(IF(VALUE(MID($C893,2,20))&lt;100000000,VALUE(MID($C893,2,20)),1000000000),1000000000))+ROW()/100000,"")</f>
        <v/>
      </c>
    </row>
    <row r="894">
      <c r="F894" s="11" t="n"/>
      <c r="N894" s="7">
        <f>IF($C894="","",M894*U894/100)</f>
        <v/>
      </c>
      <c r="T894" s="7" t="n"/>
      <c r="U894" s="7" t="n"/>
      <c r="V894" s="7">
        <f>IF($C894="","",U894*AA894/100)</f>
        <v/>
      </c>
      <c r="W894" s="7">
        <f>IF($C894="","",U894-V894)</f>
        <v/>
      </c>
      <c r="X894" s="7">
        <f>IF($C894="","",W894-N894)</f>
        <v/>
      </c>
      <c r="AA894">
        <f>IF($C894="","",IF($AN894=1,0,IF($AM894=1,Settings!$C$6,Settings!$C$7))*100)</f>
        <v/>
      </c>
      <c r="AE894" s="7" t="n"/>
      <c r="AH894" s="11" t="n"/>
      <c r="AJ894">
        <f>IF($C894="","",$C894&amp;"|"&amp;$D894&amp;"")</f>
        <v/>
      </c>
      <c r="AK894">
        <f>IF($C894="","",IF(COUNTIF($AJ$2:$AJ894,$AJ894)=1,1,0))</f>
        <v/>
      </c>
      <c r="AL894">
        <f>IF($AK894=1,SUMPRODUCT(--($AO$2:$AO$1501&lt;$AO894))+1,"")</f>
        <v/>
      </c>
      <c r="AM894">
        <f>IF($C894="","",IF(OR($Q894=TRUE(),$Q894="TRUE"),1,0))</f>
        <v/>
      </c>
      <c r="AN894">
        <f>IF($C894="","",IF($Z894="Yes",1,0))</f>
        <v/>
      </c>
      <c r="AO894">
        <f>IF($AK894=1,IFERROR(IF(VALUE($C894)&lt;100000000,VALUE($C894),1000000000),IFERROR(IF(VALUE(MID($C894,2,20))&lt;100000000,VALUE(MID($C894,2,20)),1000000000),1000000000))+ROW()/100000,"")</f>
        <v/>
      </c>
    </row>
    <row r="895">
      <c r="F895" s="11" t="n"/>
      <c r="N895" s="7">
        <f>IF($C895="","",M895*U895/100)</f>
        <v/>
      </c>
      <c r="T895" s="7" t="n"/>
      <c r="U895" s="7" t="n"/>
      <c r="V895" s="7">
        <f>IF($C895="","",U895*AA895/100)</f>
        <v/>
      </c>
      <c r="W895" s="7">
        <f>IF($C895="","",U895-V895)</f>
        <v/>
      </c>
      <c r="X895" s="7">
        <f>IF($C895="","",W895-N895)</f>
        <v/>
      </c>
      <c r="AA895">
        <f>IF($C895="","",IF($AN895=1,0,IF($AM895=1,Settings!$C$6,Settings!$C$7))*100)</f>
        <v/>
      </c>
      <c r="AE895" s="7" t="n"/>
      <c r="AH895" s="11" t="n"/>
      <c r="AJ895">
        <f>IF($C895="","",$C895&amp;"|"&amp;$D895&amp;"")</f>
        <v/>
      </c>
      <c r="AK895">
        <f>IF($C895="","",IF(COUNTIF($AJ$2:$AJ895,$AJ895)=1,1,0))</f>
        <v/>
      </c>
      <c r="AL895">
        <f>IF($AK895=1,SUMPRODUCT(--($AO$2:$AO$1501&lt;$AO895))+1,"")</f>
        <v/>
      </c>
      <c r="AM895">
        <f>IF($C895="","",IF(OR($Q895=TRUE(),$Q895="TRUE"),1,0))</f>
        <v/>
      </c>
      <c r="AN895">
        <f>IF($C895="","",IF($Z895="Yes",1,0))</f>
        <v/>
      </c>
      <c r="AO895">
        <f>IF($AK895=1,IFERROR(IF(VALUE($C895)&lt;100000000,VALUE($C895),1000000000),IFERROR(IF(VALUE(MID($C895,2,20))&lt;100000000,VALUE(MID($C895,2,20)),1000000000),1000000000))+ROW()/100000,"")</f>
        <v/>
      </c>
    </row>
    <row r="896">
      <c r="F896" s="11" t="n"/>
      <c r="N896" s="7">
        <f>IF($C896="","",M896*U896/100)</f>
        <v/>
      </c>
      <c r="T896" s="7" t="n"/>
      <c r="U896" s="7" t="n"/>
      <c r="V896" s="7">
        <f>IF($C896="","",U896*AA896/100)</f>
        <v/>
      </c>
      <c r="W896" s="7">
        <f>IF($C896="","",U896-V896)</f>
        <v/>
      </c>
      <c r="X896" s="7">
        <f>IF($C896="","",W896-N896)</f>
        <v/>
      </c>
      <c r="AA896">
        <f>IF($C896="","",IF($AN896=1,0,IF($AM896=1,Settings!$C$6,Settings!$C$7))*100)</f>
        <v/>
      </c>
      <c r="AE896" s="7" t="n"/>
      <c r="AH896" s="11" t="n"/>
      <c r="AJ896">
        <f>IF($C896="","",$C896&amp;"|"&amp;$D896&amp;"")</f>
        <v/>
      </c>
      <c r="AK896">
        <f>IF($C896="","",IF(COUNTIF($AJ$2:$AJ896,$AJ896)=1,1,0))</f>
        <v/>
      </c>
      <c r="AL896">
        <f>IF($AK896=1,SUMPRODUCT(--($AO$2:$AO$1501&lt;$AO896))+1,"")</f>
        <v/>
      </c>
      <c r="AM896">
        <f>IF($C896="","",IF(OR($Q896=TRUE(),$Q896="TRUE"),1,0))</f>
        <v/>
      </c>
      <c r="AN896">
        <f>IF($C896="","",IF($Z896="Yes",1,0))</f>
        <v/>
      </c>
      <c r="AO896">
        <f>IF($AK896=1,IFERROR(IF(VALUE($C896)&lt;100000000,VALUE($C896),1000000000),IFERROR(IF(VALUE(MID($C896,2,20))&lt;100000000,VALUE(MID($C896,2,20)),1000000000),1000000000))+ROW()/100000,"")</f>
        <v/>
      </c>
    </row>
    <row r="897">
      <c r="F897" s="11" t="n"/>
      <c r="N897" s="7">
        <f>IF($C897="","",M897*U897/100)</f>
        <v/>
      </c>
      <c r="T897" s="7" t="n"/>
      <c r="U897" s="7" t="n"/>
      <c r="V897" s="7">
        <f>IF($C897="","",U897*AA897/100)</f>
        <v/>
      </c>
      <c r="W897" s="7">
        <f>IF($C897="","",U897-V897)</f>
        <v/>
      </c>
      <c r="X897" s="7">
        <f>IF($C897="","",W897-N897)</f>
        <v/>
      </c>
      <c r="AA897">
        <f>IF($C897="","",IF($AN897=1,0,IF($AM897=1,Settings!$C$6,Settings!$C$7))*100)</f>
        <v/>
      </c>
      <c r="AE897" s="7" t="n"/>
      <c r="AH897" s="11" t="n"/>
      <c r="AJ897">
        <f>IF($C897="","",$C897&amp;"|"&amp;$D897&amp;"")</f>
        <v/>
      </c>
      <c r="AK897">
        <f>IF($C897="","",IF(COUNTIF($AJ$2:$AJ897,$AJ897)=1,1,0))</f>
        <v/>
      </c>
      <c r="AL897">
        <f>IF($AK897=1,SUMPRODUCT(--($AO$2:$AO$1501&lt;$AO897))+1,"")</f>
        <v/>
      </c>
      <c r="AM897">
        <f>IF($C897="","",IF(OR($Q897=TRUE(),$Q897="TRUE"),1,0))</f>
        <v/>
      </c>
      <c r="AN897">
        <f>IF($C897="","",IF($Z897="Yes",1,0))</f>
        <v/>
      </c>
      <c r="AO897">
        <f>IF($AK897=1,IFERROR(IF(VALUE($C897)&lt;100000000,VALUE($C897),1000000000),IFERROR(IF(VALUE(MID($C897,2,20))&lt;100000000,VALUE(MID($C897,2,20)),1000000000),1000000000))+ROW()/100000,"")</f>
        <v/>
      </c>
    </row>
    <row r="898">
      <c r="F898" s="11" t="n"/>
      <c r="N898" s="7">
        <f>IF($C898="","",M898*U898/100)</f>
        <v/>
      </c>
      <c r="T898" s="7" t="n"/>
      <c r="U898" s="7" t="n"/>
      <c r="V898" s="7">
        <f>IF($C898="","",U898*AA898/100)</f>
        <v/>
      </c>
      <c r="W898" s="7">
        <f>IF($C898="","",U898-V898)</f>
        <v/>
      </c>
      <c r="X898" s="7">
        <f>IF($C898="","",W898-N898)</f>
        <v/>
      </c>
      <c r="AA898">
        <f>IF($C898="","",IF($AN898=1,0,IF($AM898=1,Settings!$C$6,Settings!$C$7))*100)</f>
        <v/>
      </c>
      <c r="AE898" s="7" t="n"/>
      <c r="AH898" s="11" t="n"/>
      <c r="AJ898">
        <f>IF($C898="","",$C898&amp;"|"&amp;$D898&amp;"")</f>
        <v/>
      </c>
      <c r="AK898">
        <f>IF($C898="","",IF(COUNTIF($AJ$2:$AJ898,$AJ898)=1,1,0))</f>
        <v/>
      </c>
      <c r="AL898">
        <f>IF($AK898=1,SUMPRODUCT(--($AO$2:$AO$1501&lt;$AO898))+1,"")</f>
        <v/>
      </c>
      <c r="AM898">
        <f>IF($C898="","",IF(OR($Q898=TRUE(),$Q898="TRUE"),1,0))</f>
        <v/>
      </c>
      <c r="AN898">
        <f>IF($C898="","",IF($Z898="Yes",1,0))</f>
        <v/>
      </c>
      <c r="AO898">
        <f>IF($AK898=1,IFERROR(IF(VALUE($C898)&lt;100000000,VALUE($C898),1000000000),IFERROR(IF(VALUE(MID($C898,2,20))&lt;100000000,VALUE(MID($C898,2,20)),1000000000),1000000000))+ROW()/100000,"")</f>
        <v/>
      </c>
    </row>
    <row r="899">
      <c r="F899" s="11" t="n"/>
      <c r="N899" s="7">
        <f>IF($C899="","",M899*U899/100)</f>
        <v/>
      </c>
      <c r="T899" s="7" t="n"/>
      <c r="U899" s="7" t="n"/>
      <c r="V899" s="7">
        <f>IF($C899="","",U899*AA899/100)</f>
        <v/>
      </c>
      <c r="W899" s="7">
        <f>IF($C899="","",U899-V899)</f>
        <v/>
      </c>
      <c r="X899" s="7">
        <f>IF($C899="","",W899-N899)</f>
        <v/>
      </c>
      <c r="AA899">
        <f>IF($C899="","",IF($AN899=1,0,IF($AM899=1,Settings!$C$6,Settings!$C$7))*100)</f>
        <v/>
      </c>
      <c r="AE899" s="7" t="n"/>
      <c r="AH899" s="11" t="n"/>
      <c r="AJ899">
        <f>IF($C899="","",$C899&amp;"|"&amp;$D899&amp;"")</f>
        <v/>
      </c>
      <c r="AK899">
        <f>IF($C899="","",IF(COUNTIF($AJ$2:$AJ899,$AJ899)=1,1,0))</f>
        <v/>
      </c>
      <c r="AL899">
        <f>IF($AK899=1,SUMPRODUCT(--($AO$2:$AO$1501&lt;$AO899))+1,"")</f>
        <v/>
      </c>
      <c r="AM899">
        <f>IF($C899="","",IF(OR($Q899=TRUE(),$Q899="TRUE"),1,0))</f>
        <v/>
      </c>
      <c r="AN899">
        <f>IF($C899="","",IF($Z899="Yes",1,0))</f>
        <v/>
      </c>
      <c r="AO899">
        <f>IF($AK899=1,IFERROR(IF(VALUE($C899)&lt;100000000,VALUE($C899),1000000000),IFERROR(IF(VALUE(MID($C899,2,20))&lt;100000000,VALUE(MID($C899,2,20)),1000000000),1000000000))+ROW()/100000,"")</f>
        <v/>
      </c>
    </row>
    <row r="900">
      <c r="F900" s="11" t="n"/>
      <c r="N900" s="7">
        <f>IF($C900="","",M900*U900/100)</f>
        <v/>
      </c>
      <c r="T900" s="7" t="n"/>
      <c r="U900" s="7" t="n"/>
      <c r="V900" s="7">
        <f>IF($C900="","",U900*AA900/100)</f>
        <v/>
      </c>
      <c r="W900" s="7">
        <f>IF($C900="","",U900-V900)</f>
        <v/>
      </c>
      <c r="X900" s="7">
        <f>IF($C900="","",W900-N900)</f>
        <v/>
      </c>
      <c r="AA900">
        <f>IF($C900="","",IF($AN900=1,0,IF($AM900=1,Settings!$C$6,Settings!$C$7))*100)</f>
        <v/>
      </c>
      <c r="AE900" s="7" t="n"/>
      <c r="AH900" s="11" t="n"/>
      <c r="AJ900">
        <f>IF($C900="","",$C900&amp;"|"&amp;$D900&amp;"")</f>
        <v/>
      </c>
      <c r="AK900">
        <f>IF($C900="","",IF(COUNTIF($AJ$2:$AJ900,$AJ900)=1,1,0))</f>
        <v/>
      </c>
      <c r="AL900">
        <f>IF($AK900=1,SUMPRODUCT(--($AO$2:$AO$1501&lt;$AO900))+1,"")</f>
        <v/>
      </c>
      <c r="AM900">
        <f>IF($C900="","",IF(OR($Q900=TRUE(),$Q900="TRUE"),1,0))</f>
        <v/>
      </c>
      <c r="AN900">
        <f>IF($C900="","",IF($Z900="Yes",1,0))</f>
        <v/>
      </c>
      <c r="AO900">
        <f>IF($AK900=1,IFERROR(IF(VALUE($C900)&lt;100000000,VALUE($C900),1000000000),IFERROR(IF(VALUE(MID($C900,2,20))&lt;100000000,VALUE(MID($C900,2,20)),1000000000),1000000000))+ROW()/100000,"")</f>
        <v/>
      </c>
    </row>
    <row r="901">
      <c r="F901" s="11" t="n"/>
      <c r="N901" s="7">
        <f>IF($C901="","",M901*U901/100)</f>
        <v/>
      </c>
      <c r="T901" s="7" t="n"/>
      <c r="U901" s="7" t="n"/>
      <c r="V901" s="7">
        <f>IF($C901="","",U901*AA901/100)</f>
        <v/>
      </c>
      <c r="W901" s="7">
        <f>IF($C901="","",U901-V901)</f>
        <v/>
      </c>
      <c r="X901" s="7">
        <f>IF($C901="","",W901-N901)</f>
        <v/>
      </c>
      <c r="AA901">
        <f>IF($C901="","",IF($AN901=1,0,IF($AM901=1,Settings!$C$6,Settings!$C$7))*100)</f>
        <v/>
      </c>
      <c r="AE901" s="7" t="n"/>
      <c r="AH901" s="11" t="n"/>
      <c r="AJ901">
        <f>IF($C901="","",$C901&amp;"|"&amp;$D901&amp;"")</f>
        <v/>
      </c>
      <c r="AK901">
        <f>IF($C901="","",IF(COUNTIF($AJ$2:$AJ901,$AJ901)=1,1,0))</f>
        <v/>
      </c>
      <c r="AL901">
        <f>IF($AK901=1,SUMPRODUCT(--($AO$2:$AO$1501&lt;$AO901))+1,"")</f>
        <v/>
      </c>
      <c r="AM901">
        <f>IF($C901="","",IF(OR($Q901=TRUE(),$Q901="TRUE"),1,0))</f>
        <v/>
      </c>
      <c r="AN901">
        <f>IF($C901="","",IF($Z901="Yes",1,0))</f>
        <v/>
      </c>
      <c r="AO901">
        <f>IF($AK901=1,IFERROR(IF(VALUE($C901)&lt;100000000,VALUE($C901),1000000000),IFERROR(IF(VALUE(MID($C901,2,20))&lt;100000000,VALUE(MID($C901,2,20)),1000000000),1000000000))+ROW()/100000,"")</f>
        <v/>
      </c>
    </row>
    <row r="902">
      <c r="F902" s="11" t="n"/>
      <c r="N902" s="7">
        <f>IF($C902="","",M902*U902/100)</f>
        <v/>
      </c>
      <c r="T902" s="7" t="n"/>
      <c r="U902" s="7" t="n"/>
      <c r="V902" s="7">
        <f>IF($C902="","",U902*AA902/100)</f>
        <v/>
      </c>
      <c r="W902" s="7">
        <f>IF($C902="","",U902-V902)</f>
        <v/>
      </c>
      <c r="X902" s="7">
        <f>IF($C902="","",W902-N902)</f>
        <v/>
      </c>
      <c r="AA902">
        <f>IF($C902="","",IF($AN902=1,0,IF($AM902=1,Settings!$C$6,Settings!$C$7))*100)</f>
        <v/>
      </c>
      <c r="AE902" s="7" t="n"/>
      <c r="AH902" s="11" t="n"/>
      <c r="AJ902">
        <f>IF($C902="","",$C902&amp;"|"&amp;$D902&amp;"")</f>
        <v/>
      </c>
      <c r="AK902">
        <f>IF($C902="","",IF(COUNTIF($AJ$2:$AJ902,$AJ902)=1,1,0))</f>
        <v/>
      </c>
      <c r="AL902">
        <f>IF($AK902=1,SUMPRODUCT(--($AO$2:$AO$1501&lt;$AO902))+1,"")</f>
        <v/>
      </c>
      <c r="AM902">
        <f>IF($C902="","",IF(OR($Q902=TRUE(),$Q902="TRUE"),1,0))</f>
        <v/>
      </c>
      <c r="AN902">
        <f>IF($C902="","",IF($Z902="Yes",1,0))</f>
        <v/>
      </c>
      <c r="AO902">
        <f>IF($AK902=1,IFERROR(IF(VALUE($C902)&lt;100000000,VALUE($C902),1000000000),IFERROR(IF(VALUE(MID($C902,2,20))&lt;100000000,VALUE(MID($C902,2,20)),1000000000),1000000000))+ROW()/100000,"")</f>
        <v/>
      </c>
    </row>
    <row r="903">
      <c r="F903" s="11" t="n"/>
      <c r="N903" s="7">
        <f>IF($C903="","",M903*U903/100)</f>
        <v/>
      </c>
      <c r="T903" s="7" t="n"/>
      <c r="U903" s="7" t="n"/>
      <c r="V903" s="7">
        <f>IF($C903="","",U903*AA903/100)</f>
        <v/>
      </c>
      <c r="W903" s="7">
        <f>IF($C903="","",U903-V903)</f>
        <v/>
      </c>
      <c r="X903" s="7">
        <f>IF($C903="","",W903-N903)</f>
        <v/>
      </c>
      <c r="AA903">
        <f>IF($C903="","",IF($AN903=1,0,IF($AM903=1,Settings!$C$6,Settings!$C$7))*100)</f>
        <v/>
      </c>
      <c r="AE903" s="7" t="n"/>
      <c r="AH903" s="11" t="n"/>
      <c r="AJ903">
        <f>IF($C903="","",$C903&amp;"|"&amp;$D903&amp;"")</f>
        <v/>
      </c>
      <c r="AK903">
        <f>IF($C903="","",IF(COUNTIF($AJ$2:$AJ903,$AJ903)=1,1,0))</f>
        <v/>
      </c>
      <c r="AL903">
        <f>IF($AK903=1,SUMPRODUCT(--($AO$2:$AO$1501&lt;$AO903))+1,"")</f>
        <v/>
      </c>
      <c r="AM903">
        <f>IF($C903="","",IF(OR($Q903=TRUE(),$Q903="TRUE"),1,0))</f>
        <v/>
      </c>
      <c r="AN903">
        <f>IF($C903="","",IF($Z903="Yes",1,0))</f>
        <v/>
      </c>
      <c r="AO903">
        <f>IF($AK903=1,IFERROR(IF(VALUE($C903)&lt;100000000,VALUE($C903),1000000000),IFERROR(IF(VALUE(MID($C903,2,20))&lt;100000000,VALUE(MID($C903,2,20)),1000000000),1000000000))+ROW()/100000,"")</f>
        <v/>
      </c>
    </row>
    <row r="904">
      <c r="F904" s="11" t="n"/>
      <c r="N904" s="7">
        <f>IF($C904="","",M904*U904/100)</f>
        <v/>
      </c>
      <c r="T904" s="7" t="n"/>
      <c r="U904" s="7" t="n"/>
      <c r="V904" s="7">
        <f>IF($C904="","",U904*AA904/100)</f>
        <v/>
      </c>
      <c r="W904" s="7">
        <f>IF($C904="","",U904-V904)</f>
        <v/>
      </c>
      <c r="X904" s="7">
        <f>IF($C904="","",W904-N904)</f>
        <v/>
      </c>
      <c r="AA904">
        <f>IF($C904="","",IF($AN904=1,0,IF($AM904=1,Settings!$C$6,Settings!$C$7))*100)</f>
        <v/>
      </c>
      <c r="AE904" s="7" t="n"/>
      <c r="AH904" s="11" t="n"/>
      <c r="AJ904">
        <f>IF($C904="","",$C904&amp;"|"&amp;$D904&amp;"")</f>
        <v/>
      </c>
      <c r="AK904">
        <f>IF($C904="","",IF(COUNTIF($AJ$2:$AJ904,$AJ904)=1,1,0))</f>
        <v/>
      </c>
      <c r="AL904">
        <f>IF($AK904=1,SUMPRODUCT(--($AO$2:$AO$1501&lt;$AO904))+1,"")</f>
        <v/>
      </c>
      <c r="AM904">
        <f>IF($C904="","",IF(OR($Q904=TRUE(),$Q904="TRUE"),1,0))</f>
        <v/>
      </c>
      <c r="AN904">
        <f>IF($C904="","",IF($Z904="Yes",1,0))</f>
        <v/>
      </c>
      <c r="AO904">
        <f>IF($AK904=1,IFERROR(IF(VALUE($C904)&lt;100000000,VALUE($C904),1000000000),IFERROR(IF(VALUE(MID($C904,2,20))&lt;100000000,VALUE(MID($C904,2,20)),1000000000),1000000000))+ROW()/100000,"")</f>
        <v/>
      </c>
    </row>
    <row r="905">
      <c r="F905" s="11" t="n"/>
      <c r="N905" s="7">
        <f>IF($C905="","",M905*U905/100)</f>
        <v/>
      </c>
      <c r="T905" s="7" t="n"/>
      <c r="U905" s="7" t="n"/>
      <c r="V905" s="7">
        <f>IF($C905="","",U905*AA905/100)</f>
        <v/>
      </c>
      <c r="W905" s="7">
        <f>IF($C905="","",U905-V905)</f>
        <v/>
      </c>
      <c r="X905" s="7">
        <f>IF($C905="","",W905-N905)</f>
        <v/>
      </c>
      <c r="AA905">
        <f>IF($C905="","",IF($AN905=1,0,IF($AM905=1,Settings!$C$6,Settings!$C$7))*100)</f>
        <v/>
      </c>
      <c r="AE905" s="7" t="n"/>
      <c r="AH905" s="11" t="n"/>
      <c r="AJ905">
        <f>IF($C905="","",$C905&amp;"|"&amp;$D905&amp;"")</f>
        <v/>
      </c>
      <c r="AK905">
        <f>IF($C905="","",IF(COUNTIF($AJ$2:$AJ905,$AJ905)=1,1,0))</f>
        <v/>
      </c>
      <c r="AL905">
        <f>IF($AK905=1,SUMPRODUCT(--($AO$2:$AO$1501&lt;$AO905))+1,"")</f>
        <v/>
      </c>
      <c r="AM905">
        <f>IF($C905="","",IF(OR($Q905=TRUE(),$Q905="TRUE"),1,0))</f>
        <v/>
      </c>
      <c r="AN905">
        <f>IF($C905="","",IF($Z905="Yes",1,0))</f>
        <v/>
      </c>
      <c r="AO905">
        <f>IF($AK905=1,IFERROR(IF(VALUE($C905)&lt;100000000,VALUE($C905),1000000000),IFERROR(IF(VALUE(MID($C905,2,20))&lt;100000000,VALUE(MID($C905,2,20)),1000000000),1000000000))+ROW()/100000,"")</f>
        <v/>
      </c>
    </row>
    <row r="906">
      <c r="F906" s="11" t="n"/>
      <c r="N906" s="7">
        <f>IF($C906="","",M906*U906/100)</f>
        <v/>
      </c>
      <c r="T906" s="7" t="n"/>
      <c r="U906" s="7" t="n"/>
      <c r="V906" s="7">
        <f>IF($C906="","",U906*AA906/100)</f>
        <v/>
      </c>
      <c r="W906" s="7">
        <f>IF($C906="","",U906-V906)</f>
        <v/>
      </c>
      <c r="X906" s="7">
        <f>IF($C906="","",W906-N906)</f>
        <v/>
      </c>
      <c r="AA906">
        <f>IF($C906="","",IF($AN906=1,0,IF($AM906=1,Settings!$C$6,Settings!$C$7))*100)</f>
        <v/>
      </c>
      <c r="AE906" s="7" t="n"/>
      <c r="AH906" s="11" t="n"/>
      <c r="AJ906">
        <f>IF($C906="","",$C906&amp;"|"&amp;$D906&amp;"")</f>
        <v/>
      </c>
      <c r="AK906">
        <f>IF($C906="","",IF(COUNTIF($AJ$2:$AJ906,$AJ906)=1,1,0))</f>
        <v/>
      </c>
      <c r="AL906">
        <f>IF($AK906=1,SUMPRODUCT(--($AO$2:$AO$1501&lt;$AO906))+1,"")</f>
        <v/>
      </c>
      <c r="AM906">
        <f>IF($C906="","",IF(OR($Q906=TRUE(),$Q906="TRUE"),1,0))</f>
        <v/>
      </c>
      <c r="AN906">
        <f>IF($C906="","",IF($Z906="Yes",1,0))</f>
        <v/>
      </c>
      <c r="AO906">
        <f>IF($AK906=1,IFERROR(IF(VALUE($C906)&lt;100000000,VALUE($C906),1000000000),IFERROR(IF(VALUE(MID($C906,2,20))&lt;100000000,VALUE(MID($C906,2,20)),1000000000),1000000000))+ROW()/100000,"")</f>
        <v/>
      </c>
    </row>
    <row r="907">
      <c r="F907" s="11" t="n"/>
      <c r="N907" s="7">
        <f>IF($C907="","",M907*U907/100)</f>
        <v/>
      </c>
      <c r="T907" s="7" t="n"/>
      <c r="U907" s="7" t="n"/>
      <c r="V907" s="7">
        <f>IF($C907="","",U907*AA907/100)</f>
        <v/>
      </c>
      <c r="W907" s="7">
        <f>IF($C907="","",U907-V907)</f>
        <v/>
      </c>
      <c r="X907" s="7">
        <f>IF($C907="","",W907-N907)</f>
        <v/>
      </c>
      <c r="AA907">
        <f>IF($C907="","",IF($AN907=1,0,IF($AM907=1,Settings!$C$6,Settings!$C$7))*100)</f>
        <v/>
      </c>
      <c r="AE907" s="7" t="n"/>
      <c r="AH907" s="11" t="n"/>
      <c r="AJ907">
        <f>IF($C907="","",$C907&amp;"|"&amp;$D907&amp;"")</f>
        <v/>
      </c>
      <c r="AK907">
        <f>IF($C907="","",IF(COUNTIF($AJ$2:$AJ907,$AJ907)=1,1,0))</f>
        <v/>
      </c>
      <c r="AL907">
        <f>IF($AK907=1,SUMPRODUCT(--($AO$2:$AO$1501&lt;$AO907))+1,"")</f>
        <v/>
      </c>
      <c r="AM907">
        <f>IF($C907="","",IF(OR($Q907=TRUE(),$Q907="TRUE"),1,0))</f>
        <v/>
      </c>
      <c r="AN907">
        <f>IF($C907="","",IF($Z907="Yes",1,0))</f>
        <v/>
      </c>
      <c r="AO907">
        <f>IF($AK907=1,IFERROR(IF(VALUE($C907)&lt;100000000,VALUE($C907),1000000000),IFERROR(IF(VALUE(MID($C907,2,20))&lt;100000000,VALUE(MID($C907,2,20)),1000000000),1000000000))+ROW()/100000,"")</f>
        <v/>
      </c>
    </row>
    <row r="908">
      <c r="F908" s="11" t="n"/>
      <c r="N908" s="7">
        <f>IF($C908="","",M908*U908/100)</f>
        <v/>
      </c>
      <c r="T908" s="7" t="n"/>
      <c r="U908" s="7" t="n"/>
      <c r="V908" s="7">
        <f>IF($C908="","",U908*AA908/100)</f>
        <v/>
      </c>
      <c r="W908" s="7">
        <f>IF($C908="","",U908-V908)</f>
        <v/>
      </c>
      <c r="X908" s="7">
        <f>IF($C908="","",W908-N908)</f>
        <v/>
      </c>
      <c r="AA908">
        <f>IF($C908="","",IF($AN908=1,0,IF($AM908=1,Settings!$C$6,Settings!$C$7))*100)</f>
        <v/>
      </c>
      <c r="AE908" s="7" t="n"/>
      <c r="AH908" s="11" t="n"/>
      <c r="AJ908">
        <f>IF($C908="","",$C908&amp;"|"&amp;$D908&amp;"")</f>
        <v/>
      </c>
      <c r="AK908">
        <f>IF($C908="","",IF(COUNTIF($AJ$2:$AJ908,$AJ908)=1,1,0))</f>
        <v/>
      </c>
      <c r="AL908">
        <f>IF($AK908=1,SUMPRODUCT(--($AO$2:$AO$1501&lt;$AO908))+1,"")</f>
        <v/>
      </c>
      <c r="AM908">
        <f>IF($C908="","",IF(OR($Q908=TRUE(),$Q908="TRUE"),1,0))</f>
        <v/>
      </c>
      <c r="AN908">
        <f>IF($C908="","",IF($Z908="Yes",1,0))</f>
        <v/>
      </c>
      <c r="AO908">
        <f>IF($AK908=1,IFERROR(IF(VALUE($C908)&lt;100000000,VALUE($C908),1000000000),IFERROR(IF(VALUE(MID($C908,2,20))&lt;100000000,VALUE(MID($C908,2,20)),1000000000),1000000000))+ROW()/100000,"")</f>
        <v/>
      </c>
    </row>
    <row r="909">
      <c r="F909" s="11" t="n"/>
      <c r="N909" s="7">
        <f>IF($C909="","",M909*U909/100)</f>
        <v/>
      </c>
      <c r="T909" s="7" t="n"/>
      <c r="U909" s="7" t="n"/>
      <c r="V909" s="7">
        <f>IF($C909="","",U909*AA909/100)</f>
        <v/>
      </c>
      <c r="W909" s="7">
        <f>IF($C909="","",U909-V909)</f>
        <v/>
      </c>
      <c r="X909" s="7">
        <f>IF($C909="","",W909-N909)</f>
        <v/>
      </c>
      <c r="AA909">
        <f>IF($C909="","",IF($AN909=1,0,IF($AM909=1,Settings!$C$6,Settings!$C$7))*100)</f>
        <v/>
      </c>
      <c r="AE909" s="7" t="n"/>
      <c r="AH909" s="11" t="n"/>
      <c r="AJ909">
        <f>IF($C909="","",$C909&amp;"|"&amp;$D909&amp;"")</f>
        <v/>
      </c>
      <c r="AK909">
        <f>IF($C909="","",IF(COUNTIF($AJ$2:$AJ909,$AJ909)=1,1,0))</f>
        <v/>
      </c>
      <c r="AL909">
        <f>IF($AK909=1,SUMPRODUCT(--($AO$2:$AO$1501&lt;$AO909))+1,"")</f>
        <v/>
      </c>
      <c r="AM909">
        <f>IF($C909="","",IF(OR($Q909=TRUE(),$Q909="TRUE"),1,0))</f>
        <v/>
      </c>
      <c r="AN909">
        <f>IF($C909="","",IF($Z909="Yes",1,0))</f>
        <v/>
      </c>
      <c r="AO909">
        <f>IF($AK909=1,IFERROR(IF(VALUE($C909)&lt;100000000,VALUE($C909),1000000000),IFERROR(IF(VALUE(MID($C909,2,20))&lt;100000000,VALUE(MID($C909,2,20)),1000000000),1000000000))+ROW()/100000,"")</f>
        <v/>
      </c>
    </row>
    <row r="910">
      <c r="F910" s="11" t="n"/>
      <c r="N910" s="7">
        <f>IF($C910="","",M910*U910/100)</f>
        <v/>
      </c>
      <c r="T910" s="7" t="n"/>
      <c r="U910" s="7" t="n"/>
      <c r="V910" s="7">
        <f>IF($C910="","",U910*AA910/100)</f>
        <v/>
      </c>
      <c r="W910" s="7">
        <f>IF($C910="","",U910-V910)</f>
        <v/>
      </c>
      <c r="X910" s="7">
        <f>IF($C910="","",W910-N910)</f>
        <v/>
      </c>
      <c r="AA910">
        <f>IF($C910="","",IF($AN910=1,0,IF($AM910=1,Settings!$C$6,Settings!$C$7))*100)</f>
        <v/>
      </c>
      <c r="AE910" s="7" t="n"/>
      <c r="AH910" s="11" t="n"/>
      <c r="AJ910">
        <f>IF($C910="","",$C910&amp;"|"&amp;$D910&amp;"")</f>
        <v/>
      </c>
      <c r="AK910">
        <f>IF($C910="","",IF(COUNTIF($AJ$2:$AJ910,$AJ910)=1,1,0))</f>
        <v/>
      </c>
      <c r="AL910">
        <f>IF($AK910=1,SUMPRODUCT(--($AO$2:$AO$1501&lt;$AO910))+1,"")</f>
        <v/>
      </c>
      <c r="AM910">
        <f>IF($C910="","",IF(OR($Q910=TRUE(),$Q910="TRUE"),1,0))</f>
        <v/>
      </c>
      <c r="AN910">
        <f>IF($C910="","",IF($Z910="Yes",1,0))</f>
        <v/>
      </c>
      <c r="AO910">
        <f>IF($AK910=1,IFERROR(IF(VALUE($C910)&lt;100000000,VALUE($C910),1000000000),IFERROR(IF(VALUE(MID($C910,2,20))&lt;100000000,VALUE(MID($C910,2,20)),1000000000),1000000000))+ROW()/100000,"")</f>
        <v/>
      </c>
    </row>
    <row r="911">
      <c r="F911" s="11" t="n"/>
      <c r="N911" s="7">
        <f>IF($C911="","",M911*U911/100)</f>
        <v/>
      </c>
      <c r="T911" s="7" t="n"/>
      <c r="U911" s="7" t="n"/>
      <c r="V911" s="7">
        <f>IF($C911="","",U911*AA911/100)</f>
        <v/>
      </c>
      <c r="W911" s="7">
        <f>IF($C911="","",U911-V911)</f>
        <v/>
      </c>
      <c r="X911" s="7">
        <f>IF($C911="","",W911-N911)</f>
        <v/>
      </c>
      <c r="AA911">
        <f>IF($C911="","",IF($AN911=1,0,IF($AM911=1,Settings!$C$6,Settings!$C$7))*100)</f>
        <v/>
      </c>
      <c r="AE911" s="7" t="n"/>
      <c r="AH911" s="11" t="n"/>
      <c r="AJ911">
        <f>IF($C911="","",$C911&amp;"|"&amp;$D911&amp;"")</f>
        <v/>
      </c>
      <c r="AK911">
        <f>IF($C911="","",IF(COUNTIF($AJ$2:$AJ911,$AJ911)=1,1,0))</f>
        <v/>
      </c>
      <c r="AL911">
        <f>IF($AK911=1,SUMPRODUCT(--($AO$2:$AO$1501&lt;$AO911))+1,"")</f>
        <v/>
      </c>
      <c r="AM911">
        <f>IF($C911="","",IF(OR($Q911=TRUE(),$Q911="TRUE"),1,0))</f>
        <v/>
      </c>
      <c r="AN911">
        <f>IF($C911="","",IF($Z911="Yes",1,0))</f>
        <v/>
      </c>
      <c r="AO911">
        <f>IF($AK911=1,IFERROR(IF(VALUE($C911)&lt;100000000,VALUE($C911),1000000000),IFERROR(IF(VALUE(MID($C911,2,20))&lt;100000000,VALUE(MID($C911,2,20)),1000000000),1000000000))+ROW()/100000,"")</f>
        <v/>
      </c>
    </row>
    <row r="912">
      <c r="F912" s="11" t="n"/>
      <c r="N912" s="7">
        <f>IF($C912="","",M912*U912/100)</f>
        <v/>
      </c>
      <c r="T912" s="7" t="n"/>
      <c r="U912" s="7" t="n"/>
      <c r="V912" s="7">
        <f>IF($C912="","",U912*AA912/100)</f>
        <v/>
      </c>
      <c r="W912" s="7">
        <f>IF($C912="","",U912-V912)</f>
        <v/>
      </c>
      <c r="X912" s="7">
        <f>IF($C912="","",W912-N912)</f>
        <v/>
      </c>
      <c r="AA912">
        <f>IF($C912="","",IF($AN912=1,0,IF($AM912=1,Settings!$C$6,Settings!$C$7))*100)</f>
        <v/>
      </c>
      <c r="AE912" s="7" t="n"/>
      <c r="AH912" s="11" t="n"/>
      <c r="AJ912">
        <f>IF($C912="","",$C912&amp;"|"&amp;$D912&amp;"")</f>
        <v/>
      </c>
      <c r="AK912">
        <f>IF($C912="","",IF(COUNTIF($AJ$2:$AJ912,$AJ912)=1,1,0))</f>
        <v/>
      </c>
      <c r="AL912">
        <f>IF($AK912=1,SUMPRODUCT(--($AO$2:$AO$1501&lt;$AO912))+1,"")</f>
        <v/>
      </c>
      <c r="AM912">
        <f>IF($C912="","",IF(OR($Q912=TRUE(),$Q912="TRUE"),1,0))</f>
        <v/>
      </c>
      <c r="AN912">
        <f>IF($C912="","",IF($Z912="Yes",1,0))</f>
        <v/>
      </c>
      <c r="AO912">
        <f>IF($AK912=1,IFERROR(IF(VALUE($C912)&lt;100000000,VALUE($C912),1000000000),IFERROR(IF(VALUE(MID($C912,2,20))&lt;100000000,VALUE(MID($C912,2,20)),1000000000),1000000000))+ROW()/100000,"")</f>
        <v/>
      </c>
    </row>
    <row r="913">
      <c r="F913" s="11" t="n"/>
      <c r="N913" s="7">
        <f>IF($C913="","",M913*U913/100)</f>
        <v/>
      </c>
      <c r="T913" s="7" t="n"/>
      <c r="U913" s="7" t="n"/>
      <c r="V913" s="7">
        <f>IF($C913="","",U913*AA913/100)</f>
        <v/>
      </c>
      <c r="W913" s="7">
        <f>IF($C913="","",U913-V913)</f>
        <v/>
      </c>
      <c r="X913" s="7">
        <f>IF($C913="","",W913-N913)</f>
        <v/>
      </c>
      <c r="AA913">
        <f>IF($C913="","",IF($AN913=1,0,IF($AM913=1,Settings!$C$6,Settings!$C$7))*100)</f>
        <v/>
      </c>
      <c r="AE913" s="7" t="n"/>
      <c r="AH913" s="11" t="n"/>
      <c r="AJ913">
        <f>IF($C913="","",$C913&amp;"|"&amp;$D913&amp;"")</f>
        <v/>
      </c>
      <c r="AK913">
        <f>IF($C913="","",IF(COUNTIF($AJ$2:$AJ913,$AJ913)=1,1,0))</f>
        <v/>
      </c>
      <c r="AL913">
        <f>IF($AK913=1,SUMPRODUCT(--($AO$2:$AO$1501&lt;$AO913))+1,"")</f>
        <v/>
      </c>
      <c r="AM913">
        <f>IF($C913="","",IF(OR($Q913=TRUE(),$Q913="TRUE"),1,0))</f>
        <v/>
      </c>
      <c r="AN913">
        <f>IF($C913="","",IF($Z913="Yes",1,0))</f>
        <v/>
      </c>
      <c r="AO913">
        <f>IF($AK913=1,IFERROR(IF(VALUE($C913)&lt;100000000,VALUE($C913),1000000000),IFERROR(IF(VALUE(MID($C913,2,20))&lt;100000000,VALUE(MID($C913,2,20)),1000000000),1000000000))+ROW()/100000,"")</f>
        <v/>
      </c>
    </row>
    <row r="914">
      <c r="F914" s="11" t="n"/>
      <c r="N914" s="7">
        <f>IF($C914="","",M914*U914/100)</f>
        <v/>
      </c>
      <c r="T914" s="7" t="n"/>
      <c r="U914" s="7" t="n"/>
      <c r="V914" s="7">
        <f>IF($C914="","",U914*AA914/100)</f>
        <v/>
      </c>
      <c r="W914" s="7">
        <f>IF($C914="","",U914-V914)</f>
        <v/>
      </c>
      <c r="X914" s="7">
        <f>IF($C914="","",W914-N914)</f>
        <v/>
      </c>
      <c r="AA914">
        <f>IF($C914="","",IF($AN914=1,0,IF($AM914=1,Settings!$C$6,Settings!$C$7))*100)</f>
        <v/>
      </c>
      <c r="AE914" s="7" t="n"/>
      <c r="AH914" s="11" t="n"/>
      <c r="AJ914">
        <f>IF($C914="","",$C914&amp;"|"&amp;$D914&amp;"")</f>
        <v/>
      </c>
      <c r="AK914">
        <f>IF($C914="","",IF(COUNTIF($AJ$2:$AJ914,$AJ914)=1,1,0))</f>
        <v/>
      </c>
      <c r="AL914">
        <f>IF($AK914=1,SUMPRODUCT(--($AO$2:$AO$1501&lt;$AO914))+1,"")</f>
        <v/>
      </c>
      <c r="AM914">
        <f>IF($C914="","",IF(OR($Q914=TRUE(),$Q914="TRUE"),1,0))</f>
        <v/>
      </c>
      <c r="AN914">
        <f>IF($C914="","",IF($Z914="Yes",1,0))</f>
        <v/>
      </c>
      <c r="AO914">
        <f>IF($AK914=1,IFERROR(IF(VALUE($C914)&lt;100000000,VALUE($C914),1000000000),IFERROR(IF(VALUE(MID($C914,2,20))&lt;100000000,VALUE(MID($C914,2,20)),1000000000),1000000000))+ROW()/100000,"")</f>
        <v/>
      </c>
    </row>
    <row r="915">
      <c r="F915" s="11" t="n"/>
      <c r="N915" s="7">
        <f>IF($C915="","",M915*U915/100)</f>
        <v/>
      </c>
      <c r="T915" s="7" t="n"/>
      <c r="U915" s="7" t="n"/>
      <c r="V915" s="7">
        <f>IF($C915="","",U915*AA915/100)</f>
        <v/>
      </c>
      <c r="W915" s="7">
        <f>IF($C915="","",U915-V915)</f>
        <v/>
      </c>
      <c r="X915" s="7">
        <f>IF($C915="","",W915-N915)</f>
        <v/>
      </c>
      <c r="AA915">
        <f>IF($C915="","",IF($AN915=1,0,IF($AM915=1,Settings!$C$6,Settings!$C$7))*100)</f>
        <v/>
      </c>
      <c r="AE915" s="7" t="n"/>
      <c r="AH915" s="11" t="n"/>
      <c r="AJ915">
        <f>IF($C915="","",$C915&amp;"|"&amp;$D915&amp;"")</f>
        <v/>
      </c>
      <c r="AK915">
        <f>IF($C915="","",IF(COUNTIF($AJ$2:$AJ915,$AJ915)=1,1,0))</f>
        <v/>
      </c>
      <c r="AL915">
        <f>IF($AK915=1,SUMPRODUCT(--($AO$2:$AO$1501&lt;$AO915))+1,"")</f>
        <v/>
      </c>
      <c r="AM915">
        <f>IF($C915="","",IF(OR($Q915=TRUE(),$Q915="TRUE"),1,0))</f>
        <v/>
      </c>
      <c r="AN915">
        <f>IF($C915="","",IF($Z915="Yes",1,0))</f>
        <v/>
      </c>
      <c r="AO915">
        <f>IF($AK915=1,IFERROR(IF(VALUE($C915)&lt;100000000,VALUE($C915),1000000000),IFERROR(IF(VALUE(MID($C915,2,20))&lt;100000000,VALUE(MID($C915,2,20)),1000000000),1000000000))+ROW()/100000,"")</f>
        <v/>
      </c>
    </row>
    <row r="916">
      <c r="F916" s="11" t="n"/>
      <c r="N916" s="7">
        <f>IF($C916="","",M916*U916/100)</f>
        <v/>
      </c>
      <c r="T916" s="7" t="n"/>
      <c r="U916" s="7" t="n"/>
      <c r="V916" s="7">
        <f>IF($C916="","",U916*AA916/100)</f>
        <v/>
      </c>
      <c r="W916" s="7">
        <f>IF($C916="","",U916-V916)</f>
        <v/>
      </c>
      <c r="X916" s="7">
        <f>IF($C916="","",W916-N916)</f>
        <v/>
      </c>
      <c r="AA916">
        <f>IF($C916="","",IF($AN916=1,0,IF($AM916=1,Settings!$C$6,Settings!$C$7))*100)</f>
        <v/>
      </c>
      <c r="AE916" s="7" t="n"/>
      <c r="AH916" s="11" t="n"/>
      <c r="AJ916">
        <f>IF($C916="","",$C916&amp;"|"&amp;$D916&amp;"")</f>
        <v/>
      </c>
      <c r="AK916">
        <f>IF($C916="","",IF(COUNTIF($AJ$2:$AJ916,$AJ916)=1,1,0))</f>
        <v/>
      </c>
      <c r="AL916">
        <f>IF($AK916=1,SUMPRODUCT(--($AO$2:$AO$1501&lt;$AO916))+1,"")</f>
        <v/>
      </c>
      <c r="AM916">
        <f>IF($C916="","",IF(OR($Q916=TRUE(),$Q916="TRUE"),1,0))</f>
        <v/>
      </c>
      <c r="AN916">
        <f>IF($C916="","",IF($Z916="Yes",1,0))</f>
        <v/>
      </c>
      <c r="AO916">
        <f>IF($AK916=1,IFERROR(IF(VALUE($C916)&lt;100000000,VALUE($C916),1000000000),IFERROR(IF(VALUE(MID($C916,2,20))&lt;100000000,VALUE(MID($C916,2,20)),1000000000),1000000000))+ROW()/100000,"")</f>
        <v/>
      </c>
    </row>
    <row r="917">
      <c r="F917" s="11" t="n"/>
      <c r="N917" s="7">
        <f>IF($C917="","",M917*U917/100)</f>
        <v/>
      </c>
      <c r="T917" s="7" t="n"/>
      <c r="U917" s="7" t="n"/>
      <c r="V917" s="7">
        <f>IF($C917="","",U917*AA917/100)</f>
        <v/>
      </c>
      <c r="W917" s="7">
        <f>IF($C917="","",U917-V917)</f>
        <v/>
      </c>
      <c r="X917" s="7">
        <f>IF($C917="","",W917-N917)</f>
        <v/>
      </c>
      <c r="AA917">
        <f>IF($C917="","",IF($AN917=1,0,IF($AM917=1,Settings!$C$6,Settings!$C$7))*100)</f>
        <v/>
      </c>
      <c r="AE917" s="7" t="n"/>
      <c r="AH917" s="11" t="n"/>
      <c r="AJ917">
        <f>IF($C917="","",$C917&amp;"|"&amp;$D917&amp;"")</f>
        <v/>
      </c>
      <c r="AK917">
        <f>IF($C917="","",IF(COUNTIF($AJ$2:$AJ917,$AJ917)=1,1,0))</f>
        <v/>
      </c>
      <c r="AL917">
        <f>IF($AK917=1,SUMPRODUCT(--($AO$2:$AO$1501&lt;$AO917))+1,"")</f>
        <v/>
      </c>
      <c r="AM917">
        <f>IF($C917="","",IF(OR($Q917=TRUE(),$Q917="TRUE"),1,0))</f>
        <v/>
      </c>
      <c r="AN917">
        <f>IF($C917="","",IF($Z917="Yes",1,0))</f>
        <v/>
      </c>
      <c r="AO917">
        <f>IF($AK917=1,IFERROR(IF(VALUE($C917)&lt;100000000,VALUE($C917),1000000000),IFERROR(IF(VALUE(MID($C917,2,20))&lt;100000000,VALUE(MID($C917,2,20)),1000000000),1000000000))+ROW()/100000,"")</f>
        <v/>
      </c>
    </row>
    <row r="918">
      <c r="F918" s="11" t="n"/>
      <c r="N918" s="7">
        <f>IF($C918="","",M918*U918/100)</f>
        <v/>
      </c>
      <c r="T918" s="7" t="n"/>
      <c r="U918" s="7" t="n"/>
      <c r="V918" s="7">
        <f>IF($C918="","",U918*AA918/100)</f>
        <v/>
      </c>
      <c r="W918" s="7">
        <f>IF($C918="","",U918-V918)</f>
        <v/>
      </c>
      <c r="X918" s="7">
        <f>IF($C918="","",W918-N918)</f>
        <v/>
      </c>
      <c r="AA918">
        <f>IF($C918="","",IF($AN918=1,0,IF($AM918=1,Settings!$C$6,Settings!$C$7))*100)</f>
        <v/>
      </c>
      <c r="AE918" s="7" t="n"/>
      <c r="AH918" s="11" t="n"/>
      <c r="AJ918">
        <f>IF($C918="","",$C918&amp;"|"&amp;$D918&amp;"")</f>
        <v/>
      </c>
      <c r="AK918">
        <f>IF($C918="","",IF(COUNTIF($AJ$2:$AJ918,$AJ918)=1,1,0))</f>
        <v/>
      </c>
      <c r="AL918">
        <f>IF($AK918=1,SUMPRODUCT(--($AO$2:$AO$1501&lt;$AO918))+1,"")</f>
        <v/>
      </c>
      <c r="AM918">
        <f>IF($C918="","",IF(OR($Q918=TRUE(),$Q918="TRUE"),1,0))</f>
        <v/>
      </c>
      <c r="AN918">
        <f>IF($C918="","",IF($Z918="Yes",1,0))</f>
        <v/>
      </c>
      <c r="AO918">
        <f>IF($AK918=1,IFERROR(IF(VALUE($C918)&lt;100000000,VALUE($C918),1000000000),IFERROR(IF(VALUE(MID($C918,2,20))&lt;100000000,VALUE(MID($C918,2,20)),1000000000),1000000000))+ROW()/100000,"")</f>
        <v/>
      </c>
    </row>
    <row r="919">
      <c r="F919" s="11" t="n"/>
      <c r="N919" s="7">
        <f>IF($C919="","",M919*U919/100)</f>
        <v/>
      </c>
      <c r="T919" s="7" t="n"/>
      <c r="U919" s="7" t="n"/>
      <c r="V919" s="7">
        <f>IF($C919="","",U919*AA919/100)</f>
        <v/>
      </c>
      <c r="W919" s="7">
        <f>IF($C919="","",U919-V919)</f>
        <v/>
      </c>
      <c r="X919" s="7">
        <f>IF($C919="","",W919-N919)</f>
        <v/>
      </c>
      <c r="AA919">
        <f>IF($C919="","",IF($AN919=1,0,IF($AM919=1,Settings!$C$6,Settings!$C$7))*100)</f>
        <v/>
      </c>
      <c r="AE919" s="7" t="n"/>
      <c r="AH919" s="11" t="n"/>
      <c r="AJ919">
        <f>IF($C919="","",$C919&amp;"|"&amp;$D919&amp;"")</f>
        <v/>
      </c>
      <c r="AK919">
        <f>IF($C919="","",IF(COUNTIF($AJ$2:$AJ919,$AJ919)=1,1,0))</f>
        <v/>
      </c>
      <c r="AL919">
        <f>IF($AK919=1,SUMPRODUCT(--($AO$2:$AO$1501&lt;$AO919))+1,"")</f>
        <v/>
      </c>
      <c r="AM919">
        <f>IF($C919="","",IF(OR($Q919=TRUE(),$Q919="TRUE"),1,0))</f>
        <v/>
      </c>
      <c r="AN919">
        <f>IF($C919="","",IF($Z919="Yes",1,0))</f>
        <v/>
      </c>
      <c r="AO919">
        <f>IF($AK919=1,IFERROR(IF(VALUE($C919)&lt;100000000,VALUE($C919),1000000000),IFERROR(IF(VALUE(MID($C919,2,20))&lt;100000000,VALUE(MID($C919,2,20)),1000000000),1000000000))+ROW()/100000,"")</f>
        <v/>
      </c>
    </row>
    <row r="920">
      <c r="F920" s="11" t="n"/>
      <c r="N920" s="7">
        <f>IF($C920="","",M920*U920/100)</f>
        <v/>
      </c>
      <c r="T920" s="7" t="n"/>
      <c r="U920" s="7" t="n"/>
      <c r="V920" s="7">
        <f>IF($C920="","",U920*AA920/100)</f>
        <v/>
      </c>
      <c r="W920" s="7">
        <f>IF($C920="","",U920-V920)</f>
        <v/>
      </c>
      <c r="X920" s="7">
        <f>IF($C920="","",W920-N920)</f>
        <v/>
      </c>
      <c r="AA920">
        <f>IF($C920="","",IF($AN920=1,0,IF($AM920=1,Settings!$C$6,Settings!$C$7))*100)</f>
        <v/>
      </c>
      <c r="AE920" s="7" t="n"/>
      <c r="AH920" s="11" t="n"/>
      <c r="AJ920">
        <f>IF($C920="","",$C920&amp;"|"&amp;$D920&amp;"")</f>
        <v/>
      </c>
      <c r="AK920">
        <f>IF($C920="","",IF(COUNTIF($AJ$2:$AJ920,$AJ920)=1,1,0))</f>
        <v/>
      </c>
      <c r="AL920">
        <f>IF($AK920=1,SUMPRODUCT(--($AO$2:$AO$1501&lt;$AO920))+1,"")</f>
        <v/>
      </c>
      <c r="AM920">
        <f>IF($C920="","",IF(OR($Q920=TRUE(),$Q920="TRUE"),1,0))</f>
        <v/>
      </c>
      <c r="AN920">
        <f>IF($C920="","",IF($Z920="Yes",1,0))</f>
        <v/>
      </c>
      <c r="AO920">
        <f>IF($AK920=1,IFERROR(IF(VALUE($C920)&lt;100000000,VALUE($C920),1000000000),IFERROR(IF(VALUE(MID($C920,2,20))&lt;100000000,VALUE(MID($C920,2,20)),1000000000),1000000000))+ROW()/100000,"")</f>
        <v/>
      </c>
    </row>
    <row r="921">
      <c r="F921" s="11" t="n"/>
      <c r="N921" s="7">
        <f>IF($C921="","",M921*U921/100)</f>
        <v/>
      </c>
      <c r="T921" s="7" t="n"/>
      <c r="U921" s="7" t="n"/>
      <c r="V921" s="7">
        <f>IF($C921="","",U921*AA921/100)</f>
        <v/>
      </c>
      <c r="W921" s="7">
        <f>IF($C921="","",U921-V921)</f>
        <v/>
      </c>
      <c r="X921" s="7">
        <f>IF($C921="","",W921-N921)</f>
        <v/>
      </c>
      <c r="AA921">
        <f>IF($C921="","",IF($AN921=1,0,IF($AM921=1,Settings!$C$6,Settings!$C$7))*100)</f>
        <v/>
      </c>
      <c r="AE921" s="7" t="n"/>
      <c r="AH921" s="11" t="n"/>
      <c r="AJ921">
        <f>IF($C921="","",$C921&amp;"|"&amp;$D921&amp;"")</f>
        <v/>
      </c>
      <c r="AK921">
        <f>IF($C921="","",IF(COUNTIF($AJ$2:$AJ921,$AJ921)=1,1,0))</f>
        <v/>
      </c>
      <c r="AL921">
        <f>IF($AK921=1,SUMPRODUCT(--($AO$2:$AO$1501&lt;$AO921))+1,"")</f>
        <v/>
      </c>
      <c r="AM921">
        <f>IF($C921="","",IF(OR($Q921=TRUE(),$Q921="TRUE"),1,0))</f>
        <v/>
      </c>
      <c r="AN921">
        <f>IF($C921="","",IF($Z921="Yes",1,0))</f>
        <v/>
      </c>
      <c r="AO921">
        <f>IF($AK921=1,IFERROR(IF(VALUE($C921)&lt;100000000,VALUE($C921),1000000000),IFERROR(IF(VALUE(MID($C921,2,20))&lt;100000000,VALUE(MID($C921,2,20)),1000000000),1000000000))+ROW()/100000,"")</f>
        <v/>
      </c>
    </row>
    <row r="922">
      <c r="F922" s="11" t="n"/>
      <c r="N922" s="7">
        <f>IF($C922="","",M922*U922/100)</f>
        <v/>
      </c>
      <c r="T922" s="7" t="n"/>
      <c r="U922" s="7" t="n"/>
      <c r="V922" s="7">
        <f>IF($C922="","",U922*AA922/100)</f>
        <v/>
      </c>
      <c r="W922" s="7">
        <f>IF($C922="","",U922-V922)</f>
        <v/>
      </c>
      <c r="X922" s="7">
        <f>IF($C922="","",W922-N922)</f>
        <v/>
      </c>
      <c r="AA922">
        <f>IF($C922="","",IF($AN922=1,0,IF($AM922=1,Settings!$C$6,Settings!$C$7))*100)</f>
        <v/>
      </c>
      <c r="AE922" s="7" t="n"/>
      <c r="AH922" s="11" t="n"/>
      <c r="AJ922">
        <f>IF($C922="","",$C922&amp;"|"&amp;$D922&amp;"")</f>
        <v/>
      </c>
      <c r="AK922">
        <f>IF($C922="","",IF(COUNTIF($AJ$2:$AJ922,$AJ922)=1,1,0))</f>
        <v/>
      </c>
      <c r="AL922">
        <f>IF($AK922=1,SUMPRODUCT(--($AO$2:$AO$1501&lt;$AO922))+1,"")</f>
        <v/>
      </c>
      <c r="AM922">
        <f>IF($C922="","",IF(OR($Q922=TRUE(),$Q922="TRUE"),1,0))</f>
        <v/>
      </c>
      <c r="AN922">
        <f>IF($C922="","",IF($Z922="Yes",1,0))</f>
        <v/>
      </c>
      <c r="AO922">
        <f>IF($AK922=1,IFERROR(IF(VALUE($C922)&lt;100000000,VALUE($C922),1000000000),IFERROR(IF(VALUE(MID($C922,2,20))&lt;100000000,VALUE(MID($C922,2,20)),1000000000),1000000000))+ROW()/100000,"")</f>
        <v/>
      </c>
    </row>
    <row r="923">
      <c r="F923" s="11" t="n"/>
      <c r="N923" s="7">
        <f>IF($C923="","",M923*U923/100)</f>
        <v/>
      </c>
      <c r="T923" s="7" t="n"/>
      <c r="U923" s="7" t="n"/>
      <c r="V923" s="7">
        <f>IF($C923="","",U923*AA923/100)</f>
        <v/>
      </c>
      <c r="W923" s="7">
        <f>IF($C923="","",U923-V923)</f>
        <v/>
      </c>
      <c r="X923" s="7">
        <f>IF($C923="","",W923-N923)</f>
        <v/>
      </c>
      <c r="AA923">
        <f>IF($C923="","",IF($AN923=1,0,IF($AM923=1,Settings!$C$6,Settings!$C$7))*100)</f>
        <v/>
      </c>
      <c r="AE923" s="7" t="n"/>
      <c r="AH923" s="11" t="n"/>
      <c r="AJ923">
        <f>IF($C923="","",$C923&amp;"|"&amp;$D923&amp;"")</f>
        <v/>
      </c>
      <c r="AK923">
        <f>IF($C923="","",IF(COUNTIF($AJ$2:$AJ923,$AJ923)=1,1,0))</f>
        <v/>
      </c>
      <c r="AL923">
        <f>IF($AK923=1,SUMPRODUCT(--($AO$2:$AO$1501&lt;$AO923))+1,"")</f>
        <v/>
      </c>
      <c r="AM923">
        <f>IF($C923="","",IF(OR($Q923=TRUE(),$Q923="TRUE"),1,0))</f>
        <v/>
      </c>
      <c r="AN923">
        <f>IF($C923="","",IF($Z923="Yes",1,0))</f>
        <v/>
      </c>
      <c r="AO923">
        <f>IF($AK923=1,IFERROR(IF(VALUE($C923)&lt;100000000,VALUE($C923),1000000000),IFERROR(IF(VALUE(MID($C923,2,20))&lt;100000000,VALUE(MID($C923,2,20)),1000000000),1000000000))+ROW()/100000,"")</f>
        <v/>
      </c>
    </row>
    <row r="924">
      <c r="F924" s="11" t="n"/>
      <c r="N924" s="7">
        <f>IF($C924="","",M924*U924/100)</f>
        <v/>
      </c>
      <c r="T924" s="7" t="n"/>
      <c r="U924" s="7" t="n"/>
      <c r="V924" s="7">
        <f>IF($C924="","",U924*AA924/100)</f>
        <v/>
      </c>
      <c r="W924" s="7">
        <f>IF($C924="","",U924-V924)</f>
        <v/>
      </c>
      <c r="X924" s="7">
        <f>IF($C924="","",W924-N924)</f>
        <v/>
      </c>
      <c r="AA924">
        <f>IF($C924="","",IF($AN924=1,0,IF($AM924=1,Settings!$C$6,Settings!$C$7))*100)</f>
        <v/>
      </c>
      <c r="AE924" s="7" t="n"/>
      <c r="AH924" s="11" t="n"/>
      <c r="AJ924">
        <f>IF($C924="","",$C924&amp;"|"&amp;$D924&amp;"")</f>
        <v/>
      </c>
      <c r="AK924">
        <f>IF($C924="","",IF(COUNTIF($AJ$2:$AJ924,$AJ924)=1,1,0))</f>
        <v/>
      </c>
      <c r="AL924">
        <f>IF($AK924=1,SUMPRODUCT(--($AO$2:$AO$1501&lt;$AO924))+1,"")</f>
        <v/>
      </c>
      <c r="AM924">
        <f>IF($C924="","",IF(OR($Q924=TRUE(),$Q924="TRUE"),1,0))</f>
        <v/>
      </c>
      <c r="AN924">
        <f>IF($C924="","",IF($Z924="Yes",1,0))</f>
        <v/>
      </c>
      <c r="AO924">
        <f>IF($AK924=1,IFERROR(IF(VALUE($C924)&lt;100000000,VALUE($C924),1000000000),IFERROR(IF(VALUE(MID($C924,2,20))&lt;100000000,VALUE(MID($C924,2,20)),1000000000),1000000000))+ROW()/100000,"")</f>
        <v/>
      </c>
    </row>
    <row r="925">
      <c r="F925" s="11" t="n"/>
      <c r="N925" s="7">
        <f>IF($C925="","",M925*U925/100)</f>
        <v/>
      </c>
      <c r="T925" s="7" t="n"/>
      <c r="U925" s="7" t="n"/>
      <c r="V925" s="7">
        <f>IF($C925="","",U925*AA925/100)</f>
        <v/>
      </c>
      <c r="W925" s="7">
        <f>IF($C925="","",U925-V925)</f>
        <v/>
      </c>
      <c r="X925" s="7">
        <f>IF($C925="","",W925-N925)</f>
        <v/>
      </c>
      <c r="AA925">
        <f>IF($C925="","",IF($AN925=1,0,IF($AM925=1,Settings!$C$6,Settings!$C$7))*100)</f>
        <v/>
      </c>
      <c r="AE925" s="7" t="n"/>
      <c r="AH925" s="11" t="n"/>
      <c r="AJ925">
        <f>IF($C925="","",$C925&amp;"|"&amp;$D925&amp;"")</f>
        <v/>
      </c>
      <c r="AK925">
        <f>IF($C925="","",IF(COUNTIF($AJ$2:$AJ925,$AJ925)=1,1,0))</f>
        <v/>
      </c>
      <c r="AL925">
        <f>IF($AK925=1,SUMPRODUCT(--($AO$2:$AO$1501&lt;$AO925))+1,"")</f>
        <v/>
      </c>
      <c r="AM925">
        <f>IF($C925="","",IF(OR($Q925=TRUE(),$Q925="TRUE"),1,0))</f>
        <v/>
      </c>
      <c r="AN925">
        <f>IF($C925="","",IF($Z925="Yes",1,0))</f>
        <v/>
      </c>
      <c r="AO925">
        <f>IF($AK925=1,IFERROR(IF(VALUE($C925)&lt;100000000,VALUE($C925),1000000000),IFERROR(IF(VALUE(MID($C925,2,20))&lt;100000000,VALUE(MID($C925,2,20)),1000000000),1000000000))+ROW()/100000,"")</f>
        <v/>
      </c>
    </row>
    <row r="926">
      <c r="F926" s="11" t="n"/>
      <c r="N926" s="7">
        <f>IF($C926="","",M926*U926/100)</f>
        <v/>
      </c>
      <c r="T926" s="7" t="n"/>
      <c r="U926" s="7" t="n"/>
      <c r="V926" s="7">
        <f>IF($C926="","",U926*AA926/100)</f>
        <v/>
      </c>
      <c r="W926" s="7">
        <f>IF($C926="","",U926-V926)</f>
        <v/>
      </c>
      <c r="X926" s="7">
        <f>IF($C926="","",W926-N926)</f>
        <v/>
      </c>
      <c r="AA926">
        <f>IF($C926="","",IF($AN926=1,0,IF($AM926=1,Settings!$C$6,Settings!$C$7))*100)</f>
        <v/>
      </c>
      <c r="AE926" s="7" t="n"/>
      <c r="AH926" s="11" t="n"/>
      <c r="AJ926">
        <f>IF($C926="","",$C926&amp;"|"&amp;$D926&amp;"")</f>
        <v/>
      </c>
      <c r="AK926">
        <f>IF($C926="","",IF(COUNTIF($AJ$2:$AJ926,$AJ926)=1,1,0))</f>
        <v/>
      </c>
      <c r="AL926">
        <f>IF($AK926=1,SUMPRODUCT(--($AO$2:$AO$1501&lt;$AO926))+1,"")</f>
        <v/>
      </c>
      <c r="AM926">
        <f>IF($C926="","",IF(OR($Q926=TRUE(),$Q926="TRUE"),1,0))</f>
        <v/>
      </c>
      <c r="AN926">
        <f>IF($C926="","",IF($Z926="Yes",1,0))</f>
        <v/>
      </c>
      <c r="AO926">
        <f>IF($AK926=1,IFERROR(IF(VALUE($C926)&lt;100000000,VALUE($C926),1000000000),IFERROR(IF(VALUE(MID($C926,2,20))&lt;100000000,VALUE(MID($C926,2,20)),1000000000),1000000000))+ROW()/100000,"")</f>
        <v/>
      </c>
    </row>
    <row r="927">
      <c r="F927" s="11" t="n"/>
      <c r="N927" s="7">
        <f>IF($C927="","",M927*U927/100)</f>
        <v/>
      </c>
      <c r="T927" s="7" t="n"/>
      <c r="U927" s="7" t="n"/>
      <c r="V927" s="7">
        <f>IF($C927="","",U927*AA927/100)</f>
        <v/>
      </c>
      <c r="W927" s="7">
        <f>IF($C927="","",U927-V927)</f>
        <v/>
      </c>
      <c r="X927" s="7">
        <f>IF($C927="","",W927-N927)</f>
        <v/>
      </c>
      <c r="AA927">
        <f>IF($C927="","",IF($AN927=1,0,IF($AM927=1,Settings!$C$6,Settings!$C$7))*100)</f>
        <v/>
      </c>
      <c r="AE927" s="7" t="n"/>
      <c r="AH927" s="11" t="n"/>
      <c r="AJ927">
        <f>IF($C927="","",$C927&amp;"|"&amp;$D927&amp;"")</f>
        <v/>
      </c>
      <c r="AK927">
        <f>IF($C927="","",IF(COUNTIF($AJ$2:$AJ927,$AJ927)=1,1,0))</f>
        <v/>
      </c>
      <c r="AL927">
        <f>IF($AK927=1,SUMPRODUCT(--($AO$2:$AO$1501&lt;$AO927))+1,"")</f>
        <v/>
      </c>
      <c r="AM927">
        <f>IF($C927="","",IF(OR($Q927=TRUE(),$Q927="TRUE"),1,0))</f>
        <v/>
      </c>
      <c r="AN927">
        <f>IF($C927="","",IF($Z927="Yes",1,0))</f>
        <v/>
      </c>
      <c r="AO927">
        <f>IF($AK927=1,IFERROR(IF(VALUE($C927)&lt;100000000,VALUE($C927),1000000000),IFERROR(IF(VALUE(MID($C927,2,20))&lt;100000000,VALUE(MID($C927,2,20)),1000000000),1000000000))+ROW()/100000,"")</f>
        <v/>
      </c>
    </row>
    <row r="928">
      <c r="F928" s="11" t="n"/>
      <c r="N928" s="7">
        <f>IF($C928="","",M928*U928/100)</f>
        <v/>
      </c>
      <c r="T928" s="7" t="n"/>
      <c r="U928" s="7" t="n"/>
      <c r="V928" s="7">
        <f>IF($C928="","",U928*AA928/100)</f>
        <v/>
      </c>
      <c r="W928" s="7">
        <f>IF($C928="","",U928-V928)</f>
        <v/>
      </c>
      <c r="X928" s="7">
        <f>IF($C928="","",W928-N928)</f>
        <v/>
      </c>
      <c r="AA928">
        <f>IF($C928="","",IF($AN928=1,0,IF($AM928=1,Settings!$C$6,Settings!$C$7))*100)</f>
        <v/>
      </c>
      <c r="AE928" s="7" t="n"/>
      <c r="AH928" s="11" t="n"/>
      <c r="AJ928">
        <f>IF($C928="","",$C928&amp;"|"&amp;$D928&amp;"")</f>
        <v/>
      </c>
      <c r="AK928">
        <f>IF($C928="","",IF(COUNTIF($AJ$2:$AJ928,$AJ928)=1,1,0))</f>
        <v/>
      </c>
      <c r="AL928">
        <f>IF($AK928=1,SUMPRODUCT(--($AO$2:$AO$1501&lt;$AO928))+1,"")</f>
        <v/>
      </c>
      <c r="AM928">
        <f>IF($C928="","",IF(OR($Q928=TRUE(),$Q928="TRUE"),1,0))</f>
        <v/>
      </c>
      <c r="AN928">
        <f>IF($C928="","",IF($Z928="Yes",1,0))</f>
        <v/>
      </c>
      <c r="AO928">
        <f>IF($AK928=1,IFERROR(IF(VALUE($C928)&lt;100000000,VALUE($C928),1000000000),IFERROR(IF(VALUE(MID($C928,2,20))&lt;100000000,VALUE(MID($C928,2,20)),1000000000),1000000000))+ROW()/100000,"")</f>
        <v/>
      </c>
    </row>
    <row r="929">
      <c r="F929" s="11" t="n"/>
      <c r="N929" s="7">
        <f>IF($C929="","",M929*U929/100)</f>
        <v/>
      </c>
      <c r="T929" s="7" t="n"/>
      <c r="U929" s="7" t="n"/>
      <c r="V929" s="7">
        <f>IF($C929="","",U929*AA929/100)</f>
        <v/>
      </c>
      <c r="W929" s="7">
        <f>IF($C929="","",U929-V929)</f>
        <v/>
      </c>
      <c r="X929" s="7">
        <f>IF($C929="","",W929-N929)</f>
        <v/>
      </c>
      <c r="AA929">
        <f>IF($C929="","",IF($AN929=1,0,IF($AM929=1,Settings!$C$6,Settings!$C$7))*100)</f>
        <v/>
      </c>
      <c r="AE929" s="7" t="n"/>
      <c r="AH929" s="11" t="n"/>
      <c r="AJ929">
        <f>IF($C929="","",$C929&amp;"|"&amp;$D929&amp;"")</f>
        <v/>
      </c>
      <c r="AK929">
        <f>IF($C929="","",IF(COUNTIF($AJ$2:$AJ929,$AJ929)=1,1,0))</f>
        <v/>
      </c>
      <c r="AL929">
        <f>IF($AK929=1,SUMPRODUCT(--($AO$2:$AO$1501&lt;$AO929))+1,"")</f>
        <v/>
      </c>
      <c r="AM929">
        <f>IF($C929="","",IF(OR($Q929=TRUE(),$Q929="TRUE"),1,0))</f>
        <v/>
      </c>
      <c r="AN929">
        <f>IF($C929="","",IF($Z929="Yes",1,0))</f>
        <v/>
      </c>
      <c r="AO929">
        <f>IF($AK929=1,IFERROR(IF(VALUE($C929)&lt;100000000,VALUE($C929),1000000000),IFERROR(IF(VALUE(MID($C929,2,20))&lt;100000000,VALUE(MID($C929,2,20)),1000000000),1000000000))+ROW()/100000,"")</f>
        <v/>
      </c>
    </row>
    <row r="930">
      <c r="F930" s="11" t="n"/>
      <c r="N930" s="7">
        <f>IF($C930="","",M930*U930/100)</f>
        <v/>
      </c>
      <c r="T930" s="7" t="n"/>
      <c r="U930" s="7" t="n"/>
      <c r="V930" s="7">
        <f>IF($C930="","",U930*AA930/100)</f>
        <v/>
      </c>
      <c r="W930" s="7">
        <f>IF($C930="","",U930-V930)</f>
        <v/>
      </c>
      <c r="X930" s="7">
        <f>IF($C930="","",W930-N930)</f>
        <v/>
      </c>
      <c r="AA930">
        <f>IF($C930="","",IF($AN930=1,0,IF($AM930=1,Settings!$C$6,Settings!$C$7))*100)</f>
        <v/>
      </c>
      <c r="AE930" s="7" t="n"/>
      <c r="AH930" s="11" t="n"/>
      <c r="AJ930">
        <f>IF($C930="","",$C930&amp;"|"&amp;$D930&amp;"")</f>
        <v/>
      </c>
      <c r="AK930">
        <f>IF($C930="","",IF(COUNTIF($AJ$2:$AJ930,$AJ930)=1,1,0))</f>
        <v/>
      </c>
      <c r="AL930">
        <f>IF($AK930=1,SUMPRODUCT(--($AO$2:$AO$1501&lt;$AO930))+1,"")</f>
        <v/>
      </c>
      <c r="AM930">
        <f>IF($C930="","",IF(OR($Q930=TRUE(),$Q930="TRUE"),1,0))</f>
        <v/>
      </c>
      <c r="AN930">
        <f>IF($C930="","",IF($Z930="Yes",1,0))</f>
        <v/>
      </c>
      <c r="AO930">
        <f>IF($AK930=1,IFERROR(IF(VALUE($C930)&lt;100000000,VALUE($C930),1000000000),IFERROR(IF(VALUE(MID($C930,2,20))&lt;100000000,VALUE(MID($C930,2,20)),1000000000),1000000000))+ROW()/100000,"")</f>
        <v/>
      </c>
    </row>
    <row r="931">
      <c r="F931" s="11" t="n"/>
      <c r="N931" s="7">
        <f>IF($C931="","",M931*U931/100)</f>
        <v/>
      </c>
      <c r="T931" s="7" t="n"/>
      <c r="U931" s="7" t="n"/>
      <c r="V931" s="7">
        <f>IF($C931="","",U931*AA931/100)</f>
        <v/>
      </c>
      <c r="W931" s="7">
        <f>IF($C931="","",U931-V931)</f>
        <v/>
      </c>
      <c r="X931" s="7">
        <f>IF($C931="","",W931-N931)</f>
        <v/>
      </c>
      <c r="AA931">
        <f>IF($C931="","",IF($AN931=1,0,IF($AM931=1,Settings!$C$6,Settings!$C$7))*100)</f>
        <v/>
      </c>
      <c r="AE931" s="7" t="n"/>
      <c r="AH931" s="11" t="n"/>
      <c r="AJ931">
        <f>IF($C931="","",$C931&amp;"|"&amp;$D931&amp;"")</f>
        <v/>
      </c>
      <c r="AK931">
        <f>IF($C931="","",IF(COUNTIF($AJ$2:$AJ931,$AJ931)=1,1,0))</f>
        <v/>
      </c>
      <c r="AL931">
        <f>IF($AK931=1,SUMPRODUCT(--($AO$2:$AO$1501&lt;$AO931))+1,"")</f>
        <v/>
      </c>
      <c r="AM931">
        <f>IF($C931="","",IF(OR($Q931=TRUE(),$Q931="TRUE"),1,0))</f>
        <v/>
      </c>
      <c r="AN931">
        <f>IF($C931="","",IF($Z931="Yes",1,0))</f>
        <v/>
      </c>
      <c r="AO931">
        <f>IF($AK931=1,IFERROR(IF(VALUE($C931)&lt;100000000,VALUE($C931),1000000000),IFERROR(IF(VALUE(MID($C931,2,20))&lt;100000000,VALUE(MID($C931,2,20)),1000000000),1000000000))+ROW()/100000,"")</f>
        <v/>
      </c>
    </row>
    <row r="932">
      <c r="F932" s="11" t="n"/>
      <c r="N932" s="7">
        <f>IF($C932="","",M932*U932/100)</f>
        <v/>
      </c>
      <c r="T932" s="7" t="n"/>
      <c r="U932" s="7" t="n"/>
      <c r="V932" s="7">
        <f>IF($C932="","",U932*AA932/100)</f>
        <v/>
      </c>
      <c r="W932" s="7">
        <f>IF($C932="","",U932-V932)</f>
        <v/>
      </c>
      <c r="X932" s="7">
        <f>IF($C932="","",W932-N932)</f>
        <v/>
      </c>
      <c r="AA932">
        <f>IF($C932="","",IF($AN932=1,0,IF($AM932=1,Settings!$C$6,Settings!$C$7))*100)</f>
        <v/>
      </c>
      <c r="AE932" s="7" t="n"/>
      <c r="AH932" s="11" t="n"/>
      <c r="AJ932">
        <f>IF($C932="","",$C932&amp;"|"&amp;$D932&amp;"")</f>
        <v/>
      </c>
      <c r="AK932">
        <f>IF($C932="","",IF(COUNTIF($AJ$2:$AJ932,$AJ932)=1,1,0))</f>
        <v/>
      </c>
      <c r="AL932">
        <f>IF($AK932=1,SUMPRODUCT(--($AO$2:$AO$1501&lt;$AO932))+1,"")</f>
        <v/>
      </c>
      <c r="AM932">
        <f>IF($C932="","",IF(OR($Q932=TRUE(),$Q932="TRUE"),1,0))</f>
        <v/>
      </c>
      <c r="AN932">
        <f>IF($C932="","",IF($Z932="Yes",1,0))</f>
        <v/>
      </c>
      <c r="AO932">
        <f>IF($AK932=1,IFERROR(IF(VALUE($C932)&lt;100000000,VALUE($C932),1000000000),IFERROR(IF(VALUE(MID($C932,2,20))&lt;100000000,VALUE(MID($C932,2,20)),1000000000),1000000000))+ROW()/100000,"")</f>
        <v/>
      </c>
    </row>
    <row r="933">
      <c r="F933" s="11" t="n"/>
      <c r="N933" s="7">
        <f>IF($C933="","",M933*U933/100)</f>
        <v/>
      </c>
      <c r="T933" s="7" t="n"/>
      <c r="U933" s="7" t="n"/>
      <c r="V933" s="7">
        <f>IF($C933="","",U933*AA933/100)</f>
        <v/>
      </c>
      <c r="W933" s="7">
        <f>IF($C933="","",U933-V933)</f>
        <v/>
      </c>
      <c r="X933" s="7">
        <f>IF($C933="","",W933-N933)</f>
        <v/>
      </c>
      <c r="AA933">
        <f>IF($C933="","",IF($AN933=1,0,IF($AM933=1,Settings!$C$6,Settings!$C$7))*100)</f>
        <v/>
      </c>
      <c r="AE933" s="7" t="n"/>
      <c r="AH933" s="11" t="n"/>
      <c r="AJ933">
        <f>IF($C933="","",$C933&amp;"|"&amp;$D933&amp;"")</f>
        <v/>
      </c>
      <c r="AK933">
        <f>IF($C933="","",IF(COUNTIF($AJ$2:$AJ933,$AJ933)=1,1,0))</f>
        <v/>
      </c>
      <c r="AL933">
        <f>IF($AK933=1,SUMPRODUCT(--($AO$2:$AO$1501&lt;$AO933))+1,"")</f>
        <v/>
      </c>
      <c r="AM933">
        <f>IF($C933="","",IF(OR($Q933=TRUE(),$Q933="TRUE"),1,0))</f>
        <v/>
      </c>
      <c r="AN933">
        <f>IF($C933="","",IF($Z933="Yes",1,0))</f>
        <v/>
      </c>
      <c r="AO933">
        <f>IF($AK933=1,IFERROR(IF(VALUE($C933)&lt;100000000,VALUE($C933),1000000000),IFERROR(IF(VALUE(MID($C933,2,20))&lt;100000000,VALUE(MID($C933,2,20)),1000000000),1000000000))+ROW()/100000,"")</f>
        <v/>
      </c>
    </row>
    <row r="934">
      <c r="F934" s="11" t="n"/>
      <c r="N934" s="7">
        <f>IF($C934="","",M934*U934/100)</f>
        <v/>
      </c>
      <c r="T934" s="7" t="n"/>
      <c r="U934" s="7" t="n"/>
      <c r="V934" s="7">
        <f>IF($C934="","",U934*AA934/100)</f>
        <v/>
      </c>
      <c r="W934" s="7">
        <f>IF($C934="","",U934-V934)</f>
        <v/>
      </c>
      <c r="X934" s="7">
        <f>IF($C934="","",W934-N934)</f>
        <v/>
      </c>
      <c r="AA934">
        <f>IF($C934="","",IF($AN934=1,0,IF($AM934=1,Settings!$C$6,Settings!$C$7))*100)</f>
        <v/>
      </c>
      <c r="AE934" s="7" t="n"/>
      <c r="AH934" s="11" t="n"/>
      <c r="AJ934">
        <f>IF($C934="","",$C934&amp;"|"&amp;$D934&amp;"")</f>
        <v/>
      </c>
      <c r="AK934">
        <f>IF($C934="","",IF(COUNTIF($AJ$2:$AJ934,$AJ934)=1,1,0))</f>
        <v/>
      </c>
      <c r="AL934">
        <f>IF($AK934=1,SUMPRODUCT(--($AO$2:$AO$1501&lt;$AO934))+1,"")</f>
        <v/>
      </c>
      <c r="AM934">
        <f>IF($C934="","",IF(OR($Q934=TRUE(),$Q934="TRUE"),1,0))</f>
        <v/>
      </c>
      <c r="AN934">
        <f>IF($C934="","",IF($Z934="Yes",1,0))</f>
        <v/>
      </c>
      <c r="AO934">
        <f>IF($AK934=1,IFERROR(IF(VALUE($C934)&lt;100000000,VALUE($C934),1000000000),IFERROR(IF(VALUE(MID($C934,2,20))&lt;100000000,VALUE(MID($C934,2,20)),1000000000),1000000000))+ROW()/100000,"")</f>
        <v/>
      </c>
    </row>
    <row r="935">
      <c r="F935" s="11" t="n"/>
      <c r="N935" s="7">
        <f>IF($C935="","",M935*U935/100)</f>
        <v/>
      </c>
      <c r="T935" s="7" t="n"/>
      <c r="U935" s="7" t="n"/>
      <c r="V935" s="7">
        <f>IF($C935="","",U935*AA935/100)</f>
        <v/>
      </c>
      <c r="W935" s="7">
        <f>IF($C935="","",U935-V935)</f>
        <v/>
      </c>
      <c r="X935" s="7">
        <f>IF($C935="","",W935-N935)</f>
        <v/>
      </c>
      <c r="AA935">
        <f>IF($C935="","",IF($AN935=1,0,IF($AM935=1,Settings!$C$6,Settings!$C$7))*100)</f>
        <v/>
      </c>
      <c r="AE935" s="7" t="n"/>
      <c r="AH935" s="11" t="n"/>
      <c r="AJ935">
        <f>IF($C935="","",$C935&amp;"|"&amp;$D935&amp;"")</f>
        <v/>
      </c>
      <c r="AK935">
        <f>IF($C935="","",IF(COUNTIF($AJ$2:$AJ935,$AJ935)=1,1,0))</f>
        <v/>
      </c>
      <c r="AL935">
        <f>IF($AK935=1,SUMPRODUCT(--($AO$2:$AO$1501&lt;$AO935))+1,"")</f>
        <v/>
      </c>
      <c r="AM935">
        <f>IF($C935="","",IF(OR($Q935=TRUE(),$Q935="TRUE"),1,0))</f>
        <v/>
      </c>
      <c r="AN935">
        <f>IF($C935="","",IF($Z935="Yes",1,0))</f>
        <v/>
      </c>
      <c r="AO935">
        <f>IF($AK935=1,IFERROR(IF(VALUE($C935)&lt;100000000,VALUE($C935),1000000000),IFERROR(IF(VALUE(MID($C935,2,20))&lt;100000000,VALUE(MID($C935,2,20)),1000000000),1000000000))+ROW()/100000,"")</f>
        <v/>
      </c>
    </row>
    <row r="936">
      <c r="F936" s="11" t="n"/>
      <c r="N936" s="7">
        <f>IF($C936="","",M936*U936/100)</f>
        <v/>
      </c>
      <c r="T936" s="7" t="n"/>
      <c r="U936" s="7" t="n"/>
      <c r="V936" s="7">
        <f>IF($C936="","",U936*AA936/100)</f>
        <v/>
      </c>
      <c r="W936" s="7">
        <f>IF($C936="","",U936-V936)</f>
        <v/>
      </c>
      <c r="X936" s="7">
        <f>IF($C936="","",W936-N936)</f>
        <v/>
      </c>
      <c r="AA936">
        <f>IF($C936="","",IF($AN936=1,0,IF($AM936=1,Settings!$C$6,Settings!$C$7))*100)</f>
        <v/>
      </c>
      <c r="AE936" s="7" t="n"/>
      <c r="AH936" s="11" t="n"/>
      <c r="AJ936">
        <f>IF($C936="","",$C936&amp;"|"&amp;$D936&amp;"")</f>
        <v/>
      </c>
      <c r="AK936">
        <f>IF($C936="","",IF(COUNTIF($AJ$2:$AJ936,$AJ936)=1,1,0))</f>
        <v/>
      </c>
      <c r="AL936">
        <f>IF($AK936=1,SUMPRODUCT(--($AO$2:$AO$1501&lt;$AO936))+1,"")</f>
        <v/>
      </c>
      <c r="AM936">
        <f>IF($C936="","",IF(OR($Q936=TRUE(),$Q936="TRUE"),1,0))</f>
        <v/>
      </c>
      <c r="AN936">
        <f>IF($C936="","",IF($Z936="Yes",1,0))</f>
        <v/>
      </c>
      <c r="AO936">
        <f>IF($AK936=1,IFERROR(IF(VALUE($C936)&lt;100000000,VALUE($C936),1000000000),IFERROR(IF(VALUE(MID($C936,2,20))&lt;100000000,VALUE(MID($C936,2,20)),1000000000),1000000000))+ROW()/100000,"")</f>
        <v/>
      </c>
    </row>
    <row r="937">
      <c r="F937" s="11" t="n"/>
      <c r="N937" s="7">
        <f>IF($C937="","",M937*U937/100)</f>
        <v/>
      </c>
      <c r="T937" s="7" t="n"/>
      <c r="U937" s="7" t="n"/>
      <c r="V937" s="7">
        <f>IF($C937="","",U937*AA937/100)</f>
        <v/>
      </c>
      <c r="W937" s="7">
        <f>IF($C937="","",U937-V937)</f>
        <v/>
      </c>
      <c r="X937" s="7">
        <f>IF($C937="","",W937-N937)</f>
        <v/>
      </c>
      <c r="AA937">
        <f>IF($C937="","",IF($AN937=1,0,IF($AM937=1,Settings!$C$6,Settings!$C$7))*100)</f>
        <v/>
      </c>
      <c r="AE937" s="7" t="n"/>
      <c r="AH937" s="11" t="n"/>
      <c r="AJ937">
        <f>IF($C937="","",$C937&amp;"|"&amp;$D937&amp;"")</f>
        <v/>
      </c>
      <c r="AK937">
        <f>IF($C937="","",IF(COUNTIF($AJ$2:$AJ937,$AJ937)=1,1,0))</f>
        <v/>
      </c>
      <c r="AL937">
        <f>IF($AK937=1,SUMPRODUCT(--($AO$2:$AO$1501&lt;$AO937))+1,"")</f>
        <v/>
      </c>
      <c r="AM937">
        <f>IF($C937="","",IF(OR($Q937=TRUE(),$Q937="TRUE"),1,0))</f>
        <v/>
      </c>
      <c r="AN937">
        <f>IF($C937="","",IF($Z937="Yes",1,0))</f>
        <v/>
      </c>
      <c r="AO937">
        <f>IF($AK937=1,IFERROR(IF(VALUE($C937)&lt;100000000,VALUE($C937),1000000000),IFERROR(IF(VALUE(MID($C937,2,20))&lt;100000000,VALUE(MID($C937,2,20)),1000000000),1000000000))+ROW()/100000,"")</f>
        <v/>
      </c>
    </row>
    <row r="938">
      <c r="F938" s="11" t="n"/>
      <c r="N938" s="7">
        <f>IF($C938="","",M938*U938/100)</f>
        <v/>
      </c>
      <c r="T938" s="7" t="n"/>
      <c r="U938" s="7" t="n"/>
      <c r="V938" s="7">
        <f>IF($C938="","",U938*AA938/100)</f>
        <v/>
      </c>
      <c r="W938" s="7">
        <f>IF($C938="","",U938-V938)</f>
        <v/>
      </c>
      <c r="X938" s="7">
        <f>IF($C938="","",W938-N938)</f>
        <v/>
      </c>
      <c r="AA938">
        <f>IF($C938="","",IF($AN938=1,0,IF($AM938=1,Settings!$C$6,Settings!$C$7))*100)</f>
        <v/>
      </c>
      <c r="AE938" s="7" t="n"/>
      <c r="AH938" s="11" t="n"/>
      <c r="AJ938">
        <f>IF($C938="","",$C938&amp;"|"&amp;$D938&amp;"")</f>
        <v/>
      </c>
      <c r="AK938">
        <f>IF($C938="","",IF(COUNTIF($AJ$2:$AJ938,$AJ938)=1,1,0))</f>
        <v/>
      </c>
      <c r="AL938">
        <f>IF($AK938=1,SUMPRODUCT(--($AO$2:$AO$1501&lt;$AO938))+1,"")</f>
        <v/>
      </c>
      <c r="AM938">
        <f>IF($C938="","",IF(OR($Q938=TRUE(),$Q938="TRUE"),1,0))</f>
        <v/>
      </c>
      <c r="AN938">
        <f>IF($C938="","",IF($Z938="Yes",1,0))</f>
        <v/>
      </c>
      <c r="AO938">
        <f>IF($AK938=1,IFERROR(IF(VALUE($C938)&lt;100000000,VALUE($C938),1000000000),IFERROR(IF(VALUE(MID($C938,2,20))&lt;100000000,VALUE(MID($C938,2,20)),1000000000),1000000000))+ROW()/100000,"")</f>
        <v/>
      </c>
    </row>
    <row r="939">
      <c r="F939" s="11" t="n"/>
      <c r="N939" s="7">
        <f>IF($C939="","",M939*U939/100)</f>
        <v/>
      </c>
      <c r="T939" s="7" t="n"/>
      <c r="U939" s="7" t="n"/>
      <c r="V939" s="7">
        <f>IF($C939="","",U939*AA939/100)</f>
        <v/>
      </c>
      <c r="W939" s="7">
        <f>IF($C939="","",U939-V939)</f>
        <v/>
      </c>
      <c r="X939" s="7">
        <f>IF($C939="","",W939-N939)</f>
        <v/>
      </c>
      <c r="AA939">
        <f>IF($C939="","",IF($AN939=1,0,IF($AM939=1,Settings!$C$6,Settings!$C$7))*100)</f>
        <v/>
      </c>
      <c r="AE939" s="7" t="n"/>
      <c r="AH939" s="11" t="n"/>
      <c r="AJ939">
        <f>IF($C939="","",$C939&amp;"|"&amp;$D939&amp;"")</f>
        <v/>
      </c>
      <c r="AK939">
        <f>IF($C939="","",IF(COUNTIF($AJ$2:$AJ939,$AJ939)=1,1,0))</f>
        <v/>
      </c>
      <c r="AL939">
        <f>IF($AK939=1,SUMPRODUCT(--($AO$2:$AO$1501&lt;$AO939))+1,"")</f>
        <v/>
      </c>
      <c r="AM939">
        <f>IF($C939="","",IF(OR($Q939=TRUE(),$Q939="TRUE"),1,0))</f>
        <v/>
      </c>
      <c r="AN939">
        <f>IF($C939="","",IF($Z939="Yes",1,0))</f>
        <v/>
      </c>
      <c r="AO939">
        <f>IF($AK939=1,IFERROR(IF(VALUE($C939)&lt;100000000,VALUE($C939),1000000000),IFERROR(IF(VALUE(MID($C939,2,20))&lt;100000000,VALUE(MID($C939,2,20)),1000000000),1000000000))+ROW()/100000,"")</f>
        <v/>
      </c>
    </row>
    <row r="940">
      <c r="F940" s="11" t="n"/>
      <c r="N940" s="7">
        <f>IF($C940="","",M940*U940/100)</f>
        <v/>
      </c>
      <c r="T940" s="7" t="n"/>
      <c r="U940" s="7" t="n"/>
      <c r="V940" s="7">
        <f>IF($C940="","",U940*AA940/100)</f>
        <v/>
      </c>
      <c r="W940" s="7">
        <f>IF($C940="","",U940-V940)</f>
        <v/>
      </c>
      <c r="X940" s="7">
        <f>IF($C940="","",W940-N940)</f>
        <v/>
      </c>
      <c r="AA940">
        <f>IF($C940="","",IF($AN940=1,0,IF($AM940=1,Settings!$C$6,Settings!$C$7))*100)</f>
        <v/>
      </c>
      <c r="AE940" s="7" t="n"/>
      <c r="AH940" s="11" t="n"/>
      <c r="AJ940">
        <f>IF($C940="","",$C940&amp;"|"&amp;$D940&amp;"")</f>
        <v/>
      </c>
      <c r="AK940">
        <f>IF($C940="","",IF(COUNTIF($AJ$2:$AJ940,$AJ940)=1,1,0))</f>
        <v/>
      </c>
      <c r="AL940">
        <f>IF($AK940=1,SUMPRODUCT(--($AO$2:$AO$1501&lt;$AO940))+1,"")</f>
        <v/>
      </c>
      <c r="AM940">
        <f>IF($C940="","",IF(OR($Q940=TRUE(),$Q940="TRUE"),1,0))</f>
        <v/>
      </c>
      <c r="AN940">
        <f>IF($C940="","",IF($Z940="Yes",1,0))</f>
        <v/>
      </c>
      <c r="AO940">
        <f>IF($AK940=1,IFERROR(IF(VALUE($C940)&lt;100000000,VALUE($C940),1000000000),IFERROR(IF(VALUE(MID($C940,2,20))&lt;100000000,VALUE(MID($C940,2,20)),1000000000),1000000000))+ROW()/100000,"")</f>
        <v/>
      </c>
    </row>
    <row r="941">
      <c r="F941" s="11" t="n"/>
      <c r="N941" s="7">
        <f>IF($C941="","",M941*U941/100)</f>
        <v/>
      </c>
      <c r="T941" s="7" t="n"/>
      <c r="U941" s="7" t="n"/>
      <c r="V941" s="7">
        <f>IF($C941="","",U941*AA941/100)</f>
        <v/>
      </c>
      <c r="W941" s="7">
        <f>IF($C941="","",U941-V941)</f>
        <v/>
      </c>
      <c r="X941" s="7">
        <f>IF($C941="","",W941-N941)</f>
        <v/>
      </c>
      <c r="AA941">
        <f>IF($C941="","",IF($AN941=1,0,IF($AM941=1,Settings!$C$6,Settings!$C$7))*100)</f>
        <v/>
      </c>
      <c r="AE941" s="7" t="n"/>
      <c r="AH941" s="11" t="n"/>
      <c r="AJ941">
        <f>IF($C941="","",$C941&amp;"|"&amp;$D941&amp;"")</f>
        <v/>
      </c>
      <c r="AK941">
        <f>IF($C941="","",IF(COUNTIF($AJ$2:$AJ941,$AJ941)=1,1,0))</f>
        <v/>
      </c>
      <c r="AL941">
        <f>IF($AK941=1,SUMPRODUCT(--($AO$2:$AO$1501&lt;$AO941))+1,"")</f>
        <v/>
      </c>
      <c r="AM941">
        <f>IF($C941="","",IF(OR($Q941=TRUE(),$Q941="TRUE"),1,0))</f>
        <v/>
      </c>
      <c r="AN941">
        <f>IF($C941="","",IF($Z941="Yes",1,0))</f>
        <v/>
      </c>
      <c r="AO941">
        <f>IF($AK941=1,IFERROR(IF(VALUE($C941)&lt;100000000,VALUE($C941),1000000000),IFERROR(IF(VALUE(MID($C941,2,20))&lt;100000000,VALUE(MID($C941,2,20)),1000000000),1000000000))+ROW()/100000,"")</f>
        <v/>
      </c>
    </row>
    <row r="942">
      <c r="F942" s="11" t="n"/>
      <c r="N942" s="7">
        <f>IF($C942="","",M942*U942/100)</f>
        <v/>
      </c>
      <c r="T942" s="7" t="n"/>
      <c r="U942" s="7" t="n"/>
      <c r="V942" s="7">
        <f>IF($C942="","",U942*AA942/100)</f>
        <v/>
      </c>
      <c r="W942" s="7">
        <f>IF($C942="","",U942-V942)</f>
        <v/>
      </c>
      <c r="X942" s="7">
        <f>IF($C942="","",W942-N942)</f>
        <v/>
      </c>
      <c r="AA942">
        <f>IF($C942="","",IF($AN942=1,0,IF($AM942=1,Settings!$C$6,Settings!$C$7))*100)</f>
        <v/>
      </c>
      <c r="AE942" s="7" t="n"/>
      <c r="AH942" s="11" t="n"/>
      <c r="AJ942">
        <f>IF($C942="","",$C942&amp;"|"&amp;$D942&amp;"")</f>
        <v/>
      </c>
      <c r="AK942">
        <f>IF($C942="","",IF(COUNTIF($AJ$2:$AJ942,$AJ942)=1,1,0))</f>
        <v/>
      </c>
      <c r="AL942">
        <f>IF($AK942=1,SUMPRODUCT(--($AO$2:$AO$1501&lt;$AO942))+1,"")</f>
        <v/>
      </c>
      <c r="AM942">
        <f>IF($C942="","",IF(OR($Q942=TRUE(),$Q942="TRUE"),1,0))</f>
        <v/>
      </c>
      <c r="AN942">
        <f>IF($C942="","",IF($Z942="Yes",1,0))</f>
        <v/>
      </c>
      <c r="AO942">
        <f>IF($AK942=1,IFERROR(IF(VALUE($C942)&lt;100000000,VALUE($C942),1000000000),IFERROR(IF(VALUE(MID($C942,2,20))&lt;100000000,VALUE(MID($C942,2,20)),1000000000),1000000000))+ROW()/100000,"")</f>
        <v/>
      </c>
    </row>
    <row r="943">
      <c r="F943" s="11" t="n"/>
      <c r="N943" s="7">
        <f>IF($C943="","",M943*U943/100)</f>
        <v/>
      </c>
      <c r="T943" s="7" t="n"/>
      <c r="U943" s="7" t="n"/>
      <c r="V943" s="7">
        <f>IF($C943="","",U943*AA943/100)</f>
        <v/>
      </c>
      <c r="W943" s="7">
        <f>IF($C943="","",U943-V943)</f>
        <v/>
      </c>
      <c r="X943" s="7">
        <f>IF($C943="","",W943-N943)</f>
        <v/>
      </c>
      <c r="AA943">
        <f>IF($C943="","",IF($AN943=1,0,IF($AM943=1,Settings!$C$6,Settings!$C$7))*100)</f>
        <v/>
      </c>
      <c r="AE943" s="7" t="n"/>
      <c r="AH943" s="11" t="n"/>
      <c r="AJ943">
        <f>IF($C943="","",$C943&amp;"|"&amp;$D943&amp;"")</f>
        <v/>
      </c>
      <c r="AK943">
        <f>IF($C943="","",IF(COUNTIF($AJ$2:$AJ943,$AJ943)=1,1,0))</f>
        <v/>
      </c>
      <c r="AL943">
        <f>IF($AK943=1,SUMPRODUCT(--($AO$2:$AO$1501&lt;$AO943))+1,"")</f>
        <v/>
      </c>
      <c r="AM943">
        <f>IF($C943="","",IF(OR($Q943=TRUE(),$Q943="TRUE"),1,0))</f>
        <v/>
      </c>
      <c r="AN943">
        <f>IF($C943="","",IF($Z943="Yes",1,0))</f>
        <v/>
      </c>
      <c r="AO943">
        <f>IF($AK943=1,IFERROR(IF(VALUE($C943)&lt;100000000,VALUE($C943),1000000000),IFERROR(IF(VALUE(MID($C943,2,20))&lt;100000000,VALUE(MID($C943,2,20)),1000000000),1000000000))+ROW()/100000,"")</f>
        <v/>
      </c>
    </row>
    <row r="944">
      <c r="F944" s="11" t="n"/>
      <c r="N944" s="7">
        <f>IF($C944="","",M944*U944/100)</f>
        <v/>
      </c>
      <c r="T944" s="7" t="n"/>
      <c r="U944" s="7" t="n"/>
      <c r="V944" s="7">
        <f>IF($C944="","",U944*AA944/100)</f>
        <v/>
      </c>
      <c r="W944" s="7">
        <f>IF($C944="","",U944-V944)</f>
        <v/>
      </c>
      <c r="X944" s="7">
        <f>IF($C944="","",W944-N944)</f>
        <v/>
      </c>
      <c r="AA944">
        <f>IF($C944="","",IF($AN944=1,0,IF($AM944=1,Settings!$C$6,Settings!$C$7))*100)</f>
        <v/>
      </c>
      <c r="AE944" s="7" t="n"/>
      <c r="AH944" s="11" t="n"/>
      <c r="AJ944">
        <f>IF($C944="","",$C944&amp;"|"&amp;$D944&amp;"")</f>
        <v/>
      </c>
      <c r="AK944">
        <f>IF($C944="","",IF(COUNTIF($AJ$2:$AJ944,$AJ944)=1,1,0))</f>
        <v/>
      </c>
      <c r="AL944">
        <f>IF($AK944=1,SUMPRODUCT(--($AO$2:$AO$1501&lt;$AO944))+1,"")</f>
        <v/>
      </c>
      <c r="AM944">
        <f>IF($C944="","",IF(OR($Q944=TRUE(),$Q944="TRUE"),1,0))</f>
        <v/>
      </c>
      <c r="AN944">
        <f>IF($C944="","",IF($Z944="Yes",1,0))</f>
        <v/>
      </c>
      <c r="AO944">
        <f>IF($AK944=1,IFERROR(IF(VALUE($C944)&lt;100000000,VALUE($C944),1000000000),IFERROR(IF(VALUE(MID($C944,2,20))&lt;100000000,VALUE(MID($C944,2,20)),1000000000),1000000000))+ROW()/100000,"")</f>
        <v/>
      </c>
    </row>
    <row r="945">
      <c r="F945" s="11" t="n"/>
      <c r="N945" s="7">
        <f>IF($C945="","",M945*U945/100)</f>
        <v/>
      </c>
      <c r="T945" s="7" t="n"/>
      <c r="U945" s="7" t="n"/>
      <c r="V945" s="7">
        <f>IF($C945="","",U945*AA945/100)</f>
        <v/>
      </c>
      <c r="W945" s="7">
        <f>IF($C945="","",U945-V945)</f>
        <v/>
      </c>
      <c r="X945" s="7">
        <f>IF($C945="","",W945-N945)</f>
        <v/>
      </c>
      <c r="AA945">
        <f>IF($C945="","",IF($AN945=1,0,IF($AM945=1,Settings!$C$6,Settings!$C$7))*100)</f>
        <v/>
      </c>
      <c r="AE945" s="7" t="n"/>
      <c r="AH945" s="11" t="n"/>
      <c r="AJ945">
        <f>IF($C945="","",$C945&amp;"|"&amp;$D945&amp;"")</f>
        <v/>
      </c>
      <c r="AK945">
        <f>IF($C945="","",IF(COUNTIF($AJ$2:$AJ945,$AJ945)=1,1,0))</f>
        <v/>
      </c>
      <c r="AL945">
        <f>IF($AK945=1,SUMPRODUCT(--($AO$2:$AO$1501&lt;$AO945))+1,"")</f>
        <v/>
      </c>
      <c r="AM945">
        <f>IF($C945="","",IF(OR($Q945=TRUE(),$Q945="TRUE"),1,0))</f>
        <v/>
      </c>
      <c r="AN945">
        <f>IF($C945="","",IF($Z945="Yes",1,0))</f>
        <v/>
      </c>
      <c r="AO945">
        <f>IF($AK945=1,IFERROR(IF(VALUE($C945)&lt;100000000,VALUE($C945),1000000000),IFERROR(IF(VALUE(MID($C945,2,20))&lt;100000000,VALUE(MID($C945,2,20)),1000000000),1000000000))+ROW()/100000,"")</f>
        <v/>
      </c>
    </row>
    <row r="946">
      <c r="F946" s="11" t="n"/>
      <c r="N946" s="7">
        <f>IF($C946="","",M946*U946/100)</f>
        <v/>
      </c>
      <c r="T946" s="7" t="n"/>
      <c r="U946" s="7" t="n"/>
      <c r="V946" s="7">
        <f>IF($C946="","",U946*AA946/100)</f>
        <v/>
      </c>
      <c r="W946" s="7">
        <f>IF($C946="","",U946-V946)</f>
        <v/>
      </c>
      <c r="X946" s="7">
        <f>IF($C946="","",W946-N946)</f>
        <v/>
      </c>
      <c r="AA946">
        <f>IF($C946="","",IF($AN946=1,0,IF($AM946=1,Settings!$C$6,Settings!$C$7))*100)</f>
        <v/>
      </c>
      <c r="AE946" s="7" t="n"/>
      <c r="AH946" s="11" t="n"/>
      <c r="AJ946">
        <f>IF($C946="","",$C946&amp;"|"&amp;$D946&amp;"")</f>
        <v/>
      </c>
      <c r="AK946">
        <f>IF($C946="","",IF(COUNTIF($AJ$2:$AJ946,$AJ946)=1,1,0))</f>
        <v/>
      </c>
      <c r="AL946">
        <f>IF($AK946=1,SUMPRODUCT(--($AO$2:$AO$1501&lt;$AO946))+1,"")</f>
        <v/>
      </c>
      <c r="AM946">
        <f>IF($C946="","",IF(OR($Q946=TRUE(),$Q946="TRUE"),1,0))</f>
        <v/>
      </c>
      <c r="AN946">
        <f>IF($C946="","",IF($Z946="Yes",1,0))</f>
        <v/>
      </c>
      <c r="AO946">
        <f>IF($AK946=1,IFERROR(IF(VALUE($C946)&lt;100000000,VALUE($C946),1000000000),IFERROR(IF(VALUE(MID($C946,2,20))&lt;100000000,VALUE(MID($C946,2,20)),1000000000),1000000000))+ROW()/100000,"")</f>
        <v/>
      </c>
    </row>
    <row r="947">
      <c r="F947" s="11" t="n"/>
      <c r="N947" s="7">
        <f>IF($C947="","",M947*U947/100)</f>
        <v/>
      </c>
      <c r="T947" s="7" t="n"/>
      <c r="U947" s="7" t="n"/>
      <c r="V947" s="7">
        <f>IF($C947="","",U947*AA947/100)</f>
        <v/>
      </c>
      <c r="W947" s="7">
        <f>IF($C947="","",U947-V947)</f>
        <v/>
      </c>
      <c r="X947" s="7">
        <f>IF($C947="","",W947-N947)</f>
        <v/>
      </c>
      <c r="AA947">
        <f>IF($C947="","",IF($AN947=1,0,IF($AM947=1,Settings!$C$6,Settings!$C$7))*100)</f>
        <v/>
      </c>
      <c r="AE947" s="7" t="n"/>
      <c r="AH947" s="11" t="n"/>
      <c r="AJ947">
        <f>IF($C947="","",$C947&amp;"|"&amp;$D947&amp;"")</f>
        <v/>
      </c>
      <c r="AK947">
        <f>IF($C947="","",IF(COUNTIF($AJ$2:$AJ947,$AJ947)=1,1,0))</f>
        <v/>
      </c>
      <c r="AL947">
        <f>IF($AK947=1,SUMPRODUCT(--($AO$2:$AO$1501&lt;$AO947))+1,"")</f>
        <v/>
      </c>
      <c r="AM947">
        <f>IF($C947="","",IF(OR($Q947=TRUE(),$Q947="TRUE"),1,0))</f>
        <v/>
      </c>
      <c r="AN947">
        <f>IF($C947="","",IF($Z947="Yes",1,0))</f>
        <v/>
      </c>
      <c r="AO947">
        <f>IF($AK947=1,IFERROR(IF(VALUE($C947)&lt;100000000,VALUE($C947),1000000000),IFERROR(IF(VALUE(MID($C947,2,20))&lt;100000000,VALUE(MID($C947,2,20)),1000000000),1000000000))+ROW()/100000,"")</f>
        <v/>
      </c>
    </row>
    <row r="948">
      <c r="F948" s="11" t="n"/>
      <c r="N948" s="7">
        <f>IF($C948="","",M948*U948/100)</f>
        <v/>
      </c>
      <c r="T948" s="7" t="n"/>
      <c r="U948" s="7" t="n"/>
      <c r="V948" s="7">
        <f>IF($C948="","",U948*AA948/100)</f>
        <v/>
      </c>
      <c r="W948" s="7">
        <f>IF($C948="","",U948-V948)</f>
        <v/>
      </c>
      <c r="X948" s="7">
        <f>IF($C948="","",W948-N948)</f>
        <v/>
      </c>
      <c r="AA948">
        <f>IF($C948="","",IF($AN948=1,0,IF($AM948=1,Settings!$C$6,Settings!$C$7))*100)</f>
        <v/>
      </c>
      <c r="AE948" s="7" t="n"/>
      <c r="AH948" s="11" t="n"/>
      <c r="AJ948">
        <f>IF($C948="","",$C948&amp;"|"&amp;$D948&amp;"")</f>
        <v/>
      </c>
      <c r="AK948">
        <f>IF($C948="","",IF(COUNTIF($AJ$2:$AJ948,$AJ948)=1,1,0))</f>
        <v/>
      </c>
      <c r="AL948">
        <f>IF($AK948=1,SUMPRODUCT(--($AO$2:$AO$1501&lt;$AO948))+1,"")</f>
        <v/>
      </c>
      <c r="AM948">
        <f>IF($C948="","",IF(OR($Q948=TRUE(),$Q948="TRUE"),1,0))</f>
        <v/>
      </c>
      <c r="AN948">
        <f>IF($C948="","",IF($Z948="Yes",1,0))</f>
        <v/>
      </c>
      <c r="AO948">
        <f>IF($AK948=1,IFERROR(IF(VALUE($C948)&lt;100000000,VALUE($C948),1000000000),IFERROR(IF(VALUE(MID($C948,2,20))&lt;100000000,VALUE(MID($C948,2,20)),1000000000),1000000000))+ROW()/100000,"")</f>
        <v/>
      </c>
    </row>
    <row r="949">
      <c r="F949" s="11" t="n"/>
      <c r="N949" s="7">
        <f>IF($C949="","",M949*U949/100)</f>
        <v/>
      </c>
      <c r="T949" s="7" t="n"/>
      <c r="U949" s="7" t="n"/>
      <c r="V949" s="7">
        <f>IF($C949="","",U949*AA949/100)</f>
        <v/>
      </c>
      <c r="W949" s="7">
        <f>IF($C949="","",U949-V949)</f>
        <v/>
      </c>
      <c r="X949" s="7">
        <f>IF($C949="","",W949-N949)</f>
        <v/>
      </c>
      <c r="AA949">
        <f>IF($C949="","",IF($AN949=1,0,IF($AM949=1,Settings!$C$6,Settings!$C$7))*100)</f>
        <v/>
      </c>
      <c r="AE949" s="7" t="n"/>
      <c r="AH949" s="11" t="n"/>
      <c r="AJ949">
        <f>IF($C949="","",$C949&amp;"|"&amp;$D949&amp;"")</f>
        <v/>
      </c>
      <c r="AK949">
        <f>IF($C949="","",IF(COUNTIF($AJ$2:$AJ949,$AJ949)=1,1,0))</f>
        <v/>
      </c>
      <c r="AL949">
        <f>IF($AK949=1,SUMPRODUCT(--($AO$2:$AO$1501&lt;$AO949))+1,"")</f>
        <v/>
      </c>
      <c r="AM949">
        <f>IF($C949="","",IF(OR($Q949=TRUE(),$Q949="TRUE"),1,0))</f>
        <v/>
      </c>
      <c r="AN949">
        <f>IF($C949="","",IF($Z949="Yes",1,0))</f>
        <v/>
      </c>
      <c r="AO949">
        <f>IF($AK949=1,IFERROR(IF(VALUE($C949)&lt;100000000,VALUE($C949),1000000000),IFERROR(IF(VALUE(MID($C949,2,20))&lt;100000000,VALUE(MID($C949,2,20)),1000000000),1000000000))+ROW()/100000,"")</f>
        <v/>
      </c>
    </row>
    <row r="950">
      <c r="F950" s="11" t="n"/>
      <c r="N950" s="7">
        <f>IF($C950="","",M950*U950/100)</f>
        <v/>
      </c>
      <c r="T950" s="7" t="n"/>
      <c r="U950" s="7" t="n"/>
      <c r="V950" s="7">
        <f>IF($C950="","",U950*AA950/100)</f>
        <v/>
      </c>
      <c r="W950" s="7">
        <f>IF($C950="","",U950-V950)</f>
        <v/>
      </c>
      <c r="X950" s="7">
        <f>IF($C950="","",W950-N950)</f>
        <v/>
      </c>
      <c r="AA950">
        <f>IF($C950="","",IF($AN950=1,0,IF($AM950=1,Settings!$C$6,Settings!$C$7))*100)</f>
        <v/>
      </c>
      <c r="AE950" s="7" t="n"/>
      <c r="AH950" s="11" t="n"/>
      <c r="AJ950">
        <f>IF($C950="","",$C950&amp;"|"&amp;$D950&amp;"")</f>
        <v/>
      </c>
      <c r="AK950">
        <f>IF($C950="","",IF(COUNTIF($AJ$2:$AJ950,$AJ950)=1,1,0))</f>
        <v/>
      </c>
      <c r="AL950">
        <f>IF($AK950=1,SUMPRODUCT(--($AO$2:$AO$1501&lt;$AO950))+1,"")</f>
        <v/>
      </c>
      <c r="AM950">
        <f>IF($C950="","",IF(OR($Q950=TRUE(),$Q950="TRUE"),1,0))</f>
        <v/>
      </c>
      <c r="AN950">
        <f>IF($C950="","",IF($Z950="Yes",1,0))</f>
        <v/>
      </c>
      <c r="AO950">
        <f>IF($AK950=1,IFERROR(IF(VALUE($C950)&lt;100000000,VALUE($C950),1000000000),IFERROR(IF(VALUE(MID($C950,2,20))&lt;100000000,VALUE(MID($C950,2,20)),1000000000),1000000000))+ROW()/100000,"")</f>
        <v/>
      </c>
    </row>
    <row r="951">
      <c r="F951" s="11" t="n"/>
      <c r="N951" s="7">
        <f>IF($C951="","",M951*U951/100)</f>
        <v/>
      </c>
      <c r="T951" s="7" t="n"/>
      <c r="U951" s="7" t="n"/>
      <c r="V951" s="7">
        <f>IF($C951="","",U951*AA951/100)</f>
        <v/>
      </c>
      <c r="W951" s="7">
        <f>IF($C951="","",U951-V951)</f>
        <v/>
      </c>
      <c r="X951" s="7">
        <f>IF($C951="","",W951-N951)</f>
        <v/>
      </c>
      <c r="AA951">
        <f>IF($C951="","",IF($AN951=1,0,IF($AM951=1,Settings!$C$6,Settings!$C$7))*100)</f>
        <v/>
      </c>
      <c r="AE951" s="7" t="n"/>
      <c r="AH951" s="11" t="n"/>
      <c r="AJ951">
        <f>IF($C951="","",$C951&amp;"|"&amp;$D951&amp;"")</f>
        <v/>
      </c>
      <c r="AK951">
        <f>IF($C951="","",IF(COUNTIF($AJ$2:$AJ951,$AJ951)=1,1,0))</f>
        <v/>
      </c>
      <c r="AL951">
        <f>IF($AK951=1,SUMPRODUCT(--($AO$2:$AO$1501&lt;$AO951))+1,"")</f>
        <v/>
      </c>
      <c r="AM951">
        <f>IF($C951="","",IF(OR($Q951=TRUE(),$Q951="TRUE"),1,0))</f>
        <v/>
      </c>
      <c r="AN951">
        <f>IF($C951="","",IF($Z951="Yes",1,0))</f>
        <v/>
      </c>
      <c r="AO951">
        <f>IF($AK951=1,IFERROR(IF(VALUE($C951)&lt;100000000,VALUE($C951),1000000000),IFERROR(IF(VALUE(MID($C951,2,20))&lt;100000000,VALUE(MID($C951,2,20)),1000000000),1000000000))+ROW()/100000,"")</f>
        <v/>
      </c>
    </row>
    <row r="952">
      <c r="F952" s="11" t="n"/>
      <c r="N952" s="7">
        <f>IF($C952="","",M952*U952/100)</f>
        <v/>
      </c>
      <c r="T952" s="7" t="n"/>
      <c r="U952" s="7" t="n"/>
      <c r="V952" s="7">
        <f>IF($C952="","",U952*AA952/100)</f>
        <v/>
      </c>
      <c r="W952" s="7">
        <f>IF($C952="","",U952-V952)</f>
        <v/>
      </c>
      <c r="X952" s="7">
        <f>IF($C952="","",W952-N952)</f>
        <v/>
      </c>
      <c r="AA952">
        <f>IF($C952="","",IF($AN952=1,0,IF($AM952=1,Settings!$C$6,Settings!$C$7))*100)</f>
        <v/>
      </c>
      <c r="AE952" s="7" t="n"/>
      <c r="AH952" s="11" t="n"/>
      <c r="AJ952">
        <f>IF($C952="","",$C952&amp;"|"&amp;$D952&amp;"")</f>
        <v/>
      </c>
      <c r="AK952">
        <f>IF($C952="","",IF(COUNTIF($AJ$2:$AJ952,$AJ952)=1,1,0))</f>
        <v/>
      </c>
      <c r="AL952">
        <f>IF($AK952=1,SUMPRODUCT(--($AO$2:$AO$1501&lt;$AO952))+1,"")</f>
        <v/>
      </c>
      <c r="AM952">
        <f>IF($C952="","",IF(OR($Q952=TRUE(),$Q952="TRUE"),1,0))</f>
        <v/>
      </c>
      <c r="AN952">
        <f>IF($C952="","",IF($Z952="Yes",1,0))</f>
        <v/>
      </c>
      <c r="AO952">
        <f>IF($AK952=1,IFERROR(IF(VALUE($C952)&lt;100000000,VALUE($C952),1000000000),IFERROR(IF(VALUE(MID($C952,2,20))&lt;100000000,VALUE(MID($C952,2,20)),1000000000),1000000000))+ROW()/100000,"")</f>
        <v/>
      </c>
    </row>
    <row r="953">
      <c r="F953" s="11" t="n"/>
      <c r="N953" s="7">
        <f>IF($C953="","",M953*U953/100)</f>
        <v/>
      </c>
      <c r="T953" s="7" t="n"/>
      <c r="U953" s="7" t="n"/>
      <c r="V953" s="7">
        <f>IF($C953="","",U953*AA953/100)</f>
        <v/>
      </c>
      <c r="W953" s="7">
        <f>IF($C953="","",U953-V953)</f>
        <v/>
      </c>
      <c r="X953" s="7">
        <f>IF($C953="","",W953-N953)</f>
        <v/>
      </c>
      <c r="AA953">
        <f>IF($C953="","",IF($AN953=1,0,IF($AM953=1,Settings!$C$6,Settings!$C$7))*100)</f>
        <v/>
      </c>
      <c r="AE953" s="7" t="n"/>
      <c r="AH953" s="11" t="n"/>
      <c r="AJ953">
        <f>IF($C953="","",$C953&amp;"|"&amp;$D953&amp;"")</f>
        <v/>
      </c>
      <c r="AK953">
        <f>IF($C953="","",IF(COUNTIF($AJ$2:$AJ953,$AJ953)=1,1,0))</f>
        <v/>
      </c>
      <c r="AL953">
        <f>IF($AK953=1,SUMPRODUCT(--($AO$2:$AO$1501&lt;$AO953))+1,"")</f>
        <v/>
      </c>
      <c r="AM953">
        <f>IF($C953="","",IF(OR($Q953=TRUE(),$Q953="TRUE"),1,0))</f>
        <v/>
      </c>
      <c r="AN953">
        <f>IF($C953="","",IF($Z953="Yes",1,0))</f>
        <v/>
      </c>
      <c r="AO953">
        <f>IF($AK953=1,IFERROR(IF(VALUE($C953)&lt;100000000,VALUE($C953),1000000000),IFERROR(IF(VALUE(MID($C953,2,20))&lt;100000000,VALUE(MID($C953,2,20)),1000000000),1000000000))+ROW()/100000,"")</f>
        <v/>
      </c>
    </row>
    <row r="954">
      <c r="F954" s="11" t="n"/>
      <c r="N954" s="7">
        <f>IF($C954="","",M954*U954/100)</f>
        <v/>
      </c>
      <c r="T954" s="7" t="n"/>
      <c r="U954" s="7" t="n"/>
      <c r="V954" s="7">
        <f>IF($C954="","",U954*AA954/100)</f>
        <v/>
      </c>
      <c r="W954" s="7">
        <f>IF($C954="","",U954-V954)</f>
        <v/>
      </c>
      <c r="X954" s="7">
        <f>IF($C954="","",W954-N954)</f>
        <v/>
      </c>
      <c r="AA954">
        <f>IF($C954="","",IF($AN954=1,0,IF($AM954=1,Settings!$C$6,Settings!$C$7))*100)</f>
        <v/>
      </c>
      <c r="AE954" s="7" t="n"/>
      <c r="AH954" s="11" t="n"/>
      <c r="AJ954">
        <f>IF($C954="","",$C954&amp;"|"&amp;$D954&amp;"")</f>
        <v/>
      </c>
      <c r="AK954">
        <f>IF($C954="","",IF(COUNTIF($AJ$2:$AJ954,$AJ954)=1,1,0))</f>
        <v/>
      </c>
      <c r="AL954">
        <f>IF($AK954=1,SUMPRODUCT(--($AO$2:$AO$1501&lt;$AO954))+1,"")</f>
        <v/>
      </c>
      <c r="AM954">
        <f>IF($C954="","",IF(OR($Q954=TRUE(),$Q954="TRUE"),1,0))</f>
        <v/>
      </c>
      <c r="AN954">
        <f>IF($C954="","",IF($Z954="Yes",1,0))</f>
        <v/>
      </c>
      <c r="AO954">
        <f>IF($AK954=1,IFERROR(IF(VALUE($C954)&lt;100000000,VALUE($C954),1000000000),IFERROR(IF(VALUE(MID($C954,2,20))&lt;100000000,VALUE(MID($C954,2,20)),1000000000),1000000000))+ROW()/100000,"")</f>
        <v/>
      </c>
    </row>
    <row r="955">
      <c r="F955" s="11" t="n"/>
      <c r="N955" s="7">
        <f>IF($C955="","",M955*U955/100)</f>
        <v/>
      </c>
      <c r="T955" s="7" t="n"/>
      <c r="U955" s="7" t="n"/>
      <c r="V955" s="7">
        <f>IF($C955="","",U955*AA955/100)</f>
        <v/>
      </c>
      <c r="W955" s="7">
        <f>IF($C955="","",U955-V955)</f>
        <v/>
      </c>
      <c r="X955" s="7">
        <f>IF($C955="","",W955-N955)</f>
        <v/>
      </c>
      <c r="AA955">
        <f>IF($C955="","",IF($AN955=1,0,IF($AM955=1,Settings!$C$6,Settings!$C$7))*100)</f>
        <v/>
      </c>
      <c r="AE955" s="7" t="n"/>
      <c r="AH955" s="11" t="n"/>
      <c r="AJ955">
        <f>IF($C955="","",$C955&amp;"|"&amp;$D955&amp;"")</f>
        <v/>
      </c>
      <c r="AK955">
        <f>IF($C955="","",IF(COUNTIF($AJ$2:$AJ955,$AJ955)=1,1,0))</f>
        <v/>
      </c>
      <c r="AL955">
        <f>IF($AK955=1,SUMPRODUCT(--($AO$2:$AO$1501&lt;$AO955))+1,"")</f>
        <v/>
      </c>
      <c r="AM955">
        <f>IF($C955="","",IF(OR($Q955=TRUE(),$Q955="TRUE"),1,0))</f>
        <v/>
      </c>
      <c r="AN955">
        <f>IF($C955="","",IF($Z955="Yes",1,0))</f>
        <v/>
      </c>
      <c r="AO955">
        <f>IF($AK955=1,IFERROR(IF(VALUE($C955)&lt;100000000,VALUE($C955),1000000000),IFERROR(IF(VALUE(MID($C955,2,20))&lt;100000000,VALUE(MID($C955,2,20)),1000000000),1000000000))+ROW()/100000,"")</f>
        <v/>
      </c>
    </row>
    <row r="956">
      <c r="F956" s="11" t="n"/>
      <c r="N956" s="7">
        <f>IF($C956="","",M956*U956/100)</f>
        <v/>
      </c>
      <c r="T956" s="7" t="n"/>
      <c r="U956" s="7" t="n"/>
      <c r="V956" s="7">
        <f>IF($C956="","",U956*AA956/100)</f>
        <v/>
      </c>
      <c r="W956" s="7">
        <f>IF($C956="","",U956-V956)</f>
        <v/>
      </c>
      <c r="X956" s="7">
        <f>IF($C956="","",W956-N956)</f>
        <v/>
      </c>
      <c r="AA956">
        <f>IF($C956="","",IF($AN956=1,0,IF($AM956=1,Settings!$C$6,Settings!$C$7))*100)</f>
        <v/>
      </c>
      <c r="AE956" s="7" t="n"/>
      <c r="AH956" s="11" t="n"/>
      <c r="AJ956">
        <f>IF($C956="","",$C956&amp;"|"&amp;$D956&amp;"")</f>
        <v/>
      </c>
      <c r="AK956">
        <f>IF($C956="","",IF(COUNTIF($AJ$2:$AJ956,$AJ956)=1,1,0))</f>
        <v/>
      </c>
      <c r="AL956">
        <f>IF($AK956=1,SUMPRODUCT(--($AO$2:$AO$1501&lt;$AO956))+1,"")</f>
        <v/>
      </c>
      <c r="AM956">
        <f>IF($C956="","",IF(OR($Q956=TRUE(),$Q956="TRUE"),1,0))</f>
        <v/>
      </c>
      <c r="AN956">
        <f>IF($C956="","",IF($Z956="Yes",1,0))</f>
        <v/>
      </c>
      <c r="AO956">
        <f>IF($AK956=1,IFERROR(IF(VALUE($C956)&lt;100000000,VALUE($C956),1000000000),IFERROR(IF(VALUE(MID($C956,2,20))&lt;100000000,VALUE(MID($C956,2,20)),1000000000),1000000000))+ROW()/100000,"")</f>
        <v/>
      </c>
    </row>
    <row r="957">
      <c r="F957" s="11" t="n"/>
      <c r="N957" s="7">
        <f>IF($C957="","",M957*U957/100)</f>
        <v/>
      </c>
      <c r="T957" s="7" t="n"/>
      <c r="U957" s="7" t="n"/>
      <c r="V957" s="7">
        <f>IF($C957="","",U957*AA957/100)</f>
        <v/>
      </c>
      <c r="W957" s="7">
        <f>IF($C957="","",U957-V957)</f>
        <v/>
      </c>
      <c r="X957" s="7">
        <f>IF($C957="","",W957-N957)</f>
        <v/>
      </c>
      <c r="AA957">
        <f>IF($C957="","",IF($AN957=1,0,IF($AM957=1,Settings!$C$6,Settings!$C$7))*100)</f>
        <v/>
      </c>
      <c r="AE957" s="7" t="n"/>
      <c r="AH957" s="11" t="n"/>
      <c r="AJ957">
        <f>IF($C957="","",$C957&amp;"|"&amp;$D957&amp;"")</f>
        <v/>
      </c>
      <c r="AK957">
        <f>IF($C957="","",IF(COUNTIF($AJ$2:$AJ957,$AJ957)=1,1,0))</f>
        <v/>
      </c>
      <c r="AL957">
        <f>IF($AK957=1,SUMPRODUCT(--($AO$2:$AO$1501&lt;$AO957))+1,"")</f>
        <v/>
      </c>
      <c r="AM957">
        <f>IF($C957="","",IF(OR($Q957=TRUE(),$Q957="TRUE"),1,0))</f>
        <v/>
      </c>
      <c r="AN957">
        <f>IF($C957="","",IF($Z957="Yes",1,0))</f>
        <v/>
      </c>
      <c r="AO957">
        <f>IF($AK957=1,IFERROR(IF(VALUE($C957)&lt;100000000,VALUE($C957),1000000000),IFERROR(IF(VALUE(MID($C957,2,20))&lt;100000000,VALUE(MID($C957,2,20)),1000000000),1000000000))+ROW()/100000,"")</f>
        <v/>
      </c>
    </row>
    <row r="958">
      <c r="F958" s="11" t="n"/>
      <c r="N958" s="7">
        <f>IF($C958="","",M958*U958/100)</f>
        <v/>
      </c>
      <c r="T958" s="7" t="n"/>
      <c r="U958" s="7" t="n"/>
      <c r="V958" s="7">
        <f>IF($C958="","",U958*AA958/100)</f>
        <v/>
      </c>
      <c r="W958" s="7">
        <f>IF($C958="","",U958-V958)</f>
        <v/>
      </c>
      <c r="X958" s="7">
        <f>IF($C958="","",W958-N958)</f>
        <v/>
      </c>
      <c r="AA958">
        <f>IF($C958="","",IF($AN958=1,0,IF($AM958=1,Settings!$C$6,Settings!$C$7))*100)</f>
        <v/>
      </c>
      <c r="AE958" s="7" t="n"/>
      <c r="AH958" s="11" t="n"/>
      <c r="AJ958">
        <f>IF($C958="","",$C958&amp;"|"&amp;$D958&amp;"")</f>
        <v/>
      </c>
      <c r="AK958">
        <f>IF($C958="","",IF(COUNTIF($AJ$2:$AJ958,$AJ958)=1,1,0))</f>
        <v/>
      </c>
      <c r="AL958">
        <f>IF($AK958=1,SUMPRODUCT(--($AO$2:$AO$1501&lt;$AO958))+1,"")</f>
        <v/>
      </c>
      <c r="AM958">
        <f>IF($C958="","",IF(OR($Q958=TRUE(),$Q958="TRUE"),1,0))</f>
        <v/>
      </c>
      <c r="AN958">
        <f>IF($C958="","",IF($Z958="Yes",1,0))</f>
        <v/>
      </c>
      <c r="AO958">
        <f>IF($AK958=1,IFERROR(IF(VALUE($C958)&lt;100000000,VALUE($C958),1000000000),IFERROR(IF(VALUE(MID($C958,2,20))&lt;100000000,VALUE(MID($C958,2,20)),1000000000),1000000000))+ROW()/100000,"")</f>
        <v/>
      </c>
    </row>
    <row r="959">
      <c r="F959" s="11" t="n"/>
      <c r="N959" s="7">
        <f>IF($C959="","",M959*U959/100)</f>
        <v/>
      </c>
      <c r="T959" s="7" t="n"/>
      <c r="U959" s="7" t="n"/>
      <c r="V959" s="7">
        <f>IF($C959="","",U959*AA959/100)</f>
        <v/>
      </c>
      <c r="W959" s="7">
        <f>IF($C959="","",U959-V959)</f>
        <v/>
      </c>
      <c r="X959" s="7">
        <f>IF($C959="","",W959-N959)</f>
        <v/>
      </c>
      <c r="AA959">
        <f>IF($C959="","",IF($AN959=1,0,IF($AM959=1,Settings!$C$6,Settings!$C$7))*100)</f>
        <v/>
      </c>
      <c r="AE959" s="7" t="n"/>
      <c r="AH959" s="11" t="n"/>
      <c r="AJ959">
        <f>IF($C959="","",$C959&amp;"|"&amp;$D959&amp;"")</f>
        <v/>
      </c>
      <c r="AK959">
        <f>IF($C959="","",IF(COUNTIF($AJ$2:$AJ959,$AJ959)=1,1,0))</f>
        <v/>
      </c>
      <c r="AL959">
        <f>IF($AK959=1,SUMPRODUCT(--($AO$2:$AO$1501&lt;$AO959))+1,"")</f>
        <v/>
      </c>
      <c r="AM959">
        <f>IF($C959="","",IF(OR($Q959=TRUE(),$Q959="TRUE"),1,0))</f>
        <v/>
      </c>
      <c r="AN959">
        <f>IF($C959="","",IF($Z959="Yes",1,0))</f>
        <v/>
      </c>
      <c r="AO959">
        <f>IF($AK959=1,IFERROR(IF(VALUE($C959)&lt;100000000,VALUE($C959),1000000000),IFERROR(IF(VALUE(MID($C959,2,20))&lt;100000000,VALUE(MID($C959,2,20)),1000000000),1000000000))+ROW()/100000,"")</f>
        <v/>
      </c>
    </row>
    <row r="960">
      <c r="F960" s="11" t="n"/>
      <c r="N960" s="7">
        <f>IF($C960="","",M960*U960/100)</f>
        <v/>
      </c>
      <c r="T960" s="7" t="n"/>
      <c r="U960" s="7" t="n"/>
      <c r="V960" s="7">
        <f>IF($C960="","",U960*AA960/100)</f>
        <v/>
      </c>
      <c r="W960" s="7">
        <f>IF($C960="","",U960-V960)</f>
        <v/>
      </c>
      <c r="X960" s="7">
        <f>IF($C960="","",W960-N960)</f>
        <v/>
      </c>
      <c r="AA960">
        <f>IF($C960="","",IF($AN960=1,0,IF($AM960=1,Settings!$C$6,Settings!$C$7))*100)</f>
        <v/>
      </c>
      <c r="AE960" s="7" t="n"/>
      <c r="AH960" s="11" t="n"/>
      <c r="AJ960">
        <f>IF($C960="","",$C960&amp;"|"&amp;$D960&amp;"")</f>
        <v/>
      </c>
      <c r="AK960">
        <f>IF($C960="","",IF(COUNTIF($AJ$2:$AJ960,$AJ960)=1,1,0))</f>
        <v/>
      </c>
      <c r="AL960">
        <f>IF($AK960=1,SUMPRODUCT(--($AO$2:$AO$1501&lt;$AO960))+1,"")</f>
        <v/>
      </c>
      <c r="AM960">
        <f>IF($C960="","",IF(OR($Q960=TRUE(),$Q960="TRUE"),1,0))</f>
        <v/>
      </c>
      <c r="AN960">
        <f>IF($C960="","",IF($Z960="Yes",1,0))</f>
        <v/>
      </c>
      <c r="AO960">
        <f>IF($AK960=1,IFERROR(IF(VALUE($C960)&lt;100000000,VALUE($C960),1000000000),IFERROR(IF(VALUE(MID($C960,2,20))&lt;100000000,VALUE(MID($C960,2,20)),1000000000),1000000000))+ROW()/100000,"")</f>
        <v/>
      </c>
    </row>
    <row r="961">
      <c r="F961" s="11" t="n"/>
      <c r="N961" s="7">
        <f>IF($C961="","",M961*U961/100)</f>
        <v/>
      </c>
      <c r="T961" s="7" t="n"/>
      <c r="U961" s="7" t="n"/>
      <c r="V961" s="7">
        <f>IF($C961="","",U961*AA961/100)</f>
        <v/>
      </c>
      <c r="W961" s="7">
        <f>IF($C961="","",U961-V961)</f>
        <v/>
      </c>
      <c r="X961" s="7">
        <f>IF($C961="","",W961-N961)</f>
        <v/>
      </c>
      <c r="AA961">
        <f>IF($C961="","",IF($AN961=1,0,IF($AM961=1,Settings!$C$6,Settings!$C$7))*100)</f>
        <v/>
      </c>
      <c r="AE961" s="7" t="n"/>
      <c r="AH961" s="11" t="n"/>
      <c r="AJ961">
        <f>IF($C961="","",$C961&amp;"|"&amp;$D961&amp;"")</f>
        <v/>
      </c>
      <c r="AK961">
        <f>IF($C961="","",IF(COUNTIF($AJ$2:$AJ961,$AJ961)=1,1,0))</f>
        <v/>
      </c>
      <c r="AL961">
        <f>IF($AK961=1,SUMPRODUCT(--($AO$2:$AO$1501&lt;$AO961))+1,"")</f>
        <v/>
      </c>
      <c r="AM961">
        <f>IF($C961="","",IF(OR($Q961=TRUE(),$Q961="TRUE"),1,0))</f>
        <v/>
      </c>
      <c r="AN961">
        <f>IF($C961="","",IF($Z961="Yes",1,0))</f>
        <v/>
      </c>
      <c r="AO961">
        <f>IF($AK961=1,IFERROR(IF(VALUE($C961)&lt;100000000,VALUE($C961),1000000000),IFERROR(IF(VALUE(MID($C961,2,20))&lt;100000000,VALUE(MID($C961,2,20)),1000000000),1000000000))+ROW()/100000,"")</f>
        <v/>
      </c>
    </row>
    <row r="962">
      <c r="F962" s="11" t="n"/>
      <c r="N962" s="7">
        <f>IF($C962="","",M962*U962/100)</f>
        <v/>
      </c>
      <c r="T962" s="7" t="n"/>
      <c r="U962" s="7" t="n"/>
      <c r="V962" s="7">
        <f>IF($C962="","",U962*AA962/100)</f>
        <v/>
      </c>
      <c r="W962" s="7">
        <f>IF($C962="","",U962-V962)</f>
        <v/>
      </c>
      <c r="X962" s="7">
        <f>IF($C962="","",W962-N962)</f>
        <v/>
      </c>
      <c r="AA962">
        <f>IF($C962="","",IF($AN962=1,0,IF($AM962=1,Settings!$C$6,Settings!$C$7))*100)</f>
        <v/>
      </c>
      <c r="AE962" s="7" t="n"/>
      <c r="AH962" s="11" t="n"/>
      <c r="AJ962">
        <f>IF($C962="","",$C962&amp;"|"&amp;$D962&amp;"")</f>
        <v/>
      </c>
      <c r="AK962">
        <f>IF($C962="","",IF(COUNTIF($AJ$2:$AJ962,$AJ962)=1,1,0))</f>
        <v/>
      </c>
      <c r="AL962">
        <f>IF($AK962=1,SUMPRODUCT(--($AO$2:$AO$1501&lt;$AO962))+1,"")</f>
        <v/>
      </c>
      <c r="AM962">
        <f>IF($C962="","",IF(OR($Q962=TRUE(),$Q962="TRUE"),1,0))</f>
        <v/>
      </c>
      <c r="AN962">
        <f>IF($C962="","",IF($Z962="Yes",1,0))</f>
        <v/>
      </c>
      <c r="AO962">
        <f>IF($AK962=1,IFERROR(IF(VALUE($C962)&lt;100000000,VALUE($C962),1000000000),IFERROR(IF(VALUE(MID($C962,2,20))&lt;100000000,VALUE(MID($C962,2,20)),1000000000),1000000000))+ROW()/100000,"")</f>
        <v/>
      </c>
    </row>
    <row r="963">
      <c r="F963" s="11" t="n"/>
      <c r="N963" s="7">
        <f>IF($C963="","",M963*U963/100)</f>
        <v/>
      </c>
      <c r="T963" s="7" t="n"/>
      <c r="U963" s="7" t="n"/>
      <c r="V963" s="7">
        <f>IF($C963="","",U963*AA963/100)</f>
        <v/>
      </c>
      <c r="W963" s="7">
        <f>IF($C963="","",U963-V963)</f>
        <v/>
      </c>
      <c r="X963" s="7">
        <f>IF($C963="","",W963-N963)</f>
        <v/>
      </c>
      <c r="AA963">
        <f>IF($C963="","",IF($AN963=1,0,IF($AM963=1,Settings!$C$6,Settings!$C$7))*100)</f>
        <v/>
      </c>
      <c r="AE963" s="7" t="n"/>
      <c r="AH963" s="11" t="n"/>
      <c r="AJ963">
        <f>IF($C963="","",$C963&amp;"|"&amp;$D963&amp;"")</f>
        <v/>
      </c>
      <c r="AK963">
        <f>IF($C963="","",IF(COUNTIF($AJ$2:$AJ963,$AJ963)=1,1,0))</f>
        <v/>
      </c>
      <c r="AL963">
        <f>IF($AK963=1,SUMPRODUCT(--($AO$2:$AO$1501&lt;$AO963))+1,"")</f>
        <v/>
      </c>
      <c r="AM963">
        <f>IF($C963="","",IF(OR($Q963=TRUE(),$Q963="TRUE"),1,0))</f>
        <v/>
      </c>
      <c r="AN963">
        <f>IF($C963="","",IF($Z963="Yes",1,0))</f>
        <v/>
      </c>
      <c r="AO963">
        <f>IF($AK963=1,IFERROR(IF(VALUE($C963)&lt;100000000,VALUE($C963),1000000000),IFERROR(IF(VALUE(MID($C963,2,20))&lt;100000000,VALUE(MID($C963,2,20)),1000000000),1000000000))+ROW()/100000,"")</f>
        <v/>
      </c>
    </row>
    <row r="964">
      <c r="F964" s="11" t="n"/>
      <c r="N964" s="7">
        <f>IF($C964="","",M964*U964/100)</f>
        <v/>
      </c>
      <c r="T964" s="7" t="n"/>
      <c r="U964" s="7" t="n"/>
      <c r="V964" s="7">
        <f>IF($C964="","",U964*AA964/100)</f>
        <v/>
      </c>
      <c r="W964" s="7">
        <f>IF($C964="","",U964-V964)</f>
        <v/>
      </c>
      <c r="X964" s="7">
        <f>IF($C964="","",W964-N964)</f>
        <v/>
      </c>
      <c r="AA964">
        <f>IF($C964="","",IF($AN964=1,0,IF($AM964=1,Settings!$C$6,Settings!$C$7))*100)</f>
        <v/>
      </c>
      <c r="AE964" s="7" t="n"/>
      <c r="AH964" s="11" t="n"/>
      <c r="AJ964">
        <f>IF($C964="","",$C964&amp;"|"&amp;$D964&amp;"")</f>
        <v/>
      </c>
      <c r="AK964">
        <f>IF($C964="","",IF(COUNTIF($AJ$2:$AJ964,$AJ964)=1,1,0))</f>
        <v/>
      </c>
      <c r="AL964">
        <f>IF($AK964=1,SUMPRODUCT(--($AO$2:$AO$1501&lt;$AO964))+1,"")</f>
        <v/>
      </c>
      <c r="AM964">
        <f>IF($C964="","",IF(OR($Q964=TRUE(),$Q964="TRUE"),1,0))</f>
        <v/>
      </c>
      <c r="AN964">
        <f>IF($C964="","",IF($Z964="Yes",1,0))</f>
        <v/>
      </c>
      <c r="AO964">
        <f>IF($AK964=1,IFERROR(IF(VALUE($C964)&lt;100000000,VALUE($C964),1000000000),IFERROR(IF(VALUE(MID($C964,2,20))&lt;100000000,VALUE(MID($C964,2,20)),1000000000),1000000000))+ROW()/100000,"")</f>
        <v/>
      </c>
    </row>
    <row r="965">
      <c r="F965" s="11" t="n"/>
      <c r="N965" s="7">
        <f>IF($C965="","",M965*U965/100)</f>
        <v/>
      </c>
      <c r="T965" s="7" t="n"/>
      <c r="U965" s="7" t="n"/>
      <c r="V965" s="7">
        <f>IF($C965="","",U965*AA965/100)</f>
        <v/>
      </c>
      <c r="W965" s="7">
        <f>IF($C965="","",U965-V965)</f>
        <v/>
      </c>
      <c r="X965" s="7">
        <f>IF($C965="","",W965-N965)</f>
        <v/>
      </c>
      <c r="AA965">
        <f>IF($C965="","",IF($AN965=1,0,IF($AM965=1,Settings!$C$6,Settings!$C$7))*100)</f>
        <v/>
      </c>
      <c r="AE965" s="7" t="n"/>
      <c r="AH965" s="11" t="n"/>
      <c r="AJ965">
        <f>IF($C965="","",$C965&amp;"|"&amp;$D965&amp;"")</f>
        <v/>
      </c>
      <c r="AK965">
        <f>IF($C965="","",IF(COUNTIF($AJ$2:$AJ965,$AJ965)=1,1,0))</f>
        <v/>
      </c>
      <c r="AL965">
        <f>IF($AK965=1,SUMPRODUCT(--($AO$2:$AO$1501&lt;$AO965))+1,"")</f>
        <v/>
      </c>
      <c r="AM965">
        <f>IF($C965="","",IF(OR($Q965=TRUE(),$Q965="TRUE"),1,0))</f>
        <v/>
      </c>
      <c r="AN965">
        <f>IF($C965="","",IF($Z965="Yes",1,0))</f>
        <v/>
      </c>
      <c r="AO965">
        <f>IF($AK965=1,IFERROR(IF(VALUE($C965)&lt;100000000,VALUE($C965),1000000000),IFERROR(IF(VALUE(MID($C965,2,20))&lt;100000000,VALUE(MID($C965,2,20)),1000000000),1000000000))+ROW()/100000,"")</f>
        <v/>
      </c>
    </row>
    <row r="966">
      <c r="F966" s="11" t="n"/>
      <c r="N966" s="7">
        <f>IF($C966="","",M966*U966/100)</f>
        <v/>
      </c>
      <c r="T966" s="7" t="n"/>
      <c r="U966" s="7" t="n"/>
      <c r="V966" s="7">
        <f>IF($C966="","",U966*AA966/100)</f>
        <v/>
      </c>
      <c r="W966" s="7">
        <f>IF($C966="","",U966-V966)</f>
        <v/>
      </c>
      <c r="X966" s="7">
        <f>IF($C966="","",W966-N966)</f>
        <v/>
      </c>
      <c r="AA966">
        <f>IF($C966="","",IF($AN966=1,0,IF($AM966=1,Settings!$C$6,Settings!$C$7))*100)</f>
        <v/>
      </c>
      <c r="AE966" s="7" t="n"/>
      <c r="AH966" s="11" t="n"/>
      <c r="AJ966">
        <f>IF($C966="","",$C966&amp;"|"&amp;$D966&amp;"")</f>
        <v/>
      </c>
      <c r="AK966">
        <f>IF($C966="","",IF(COUNTIF($AJ$2:$AJ966,$AJ966)=1,1,0))</f>
        <v/>
      </c>
      <c r="AL966">
        <f>IF($AK966=1,SUMPRODUCT(--($AO$2:$AO$1501&lt;$AO966))+1,"")</f>
        <v/>
      </c>
      <c r="AM966">
        <f>IF($C966="","",IF(OR($Q966=TRUE(),$Q966="TRUE"),1,0))</f>
        <v/>
      </c>
      <c r="AN966">
        <f>IF($C966="","",IF($Z966="Yes",1,0))</f>
        <v/>
      </c>
      <c r="AO966">
        <f>IF($AK966=1,IFERROR(IF(VALUE($C966)&lt;100000000,VALUE($C966),1000000000),IFERROR(IF(VALUE(MID($C966,2,20))&lt;100000000,VALUE(MID($C966,2,20)),1000000000),1000000000))+ROW()/100000,"")</f>
        <v/>
      </c>
    </row>
    <row r="967">
      <c r="F967" s="11" t="n"/>
      <c r="N967" s="7">
        <f>IF($C967="","",M967*U967/100)</f>
        <v/>
      </c>
      <c r="T967" s="7" t="n"/>
      <c r="U967" s="7" t="n"/>
      <c r="V967" s="7">
        <f>IF($C967="","",U967*AA967/100)</f>
        <v/>
      </c>
      <c r="W967" s="7">
        <f>IF($C967="","",U967-V967)</f>
        <v/>
      </c>
      <c r="X967" s="7">
        <f>IF($C967="","",W967-N967)</f>
        <v/>
      </c>
      <c r="AA967">
        <f>IF($C967="","",IF($AN967=1,0,IF($AM967=1,Settings!$C$6,Settings!$C$7))*100)</f>
        <v/>
      </c>
      <c r="AE967" s="7" t="n"/>
      <c r="AH967" s="11" t="n"/>
      <c r="AJ967">
        <f>IF($C967="","",$C967&amp;"|"&amp;$D967&amp;"")</f>
        <v/>
      </c>
      <c r="AK967">
        <f>IF($C967="","",IF(COUNTIF($AJ$2:$AJ967,$AJ967)=1,1,0))</f>
        <v/>
      </c>
      <c r="AL967">
        <f>IF($AK967=1,SUMPRODUCT(--($AO$2:$AO$1501&lt;$AO967))+1,"")</f>
        <v/>
      </c>
      <c r="AM967">
        <f>IF($C967="","",IF(OR($Q967=TRUE(),$Q967="TRUE"),1,0))</f>
        <v/>
      </c>
      <c r="AN967">
        <f>IF($C967="","",IF($Z967="Yes",1,0))</f>
        <v/>
      </c>
      <c r="AO967">
        <f>IF($AK967=1,IFERROR(IF(VALUE($C967)&lt;100000000,VALUE($C967),1000000000),IFERROR(IF(VALUE(MID($C967,2,20))&lt;100000000,VALUE(MID($C967,2,20)),1000000000),1000000000))+ROW()/100000,"")</f>
        <v/>
      </c>
    </row>
    <row r="968">
      <c r="F968" s="11" t="n"/>
      <c r="N968" s="7">
        <f>IF($C968="","",M968*U968/100)</f>
        <v/>
      </c>
      <c r="T968" s="7" t="n"/>
      <c r="U968" s="7" t="n"/>
      <c r="V968" s="7">
        <f>IF($C968="","",U968*AA968/100)</f>
        <v/>
      </c>
      <c r="W968" s="7">
        <f>IF($C968="","",U968-V968)</f>
        <v/>
      </c>
      <c r="X968" s="7">
        <f>IF($C968="","",W968-N968)</f>
        <v/>
      </c>
      <c r="AA968">
        <f>IF($C968="","",IF($AN968=1,0,IF($AM968=1,Settings!$C$6,Settings!$C$7))*100)</f>
        <v/>
      </c>
      <c r="AE968" s="7" t="n"/>
      <c r="AH968" s="11" t="n"/>
      <c r="AJ968">
        <f>IF($C968="","",$C968&amp;"|"&amp;$D968&amp;"")</f>
        <v/>
      </c>
      <c r="AK968">
        <f>IF($C968="","",IF(COUNTIF($AJ$2:$AJ968,$AJ968)=1,1,0))</f>
        <v/>
      </c>
      <c r="AL968">
        <f>IF($AK968=1,SUMPRODUCT(--($AO$2:$AO$1501&lt;$AO968))+1,"")</f>
        <v/>
      </c>
      <c r="AM968">
        <f>IF($C968="","",IF(OR($Q968=TRUE(),$Q968="TRUE"),1,0))</f>
        <v/>
      </c>
      <c r="AN968">
        <f>IF($C968="","",IF($Z968="Yes",1,0))</f>
        <v/>
      </c>
      <c r="AO968">
        <f>IF($AK968=1,IFERROR(IF(VALUE($C968)&lt;100000000,VALUE($C968),1000000000),IFERROR(IF(VALUE(MID($C968,2,20))&lt;100000000,VALUE(MID($C968,2,20)),1000000000),1000000000))+ROW()/100000,"")</f>
        <v/>
      </c>
    </row>
    <row r="969">
      <c r="F969" s="11" t="n"/>
      <c r="N969" s="7">
        <f>IF($C969="","",M969*U969/100)</f>
        <v/>
      </c>
      <c r="T969" s="7" t="n"/>
      <c r="U969" s="7" t="n"/>
      <c r="V969" s="7">
        <f>IF($C969="","",U969*AA969/100)</f>
        <v/>
      </c>
      <c r="W969" s="7">
        <f>IF($C969="","",U969-V969)</f>
        <v/>
      </c>
      <c r="X969" s="7">
        <f>IF($C969="","",W969-N969)</f>
        <v/>
      </c>
      <c r="AA969">
        <f>IF($C969="","",IF($AN969=1,0,IF($AM969=1,Settings!$C$6,Settings!$C$7))*100)</f>
        <v/>
      </c>
      <c r="AE969" s="7" t="n"/>
      <c r="AH969" s="11" t="n"/>
      <c r="AJ969">
        <f>IF($C969="","",$C969&amp;"|"&amp;$D969&amp;"")</f>
        <v/>
      </c>
      <c r="AK969">
        <f>IF($C969="","",IF(COUNTIF($AJ$2:$AJ969,$AJ969)=1,1,0))</f>
        <v/>
      </c>
      <c r="AL969">
        <f>IF($AK969=1,SUMPRODUCT(--($AO$2:$AO$1501&lt;$AO969))+1,"")</f>
        <v/>
      </c>
      <c r="AM969">
        <f>IF($C969="","",IF(OR($Q969=TRUE(),$Q969="TRUE"),1,0))</f>
        <v/>
      </c>
      <c r="AN969">
        <f>IF($C969="","",IF($Z969="Yes",1,0))</f>
        <v/>
      </c>
      <c r="AO969">
        <f>IF($AK969=1,IFERROR(IF(VALUE($C969)&lt;100000000,VALUE($C969),1000000000),IFERROR(IF(VALUE(MID($C969,2,20))&lt;100000000,VALUE(MID($C969,2,20)),1000000000),1000000000))+ROW()/100000,"")</f>
        <v/>
      </c>
    </row>
    <row r="970">
      <c r="F970" s="11" t="n"/>
      <c r="N970" s="7">
        <f>IF($C970="","",M970*U970/100)</f>
        <v/>
      </c>
      <c r="T970" s="7" t="n"/>
      <c r="U970" s="7" t="n"/>
      <c r="V970" s="7">
        <f>IF($C970="","",U970*AA970/100)</f>
        <v/>
      </c>
      <c r="W970" s="7">
        <f>IF($C970="","",U970-V970)</f>
        <v/>
      </c>
      <c r="X970" s="7">
        <f>IF($C970="","",W970-N970)</f>
        <v/>
      </c>
      <c r="AA970">
        <f>IF($C970="","",IF($AN970=1,0,IF($AM970=1,Settings!$C$6,Settings!$C$7))*100)</f>
        <v/>
      </c>
      <c r="AE970" s="7" t="n"/>
      <c r="AH970" s="11" t="n"/>
      <c r="AJ970">
        <f>IF($C970="","",$C970&amp;"|"&amp;$D970&amp;"")</f>
        <v/>
      </c>
      <c r="AK970">
        <f>IF($C970="","",IF(COUNTIF($AJ$2:$AJ970,$AJ970)=1,1,0))</f>
        <v/>
      </c>
      <c r="AL970">
        <f>IF($AK970=1,SUMPRODUCT(--($AO$2:$AO$1501&lt;$AO970))+1,"")</f>
        <v/>
      </c>
      <c r="AM970">
        <f>IF($C970="","",IF(OR($Q970=TRUE(),$Q970="TRUE"),1,0))</f>
        <v/>
      </c>
      <c r="AN970">
        <f>IF($C970="","",IF($Z970="Yes",1,0))</f>
        <v/>
      </c>
      <c r="AO970">
        <f>IF($AK970=1,IFERROR(IF(VALUE($C970)&lt;100000000,VALUE($C970),1000000000),IFERROR(IF(VALUE(MID($C970,2,20))&lt;100000000,VALUE(MID($C970,2,20)),1000000000),1000000000))+ROW()/100000,"")</f>
        <v/>
      </c>
    </row>
    <row r="971">
      <c r="F971" s="11" t="n"/>
      <c r="N971" s="7">
        <f>IF($C971="","",M971*U971/100)</f>
        <v/>
      </c>
      <c r="T971" s="7" t="n"/>
      <c r="U971" s="7" t="n"/>
      <c r="V971" s="7">
        <f>IF($C971="","",U971*AA971/100)</f>
        <v/>
      </c>
      <c r="W971" s="7">
        <f>IF($C971="","",U971-V971)</f>
        <v/>
      </c>
      <c r="X971" s="7">
        <f>IF($C971="","",W971-N971)</f>
        <v/>
      </c>
      <c r="AA971">
        <f>IF($C971="","",IF($AN971=1,0,IF($AM971=1,Settings!$C$6,Settings!$C$7))*100)</f>
        <v/>
      </c>
      <c r="AE971" s="7" t="n"/>
      <c r="AH971" s="11" t="n"/>
      <c r="AJ971">
        <f>IF($C971="","",$C971&amp;"|"&amp;$D971&amp;"")</f>
        <v/>
      </c>
      <c r="AK971">
        <f>IF($C971="","",IF(COUNTIF($AJ$2:$AJ971,$AJ971)=1,1,0))</f>
        <v/>
      </c>
      <c r="AL971">
        <f>IF($AK971=1,SUMPRODUCT(--($AO$2:$AO$1501&lt;$AO971))+1,"")</f>
        <v/>
      </c>
      <c r="AM971">
        <f>IF($C971="","",IF(OR($Q971=TRUE(),$Q971="TRUE"),1,0))</f>
        <v/>
      </c>
      <c r="AN971">
        <f>IF($C971="","",IF($Z971="Yes",1,0))</f>
        <v/>
      </c>
      <c r="AO971">
        <f>IF($AK971=1,IFERROR(IF(VALUE($C971)&lt;100000000,VALUE($C971),1000000000),IFERROR(IF(VALUE(MID($C971,2,20))&lt;100000000,VALUE(MID($C971,2,20)),1000000000),1000000000))+ROW()/100000,"")</f>
        <v/>
      </c>
    </row>
    <row r="972">
      <c r="F972" s="11" t="n"/>
      <c r="N972" s="7">
        <f>IF($C972="","",M972*U972/100)</f>
        <v/>
      </c>
      <c r="T972" s="7" t="n"/>
      <c r="U972" s="7" t="n"/>
      <c r="V972" s="7">
        <f>IF($C972="","",U972*AA972/100)</f>
        <v/>
      </c>
      <c r="W972" s="7">
        <f>IF($C972="","",U972-V972)</f>
        <v/>
      </c>
      <c r="X972" s="7">
        <f>IF($C972="","",W972-N972)</f>
        <v/>
      </c>
      <c r="AA972">
        <f>IF($C972="","",IF($AN972=1,0,IF($AM972=1,Settings!$C$6,Settings!$C$7))*100)</f>
        <v/>
      </c>
      <c r="AE972" s="7" t="n"/>
      <c r="AH972" s="11" t="n"/>
      <c r="AJ972">
        <f>IF($C972="","",$C972&amp;"|"&amp;$D972&amp;"")</f>
        <v/>
      </c>
      <c r="AK972">
        <f>IF($C972="","",IF(COUNTIF($AJ$2:$AJ972,$AJ972)=1,1,0))</f>
        <v/>
      </c>
      <c r="AL972">
        <f>IF($AK972=1,SUMPRODUCT(--($AO$2:$AO$1501&lt;$AO972))+1,"")</f>
        <v/>
      </c>
      <c r="AM972">
        <f>IF($C972="","",IF(OR($Q972=TRUE(),$Q972="TRUE"),1,0))</f>
        <v/>
      </c>
      <c r="AN972">
        <f>IF($C972="","",IF($Z972="Yes",1,0))</f>
        <v/>
      </c>
      <c r="AO972">
        <f>IF($AK972=1,IFERROR(IF(VALUE($C972)&lt;100000000,VALUE($C972),1000000000),IFERROR(IF(VALUE(MID($C972,2,20))&lt;100000000,VALUE(MID($C972,2,20)),1000000000),1000000000))+ROW()/100000,"")</f>
        <v/>
      </c>
    </row>
    <row r="973">
      <c r="F973" s="11" t="n"/>
      <c r="N973" s="7">
        <f>IF($C973="","",M973*U973/100)</f>
        <v/>
      </c>
      <c r="T973" s="7" t="n"/>
      <c r="U973" s="7" t="n"/>
      <c r="V973" s="7">
        <f>IF($C973="","",U973*AA973/100)</f>
        <v/>
      </c>
      <c r="W973" s="7">
        <f>IF($C973="","",U973-V973)</f>
        <v/>
      </c>
      <c r="X973" s="7">
        <f>IF($C973="","",W973-N973)</f>
        <v/>
      </c>
      <c r="AA973">
        <f>IF($C973="","",IF($AN973=1,0,IF($AM973=1,Settings!$C$6,Settings!$C$7))*100)</f>
        <v/>
      </c>
      <c r="AE973" s="7" t="n"/>
      <c r="AH973" s="11" t="n"/>
      <c r="AJ973">
        <f>IF($C973="","",$C973&amp;"|"&amp;$D973&amp;"")</f>
        <v/>
      </c>
      <c r="AK973">
        <f>IF($C973="","",IF(COUNTIF($AJ$2:$AJ973,$AJ973)=1,1,0))</f>
        <v/>
      </c>
      <c r="AL973">
        <f>IF($AK973=1,SUMPRODUCT(--($AO$2:$AO$1501&lt;$AO973))+1,"")</f>
        <v/>
      </c>
      <c r="AM973">
        <f>IF($C973="","",IF(OR($Q973=TRUE(),$Q973="TRUE"),1,0))</f>
        <v/>
      </c>
      <c r="AN973">
        <f>IF($C973="","",IF($Z973="Yes",1,0))</f>
        <v/>
      </c>
      <c r="AO973">
        <f>IF($AK973=1,IFERROR(IF(VALUE($C973)&lt;100000000,VALUE($C973),1000000000),IFERROR(IF(VALUE(MID($C973,2,20))&lt;100000000,VALUE(MID($C973,2,20)),1000000000),1000000000))+ROW()/100000,"")</f>
        <v/>
      </c>
    </row>
    <row r="974">
      <c r="F974" s="11" t="n"/>
      <c r="N974" s="7">
        <f>IF($C974="","",M974*U974/100)</f>
        <v/>
      </c>
      <c r="T974" s="7" t="n"/>
      <c r="U974" s="7" t="n"/>
      <c r="V974" s="7">
        <f>IF($C974="","",U974*AA974/100)</f>
        <v/>
      </c>
      <c r="W974" s="7">
        <f>IF($C974="","",U974-V974)</f>
        <v/>
      </c>
      <c r="X974" s="7">
        <f>IF($C974="","",W974-N974)</f>
        <v/>
      </c>
      <c r="AA974">
        <f>IF($C974="","",IF($AN974=1,0,IF($AM974=1,Settings!$C$6,Settings!$C$7))*100)</f>
        <v/>
      </c>
      <c r="AE974" s="7" t="n"/>
      <c r="AH974" s="11" t="n"/>
      <c r="AJ974">
        <f>IF($C974="","",$C974&amp;"|"&amp;$D974&amp;"")</f>
        <v/>
      </c>
      <c r="AK974">
        <f>IF($C974="","",IF(COUNTIF($AJ$2:$AJ974,$AJ974)=1,1,0))</f>
        <v/>
      </c>
      <c r="AL974">
        <f>IF($AK974=1,SUMPRODUCT(--($AO$2:$AO$1501&lt;$AO974))+1,"")</f>
        <v/>
      </c>
      <c r="AM974">
        <f>IF($C974="","",IF(OR($Q974=TRUE(),$Q974="TRUE"),1,0))</f>
        <v/>
      </c>
      <c r="AN974">
        <f>IF($C974="","",IF($Z974="Yes",1,0))</f>
        <v/>
      </c>
      <c r="AO974">
        <f>IF($AK974=1,IFERROR(IF(VALUE($C974)&lt;100000000,VALUE($C974),1000000000),IFERROR(IF(VALUE(MID($C974,2,20))&lt;100000000,VALUE(MID($C974,2,20)),1000000000),1000000000))+ROW()/100000,"")</f>
        <v/>
      </c>
    </row>
    <row r="975">
      <c r="F975" s="11" t="n"/>
      <c r="N975" s="7">
        <f>IF($C975="","",M975*U975/100)</f>
        <v/>
      </c>
      <c r="T975" s="7" t="n"/>
      <c r="U975" s="7" t="n"/>
      <c r="V975" s="7">
        <f>IF($C975="","",U975*AA975/100)</f>
        <v/>
      </c>
      <c r="W975" s="7">
        <f>IF($C975="","",U975-V975)</f>
        <v/>
      </c>
      <c r="X975" s="7">
        <f>IF($C975="","",W975-N975)</f>
        <v/>
      </c>
      <c r="AA975">
        <f>IF($C975="","",IF($AN975=1,0,IF($AM975=1,Settings!$C$6,Settings!$C$7))*100)</f>
        <v/>
      </c>
      <c r="AE975" s="7" t="n"/>
      <c r="AH975" s="11" t="n"/>
      <c r="AJ975">
        <f>IF($C975="","",$C975&amp;"|"&amp;$D975&amp;"")</f>
        <v/>
      </c>
      <c r="AK975">
        <f>IF($C975="","",IF(COUNTIF($AJ$2:$AJ975,$AJ975)=1,1,0))</f>
        <v/>
      </c>
      <c r="AL975">
        <f>IF($AK975=1,SUMPRODUCT(--($AO$2:$AO$1501&lt;$AO975))+1,"")</f>
        <v/>
      </c>
      <c r="AM975">
        <f>IF($C975="","",IF(OR($Q975=TRUE(),$Q975="TRUE"),1,0))</f>
        <v/>
      </c>
      <c r="AN975">
        <f>IF($C975="","",IF($Z975="Yes",1,0))</f>
        <v/>
      </c>
      <c r="AO975">
        <f>IF($AK975=1,IFERROR(IF(VALUE($C975)&lt;100000000,VALUE($C975),1000000000),IFERROR(IF(VALUE(MID($C975,2,20))&lt;100000000,VALUE(MID($C975,2,20)),1000000000),1000000000))+ROW()/100000,"")</f>
        <v/>
      </c>
    </row>
    <row r="976">
      <c r="F976" s="11" t="n"/>
      <c r="N976" s="7">
        <f>IF($C976="","",M976*U976/100)</f>
        <v/>
      </c>
      <c r="T976" s="7" t="n"/>
      <c r="U976" s="7" t="n"/>
      <c r="V976" s="7">
        <f>IF($C976="","",U976*AA976/100)</f>
        <v/>
      </c>
      <c r="W976" s="7">
        <f>IF($C976="","",U976-V976)</f>
        <v/>
      </c>
      <c r="X976" s="7">
        <f>IF($C976="","",W976-N976)</f>
        <v/>
      </c>
      <c r="AA976">
        <f>IF($C976="","",IF($AN976=1,0,IF($AM976=1,Settings!$C$6,Settings!$C$7))*100)</f>
        <v/>
      </c>
      <c r="AE976" s="7" t="n"/>
      <c r="AH976" s="11" t="n"/>
      <c r="AJ976">
        <f>IF($C976="","",$C976&amp;"|"&amp;$D976&amp;"")</f>
        <v/>
      </c>
      <c r="AK976">
        <f>IF($C976="","",IF(COUNTIF($AJ$2:$AJ976,$AJ976)=1,1,0))</f>
        <v/>
      </c>
      <c r="AL976">
        <f>IF($AK976=1,SUMPRODUCT(--($AO$2:$AO$1501&lt;$AO976))+1,"")</f>
        <v/>
      </c>
      <c r="AM976">
        <f>IF($C976="","",IF(OR($Q976=TRUE(),$Q976="TRUE"),1,0))</f>
        <v/>
      </c>
      <c r="AN976">
        <f>IF($C976="","",IF($Z976="Yes",1,0))</f>
        <v/>
      </c>
      <c r="AO976">
        <f>IF($AK976=1,IFERROR(IF(VALUE($C976)&lt;100000000,VALUE($C976),1000000000),IFERROR(IF(VALUE(MID($C976,2,20))&lt;100000000,VALUE(MID($C976,2,20)),1000000000),1000000000))+ROW()/100000,"")</f>
        <v/>
      </c>
    </row>
    <row r="977">
      <c r="F977" s="11" t="n"/>
      <c r="N977" s="7">
        <f>IF($C977="","",M977*U977/100)</f>
        <v/>
      </c>
      <c r="T977" s="7" t="n"/>
      <c r="U977" s="7" t="n"/>
      <c r="V977" s="7">
        <f>IF($C977="","",U977*AA977/100)</f>
        <v/>
      </c>
      <c r="W977" s="7">
        <f>IF($C977="","",U977-V977)</f>
        <v/>
      </c>
      <c r="X977" s="7">
        <f>IF($C977="","",W977-N977)</f>
        <v/>
      </c>
      <c r="AA977">
        <f>IF($C977="","",IF($AN977=1,0,IF($AM977=1,Settings!$C$6,Settings!$C$7))*100)</f>
        <v/>
      </c>
      <c r="AE977" s="7" t="n"/>
      <c r="AH977" s="11" t="n"/>
      <c r="AJ977">
        <f>IF($C977="","",$C977&amp;"|"&amp;$D977&amp;"")</f>
        <v/>
      </c>
      <c r="AK977">
        <f>IF($C977="","",IF(COUNTIF($AJ$2:$AJ977,$AJ977)=1,1,0))</f>
        <v/>
      </c>
      <c r="AL977">
        <f>IF($AK977=1,SUMPRODUCT(--($AO$2:$AO$1501&lt;$AO977))+1,"")</f>
        <v/>
      </c>
      <c r="AM977">
        <f>IF($C977="","",IF(OR($Q977=TRUE(),$Q977="TRUE"),1,0))</f>
        <v/>
      </c>
      <c r="AN977">
        <f>IF($C977="","",IF($Z977="Yes",1,0))</f>
        <v/>
      </c>
      <c r="AO977">
        <f>IF($AK977=1,IFERROR(IF(VALUE($C977)&lt;100000000,VALUE($C977),1000000000),IFERROR(IF(VALUE(MID($C977,2,20))&lt;100000000,VALUE(MID($C977,2,20)),1000000000),1000000000))+ROW()/100000,"")</f>
        <v/>
      </c>
    </row>
    <row r="978">
      <c r="F978" s="11" t="n"/>
      <c r="N978" s="7">
        <f>IF($C978="","",M978*U978/100)</f>
        <v/>
      </c>
      <c r="T978" s="7" t="n"/>
      <c r="U978" s="7" t="n"/>
      <c r="V978" s="7">
        <f>IF($C978="","",U978*AA978/100)</f>
        <v/>
      </c>
      <c r="W978" s="7">
        <f>IF($C978="","",U978-V978)</f>
        <v/>
      </c>
      <c r="X978" s="7">
        <f>IF($C978="","",W978-N978)</f>
        <v/>
      </c>
      <c r="AA978">
        <f>IF($C978="","",IF($AN978=1,0,IF($AM978=1,Settings!$C$6,Settings!$C$7))*100)</f>
        <v/>
      </c>
      <c r="AE978" s="7" t="n"/>
      <c r="AH978" s="11" t="n"/>
      <c r="AJ978">
        <f>IF($C978="","",$C978&amp;"|"&amp;$D978&amp;"")</f>
        <v/>
      </c>
      <c r="AK978">
        <f>IF($C978="","",IF(COUNTIF($AJ$2:$AJ978,$AJ978)=1,1,0))</f>
        <v/>
      </c>
      <c r="AL978">
        <f>IF($AK978=1,SUMPRODUCT(--($AO$2:$AO$1501&lt;$AO978))+1,"")</f>
        <v/>
      </c>
      <c r="AM978">
        <f>IF($C978="","",IF(OR($Q978=TRUE(),$Q978="TRUE"),1,0))</f>
        <v/>
      </c>
      <c r="AN978">
        <f>IF($C978="","",IF($Z978="Yes",1,0))</f>
        <v/>
      </c>
      <c r="AO978">
        <f>IF($AK978=1,IFERROR(IF(VALUE($C978)&lt;100000000,VALUE($C978),1000000000),IFERROR(IF(VALUE(MID($C978,2,20))&lt;100000000,VALUE(MID($C978,2,20)),1000000000),1000000000))+ROW()/100000,"")</f>
        <v/>
      </c>
    </row>
    <row r="979">
      <c r="F979" s="11" t="n"/>
      <c r="N979" s="7">
        <f>IF($C979="","",M979*U979/100)</f>
        <v/>
      </c>
      <c r="T979" s="7" t="n"/>
      <c r="U979" s="7" t="n"/>
      <c r="V979" s="7">
        <f>IF($C979="","",U979*AA979/100)</f>
        <v/>
      </c>
      <c r="W979" s="7">
        <f>IF($C979="","",U979-V979)</f>
        <v/>
      </c>
      <c r="X979" s="7">
        <f>IF($C979="","",W979-N979)</f>
        <v/>
      </c>
      <c r="AA979">
        <f>IF($C979="","",IF($AN979=1,0,IF($AM979=1,Settings!$C$6,Settings!$C$7))*100)</f>
        <v/>
      </c>
      <c r="AE979" s="7" t="n"/>
      <c r="AH979" s="11" t="n"/>
      <c r="AJ979">
        <f>IF($C979="","",$C979&amp;"|"&amp;$D979&amp;"")</f>
        <v/>
      </c>
      <c r="AK979">
        <f>IF($C979="","",IF(COUNTIF($AJ$2:$AJ979,$AJ979)=1,1,0))</f>
        <v/>
      </c>
      <c r="AL979">
        <f>IF($AK979=1,SUMPRODUCT(--($AO$2:$AO$1501&lt;$AO979))+1,"")</f>
        <v/>
      </c>
      <c r="AM979">
        <f>IF($C979="","",IF(OR($Q979=TRUE(),$Q979="TRUE"),1,0))</f>
        <v/>
      </c>
      <c r="AN979">
        <f>IF($C979="","",IF($Z979="Yes",1,0))</f>
        <v/>
      </c>
      <c r="AO979">
        <f>IF($AK979=1,IFERROR(IF(VALUE($C979)&lt;100000000,VALUE($C979),1000000000),IFERROR(IF(VALUE(MID($C979,2,20))&lt;100000000,VALUE(MID($C979,2,20)),1000000000),1000000000))+ROW()/100000,"")</f>
        <v/>
      </c>
    </row>
    <row r="980">
      <c r="F980" s="11" t="n"/>
      <c r="N980" s="7">
        <f>IF($C980="","",M980*U980/100)</f>
        <v/>
      </c>
      <c r="T980" s="7" t="n"/>
      <c r="U980" s="7" t="n"/>
      <c r="V980" s="7">
        <f>IF($C980="","",U980*AA980/100)</f>
        <v/>
      </c>
      <c r="W980" s="7">
        <f>IF($C980="","",U980-V980)</f>
        <v/>
      </c>
      <c r="X980" s="7">
        <f>IF($C980="","",W980-N980)</f>
        <v/>
      </c>
      <c r="AA980">
        <f>IF($C980="","",IF($AN980=1,0,IF($AM980=1,Settings!$C$6,Settings!$C$7))*100)</f>
        <v/>
      </c>
      <c r="AE980" s="7" t="n"/>
      <c r="AH980" s="11" t="n"/>
      <c r="AJ980">
        <f>IF($C980="","",$C980&amp;"|"&amp;$D980&amp;"")</f>
        <v/>
      </c>
      <c r="AK980">
        <f>IF($C980="","",IF(COUNTIF($AJ$2:$AJ980,$AJ980)=1,1,0))</f>
        <v/>
      </c>
      <c r="AL980">
        <f>IF($AK980=1,SUMPRODUCT(--($AO$2:$AO$1501&lt;$AO980))+1,"")</f>
        <v/>
      </c>
      <c r="AM980">
        <f>IF($C980="","",IF(OR($Q980=TRUE(),$Q980="TRUE"),1,0))</f>
        <v/>
      </c>
      <c r="AN980">
        <f>IF($C980="","",IF($Z980="Yes",1,0))</f>
        <v/>
      </c>
      <c r="AO980">
        <f>IF($AK980=1,IFERROR(IF(VALUE($C980)&lt;100000000,VALUE($C980),1000000000),IFERROR(IF(VALUE(MID($C980,2,20))&lt;100000000,VALUE(MID($C980,2,20)),1000000000),1000000000))+ROW()/100000,"")</f>
        <v/>
      </c>
    </row>
    <row r="981">
      <c r="F981" s="11" t="n"/>
      <c r="N981" s="7">
        <f>IF($C981="","",M981*U981/100)</f>
        <v/>
      </c>
      <c r="T981" s="7" t="n"/>
      <c r="U981" s="7" t="n"/>
      <c r="V981" s="7">
        <f>IF($C981="","",U981*AA981/100)</f>
        <v/>
      </c>
      <c r="W981" s="7">
        <f>IF($C981="","",U981-V981)</f>
        <v/>
      </c>
      <c r="X981" s="7">
        <f>IF($C981="","",W981-N981)</f>
        <v/>
      </c>
      <c r="AA981">
        <f>IF($C981="","",IF($AN981=1,0,IF($AM981=1,Settings!$C$6,Settings!$C$7))*100)</f>
        <v/>
      </c>
      <c r="AE981" s="7" t="n"/>
      <c r="AH981" s="11" t="n"/>
      <c r="AJ981">
        <f>IF($C981="","",$C981&amp;"|"&amp;$D981&amp;"")</f>
        <v/>
      </c>
      <c r="AK981">
        <f>IF($C981="","",IF(COUNTIF($AJ$2:$AJ981,$AJ981)=1,1,0))</f>
        <v/>
      </c>
      <c r="AL981">
        <f>IF($AK981=1,SUMPRODUCT(--($AO$2:$AO$1501&lt;$AO981))+1,"")</f>
        <v/>
      </c>
      <c r="AM981">
        <f>IF($C981="","",IF(OR($Q981=TRUE(),$Q981="TRUE"),1,0))</f>
        <v/>
      </c>
      <c r="AN981">
        <f>IF($C981="","",IF($Z981="Yes",1,0))</f>
        <v/>
      </c>
      <c r="AO981">
        <f>IF($AK981=1,IFERROR(IF(VALUE($C981)&lt;100000000,VALUE($C981),1000000000),IFERROR(IF(VALUE(MID($C981,2,20))&lt;100000000,VALUE(MID($C981,2,20)),1000000000),1000000000))+ROW()/100000,"")</f>
        <v/>
      </c>
    </row>
    <row r="982">
      <c r="F982" s="11" t="n"/>
      <c r="N982" s="7">
        <f>IF($C982="","",M982*U982/100)</f>
        <v/>
      </c>
      <c r="T982" s="7" t="n"/>
      <c r="U982" s="7" t="n"/>
      <c r="V982" s="7">
        <f>IF($C982="","",U982*AA982/100)</f>
        <v/>
      </c>
      <c r="W982" s="7">
        <f>IF($C982="","",U982-V982)</f>
        <v/>
      </c>
      <c r="X982" s="7">
        <f>IF($C982="","",W982-N982)</f>
        <v/>
      </c>
      <c r="AA982">
        <f>IF($C982="","",IF($AN982=1,0,IF($AM982=1,Settings!$C$6,Settings!$C$7))*100)</f>
        <v/>
      </c>
      <c r="AE982" s="7" t="n"/>
      <c r="AH982" s="11" t="n"/>
      <c r="AJ982">
        <f>IF($C982="","",$C982&amp;"|"&amp;$D982&amp;"")</f>
        <v/>
      </c>
      <c r="AK982">
        <f>IF($C982="","",IF(COUNTIF($AJ$2:$AJ982,$AJ982)=1,1,0))</f>
        <v/>
      </c>
      <c r="AL982">
        <f>IF($AK982=1,SUMPRODUCT(--($AO$2:$AO$1501&lt;$AO982))+1,"")</f>
        <v/>
      </c>
      <c r="AM982">
        <f>IF($C982="","",IF(OR($Q982=TRUE(),$Q982="TRUE"),1,0))</f>
        <v/>
      </c>
      <c r="AN982">
        <f>IF($C982="","",IF($Z982="Yes",1,0))</f>
        <v/>
      </c>
      <c r="AO982">
        <f>IF($AK982=1,IFERROR(IF(VALUE($C982)&lt;100000000,VALUE($C982),1000000000),IFERROR(IF(VALUE(MID($C982,2,20))&lt;100000000,VALUE(MID($C982,2,20)),1000000000),1000000000))+ROW()/100000,"")</f>
        <v/>
      </c>
    </row>
    <row r="983">
      <c r="F983" s="11" t="n"/>
      <c r="N983" s="7">
        <f>IF($C983="","",M983*U983/100)</f>
        <v/>
      </c>
      <c r="T983" s="7" t="n"/>
      <c r="U983" s="7" t="n"/>
      <c r="V983" s="7">
        <f>IF($C983="","",U983*AA983/100)</f>
        <v/>
      </c>
      <c r="W983" s="7">
        <f>IF($C983="","",U983-V983)</f>
        <v/>
      </c>
      <c r="X983" s="7">
        <f>IF($C983="","",W983-N983)</f>
        <v/>
      </c>
      <c r="AA983">
        <f>IF($C983="","",IF($AN983=1,0,IF($AM983=1,Settings!$C$6,Settings!$C$7))*100)</f>
        <v/>
      </c>
      <c r="AE983" s="7" t="n"/>
      <c r="AH983" s="11" t="n"/>
      <c r="AJ983">
        <f>IF($C983="","",$C983&amp;"|"&amp;$D983&amp;"")</f>
        <v/>
      </c>
      <c r="AK983">
        <f>IF($C983="","",IF(COUNTIF($AJ$2:$AJ983,$AJ983)=1,1,0))</f>
        <v/>
      </c>
      <c r="AL983">
        <f>IF($AK983=1,SUMPRODUCT(--($AO$2:$AO$1501&lt;$AO983))+1,"")</f>
        <v/>
      </c>
      <c r="AM983">
        <f>IF($C983="","",IF(OR($Q983=TRUE(),$Q983="TRUE"),1,0))</f>
        <v/>
      </c>
      <c r="AN983">
        <f>IF($C983="","",IF($Z983="Yes",1,0))</f>
        <v/>
      </c>
      <c r="AO983">
        <f>IF($AK983=1,IFERROR(IF(VALUE($C983)&lt;100000000,VALUE($C983),1000000000),IFERROR(IF(VALUE(MID($C983,2,20))&lt;100000000,VALUE(MID($C983,2,20)),1000000000),1000000000))+ROW()/100000,"")</f>
        <v/>
      </c>
    </row>
    <row r="984">
      <c r="F984" s="11" t="n"/>
      <c r="N984" s="7">
        <f>IF($C984="","",M984*U984/100)</f>
        <v/>
      </c>
      <c r="T984" s="7" t="n"/>
      <c r="U984" s="7" t="n"/>
      <c r="V984" s="7">
        <f>IF($C984="","",U984*AA984/100)</f>
        <v/>
      </c>
      <c r="W984" s="7">
        <f>IF($C984="","",U984-V984)</f>
        <v/>
      </c>
      <c r="X984" s="7">
        <f>IF($C984="","",W984-N984)</f>
        <v/>
      </c>
      <c r="AA984">
        <f>IF($C984="","",IF($AN984=1,0,IF($AM984=1,Settings!$C$6,Settings!$C$7))*100)</f>
        <v/>
      </c>
      <c r="AE984" s="7" t="n"/>
      <c r="AH984" s="11" t="n"/>
      <c r="AJ984">
        <f>IF($C984="","",$C984&amp;"|"&amp;$D984&amp;"")</f>
        <v/>
      </c>
      <c r="AK984">
        <f>IF($C984="","",IF(COUNTIF($AJ$2:$AJ984,$AJ984)=1,1,0))</f>
        <v/>
      </c>
      <c r="AL984">
        <f>IF($AK984=1,SUMPRODUCT(--($AO$2:$AO$1501&lt;$AO984))+1,"")</f>
        <v/>
      </c>
      <c r="AM984">
        <f>IF($C984="","",IF(OR($Q984=TRUE(),$Q984="TRUE"),1,0))</f>
        <v/>
      </c>
      <c r="AN984">
        <f>IF($C984="","",IF($Z984="Yes",1,0))</f>
        <v/>
      </c>
      <c r="AO984">
        <f>IF($AK984=1,IFERROR(IF(VALUE($C984)&lt;100000000,VALUE($C984),1000000000),IFERROR(IF(VALUE(MID($C984,2,20))&lt;100000000,VALUE(MID($C984,2,20)),1000000000),1000000000))+ROW()/100000,"")</f>
        <v/>
      </c>
    </row>
    <row r="985">
      <c r="F985" s="11" t="n"/>
      <c r="N985" s="7">
        <f>IF($C985="","",M985*U985/100)</f>
        <v/>
      </c>
      <c r="T985" s="7" t="n"/>
      <c r="U985" s="7" t="n"/>
      <c r="V985" s="7">
        <f>IF($C985="","",U985*AA985/100)</f>
        <v/>
      </c>
      <c r="W985" s="7">
        <f>IF($C985="","",U985-V985)</f>
        <v/>
      </c>
      <c r="X985" s="7">
        <f>IF($C985="","",W985-N985)</f>
        <v/>
      </c>
      <c r="AA985">
        <f>IF($C985="","",IF($AN985=1,0,IF($AM985=1,Settings!$C$6,Settings!$C$7))*100)</f>
        <v/>
      </c>
      <c r="AE985" s="7" t="n"/>
      <c r="AH985" s="11" t="n"/>
      <c r="AJ985">
        <f>IF($C985="","",$C985&amp;"|"&amp;$D985&amp;"")</f>
        <v/>
      </c>
      <c r="AK985">
        <f>IF($C985="","",IF(COUNTIF($AJ$2:$AJ985,$AJ985)=1,1,0))</f>
        <v/>
      </c>
      <c r="AL985">
        <f>IF($AK985=1,SUMPRODUCT(--($AO$2:$AO$1501&lt;$AO985))+1,"")</f>
        <v/>
      </c>
      <c r="AM985">
        <f>IF($C985="","",IF(OR($Q985=TRUE(),$Q985="TRUE"),1,0))</f>
        <v/>
      </c>
      <c r="AN985">
        <f>IF($C985="","",IF($Z985="Yes",1,0))</f>
        <v/>
      </c>
      <c r="AO985">
        <f>IF($AK985=1,IFERROR(IF(VALUE($C985)&lt;100000000,VALUE($C985),1000000000),IFERROR(IF(VALUE(MID($C985,2,20))&lt;100000000,VALUE(MID($C985,2,20)),1000000000),1000000000))+ROW()/100000,"")</f>
        <v/>
      </c>
    </row>
    <row r="986">
      <c r="F986" s="11" t="n"/>
      <c r="N986" s="7">
        <f>IF($C986="","",M986*U986/100)</f>
        <v/>
      </c>
      <c r="T986" s="7" t="n"/>
      <c r="U986" s="7" t="n"/>
      <c r="V986" s="7">
        <f>IF($C986="","",U986*AA986/100)</f>
        <v/>
      </c>
      <c r="W986" s="7">
        <f>IF($C986="","",U986-V986)</f>
        <v/>
      </c>
      <c r="X986" s="7">
        <f>IF($C986="","",W986-N986)</f>
        <v/>
      </c>
      <c r="AA986">
        <f>IF($C986="","",IF($AN986=1,0,IF($AM986=1,Settings!$C$6,Settings!$C$7))*100)</f>
        <v/>
      </c>
      <c r="AE986" s="7" t="n"/>
      <c r="AH986" s="11" t="n"/>
      <c r="AJ986">
        <f>IF($C986="","",$C986&amp;"|"&amp;$D986&amp;"")</f>
        <v/>
      </c>
      <c r="AK986">
        <f>IF($C986="","",IF(COUNTIF($AJ$2:$AJ986,$AJ986)=1,1,0))</f>
        <v/>
      </c>
      <c r="AL986">
        <f>IF($AK986=1,SUMPRODUCT(--($AO$2:$AO$1501&lt;$AO986))+1,"")</f>
        <v/>
      </c>
      <c r="AM986">
        <f>IF($C986="","",IF(OR($Q986=TRUE(),$Q986="TRUE"),1,0))</f>
        <v/>
      </c>
      <c r="AN986">
        <f>IF($C986="","",IF($Z986="Yes",1,0))</f>
        <v/>
      </c>
      <c r="AO986">
        <f>IF($AK986=1,IFERROR(IF(VALUE($C986)&lt;100000000,VALUE($C986),1000000000),IFERROR(IF(VALUE(MID($C986,2,20))&lt;100000000,VALUE(MID($C986,2,20)),1000000000),1000000000))+ROW()/100000,"")</f>
        <v/>
      </c>
    </row>
    <row r="987">
      <c r="F987" s="11" t="n"/>
      <c r="N987" s="7">
        <f>IF($C987="","",M987*U987/100)</f>
        <v/>
      </c>
      <c r="T987" s="7" t="n"/>
      <c r="U987" s="7" t="n"/>
      <c r="V987" s="7">
        <f>IF($C987="","",U987*AA987/100)</f>
        <v/>
      </c>
      <c r="W987" s="7">
        <f>IF($C987="","",U987-V987)</f>
        <v/>
      </c>
      <c r="X987" s="7">
        <f>IF($C987="","",W987-N987)</f>
        <v/>
      </c>
      <c r="AA987">
        <f>IF($C987="","",IF($AN987=1,0,IF($AM987=1,Settings!$C$6,Settings!$C$7))*100)</f>
        <v/>
      </c>
      <c r="AE987" s="7" t="n"/>
      <c r="AH987" s="11" t="n"/>
      <c r="AJ987">
        <f>IF($C987="","",$C987&amp;"|"&amp;$D987&amp;"")</f>
        <v/>
      </c>
      <c r="AK987">
        <f>IF($C987="","",IF(COUNTIF($AJ$2:$AJ987,$AJ987)=1,1,0))</f>
        <v/>
      </c>
      <c r="AL987">
        <f>IF($AK987=1,SUMPRODUCT(--($AO$2:$AO$1501&lt;$AO987))+1,"")</f>
        <v/>
      </c>
      <c r="AM987">
        <f>IF($C987="","",IF(OR($Q987=TRUE(),$Q987="TRUE"),1,0))</f>
        <v/>
      </c>
      <c r="AN987">
        <f>IF($C987="","",IF($Z987="Yes",1,0))</f>
        <v/>
      </c>
      <c r="AO987">
        <f>IF($AK987=1,IFERROR(IF(VALUE($C987)&lt;100000000,VALUE($C987),1000000000),IFERROR(IF(VALUE(MID($C987,2,20))&lt;100000000,VALUE(MID($C987,2,20)),1000000000),1000000000))+ROW()/100000,"")</f>
        <v/>
      </c>
    </row>
    <row r="988">
      <c r="F988" s="11" t="n"/>
      <c r="N988" s="7">
        <f>IF($C988="","",M988*U988/100)</f>
        <v/>
      </c>
      <c r="T988" s="7" t="n"/>
      <c r="U988" s="7" t="n"/>
      <c r="V988" s="7">
        <f>IF($C988="","",U988*AA988/100)</f>
        <v/>
      </c>
      <c r="W988" s="7">
        <f>IF($C988="","",U988-V988)</f>
        <v/>
      </c>
      <c r="X988" s="7">
        <f>IF($C988="","",W988-N988)</f>
        <v/>
      </c>
      <c r="AA988">
        <f>IF($C988="","",IF($AN988=1,0,IF($AM988=1,Settings!$C$6,Settings!$C$7))*100)</f>
        <v/>
      </c>
      <c r="AE988" s="7" t="n"/>
      <c r="AH988" s="11" t="n"/>
      <c r="AJ988">
        <f>IF($C988="","",$C988&amp;"|"&amp;$D988&amp;"")</f>
        <v/>
      </c>
      <c r="AK988">
        <f>IF($C988="","",IF(COUNTIF($AJ$2:$AJ988,$AJ988)=1,1,0))</f>
        <v/>
      </c>
      <c r="AL988">
        <f>IF($AK988=1,SUMPRODUCT(--($AO$2:$AO$1501&lt;$AO988))+1,"")</f>
        <v/>
      </c>
      <c r="AM988">
        <f>IF($C988="","",IF(OR($Q988=TRUE(),$Q988="TRUE"),1,0))</f>
        <v/>
      </c>
      <c r="AN988">
        <f>IF($C988="","",IF($Z988="Yes",1,0))</f>
        <v/>
      </c>
      <c r="AO988">
        <f>IF($AK988=1,IFERROR(IF(VALUE($C988)&lt;100000000,VALUE($C988),1000000000),IFERROR(IF(VALUE(MID($C988,2,20))&lt;100000000,VALUE(MID($C988,2,20)),1000000000),1000000000))+ROW()/100000,"")</f>
        <v/>
      </c>
    </row>
    <row r="989">
      <c r="F989" s="11" t="n"/>
      <c r="N989" s="7">
        <f>IF($C989="","",M989*U989/100)</f>
        <v/>
      </c>
      <c r="T989" s="7" t="n"/>
      <c r="U989" s="7" t="n"/>
      <c r="V989" s="7">
        <f>IF($C989="","",U989*AA989/100)</f>
        <v/>
      </c>
      <c r="W989" s="7">
        <f>IF($C989="","",U989-V989)</f>
        <v/>
      </c>
      <c r="X989" s="7">
        <f>IF($C989="","",W989-N989)</f>
        <v/>
      </c>
      <c r="AA989">
        <f>IF($C989="","",IF($AN989=1,0,IF($AM989=1,Settings!$C$6,Settings!$C$7))*100)</f>
        <v/>
      </c>
      <c r="AE989" s="7" t="n"/>
      <c r="AH989" s="11" t="n"/>
      <c r="AJ989">
        <f>IF($C989="","",$C989&amp;"|"&amp;$D989&amp;"")</f>
        <v/>
      </c>
      <c r="AK989">
        <f>IF($C989="","",IF(COUNTIF($AJ$2:$AJ989,$AJ989)=1,1,0))</f>
        <v/>
      </c>
      <c r="AL989">
        <f>IF($AK989=1,SUMPRODUCT(--($AO$2:$AO$1501&lt;$AO989))+1,"")</f>
        <v/>
      </c>
      <c r="AM989">
        <f>IF($C989="","",IF(OR($Q989=TRUE(),$Q989="TRUE"),1,0))</f>
        <v/>
      </c>
      <c r="AN989">
        <f>IF($C989="","",IF($Z989="Yes",1,0))</f>
        <v/>
      </c>
      <c r="AO989">
        <f>IF($AK989=1,IFERROR(IF(VALUE($C989)&lt;100000000,VALUE($C989),1000000000),IFERROR(IF(VALUE(MID($C989,2,20))&lt;100000000,VALUE(MID($C989,2,20)),1000000000),1000000000))+ROW()/100000,"")</f>
        <v/>
      </c>
    </row>
    <row r="990">
      <c r="F990" s="11" t="n"/>
      <c r="N990" s="7">
        <f>IF($C990="","",M990*U990/100)</f>
        <v/>
      </c>
      <c r="T990" s="7" t="n"/>
      <c r="U990" s="7" t="n"/>
      <c r="V990" s="7">
        <f>IF($C990="","",U990*AA990/100)</f>
        <v/>
      </c>
      <c r="W990" s="7">
        <f>IF($C990="","",U990-V990)</f>
        <v/>
      </c>
      <c r="X990" s="7">
        <f>IF($C990="","",W990-N990)</f>
        <v/>
      </c>
      <c r="AA990">
        <f>IF($C990="","",IF($AN990=1,0,IF($AM990=1,Settings!$C$6,Settings!$C$7))*100)</f>
        <v/>
      </c>
      <c r="AE990" s="7" t="n"/>
      <c r="AH990" s="11" t="n"/>
      <c r="AJ990">
        <f>IF($C990="","",$C990&amp;"|"&amp;$D990&amp;"")</f>
        <v/>
      </c>
      <c r="AK990">
        <f>IF($C990="","",IF(COUNTIF($AJ$2:$AJ990,$AJ990)=1,1,0))</f>
        <v/>
      </c>
      <c r="AL990">
        <f>IF($AK990=1,SUMPRODUCT(--($AO$2:$AO$1501&lt;$AO990))+1,"")</f>
        <v/>
      </c>
      <c r="AM990">
        <f>IF($C990="","",IF(OR($Q990=TRUE(),$Q990="TRUE"),1,0))</f>
        <v/>
      </c>
      <c r="AN990">
        <f>IF($C990="","",IF($Z990="Yes",1,0))</f>
        <v/>
      </c>
      <c r="AO990">
        <f>IF($AK990=1,IFERROR(IF(VALUE($C990)&lt;100000000,VALUE($C990),1000000000),IFERROR(IF(VALUE(MID($C990,2,20))&lt;100000000,VALUE(MID($C990,2,20)),1000000000),1000000000))+ROW()/100000,"")</f>
        <v/>
      </c>
    </row>
    <row r="991">
      <c r="F991" s="11" t="n"/>
      <c r="N991" s="7">
        <f>IF($C991="","",M991*U991/100)</f>
        <v/>
      </c>
      <c r="T991" s="7" t="n"/>
      <c r="U991" s="7" t="n"/>
      <c r="V991" s="7">
        <f>IF($C991="","",U991*AA991/100)</f>
        <v/>
      </c>
      <c r="W991" s="7">
        <f>IF($C991="","",U991-V991)</f>
        <v/>
      </c>
      <c r="X991" s="7">
        <f>IF($C991="","",W991-N991)</f>
        <v/>
      </c>
      <c r="AA991">
        <f>IF($C991="","",IF($AN991=1,0,IF($AM991=1,Settings!$C$6,Settings!$C$7))*100)</f>
        <v/>
      </c>
      <c r="AE991" s="7" t="n"/>
      <c r="AH991" s="11" t="n"/>
      <c r="AJ991">
        <f>IF($C991="","",$C991&amp;"|"&amp;$D991&amp;"")</f>
        <v/>
      </c>
      <c r="AK991">
        <f>IF($C991="","",IF(COUNTIF($AJ$2:$AJ991,$AJ991)=1,1,0))</f>
        <v/>
      </c>
      <c r="AL991">
        <f>IF($AK991=1,SUMPRODUCT(--($AO$2:$AO$1501&lt;$AO991))+1,"")</f>
        <v/>
      </c>
      <c r="AM991">
        <f>IF($C991="","",IF(OR($Q991=TRUE(),$Q991="TRUE"),1,0))</f>
        <v/>
      </c>
      <c r="AN991">
        <f>IF($C991="","",IF($Z991="Yes",1,0))</f>
        <v/>
      </c>
      <c r="AO991">
        <f>IF($AK991=1,IFERROR(IF(VALUE($C991)&lt;100000000,VALUE($C991),1000000000),IFERROR(IF(VALUE(MID($C991,2,20))&lt;100000000,VALUE(MID($C991,2,20)),1000000000),1000000000))+ROW()/100000,"")</f>
        <v/>
      </c>
    </row>
    <row r="992">
      <c r="F992" s="11" t="n"/>
      <c r="N992" s="7">
        <f>IF($C992="","",M992*U992/100)</f>
        <v/>
      </c>
      <c r="T992" s="7" t="n"/>
      <c r="U992" s="7" t="n"/>
      <c r="V992" s="7">
        <f>IF($C992="","",U992*AA992/100)</f>
        <v/>
      </c>
      <c r="W992" s="7">
        <f>IF($C992="","",U992-V992)</f>
        <v/>
      </c>
      <c r="X992" s="7">
        <f>IF($C992="","",W992-N992)</f>
        <v/>
      </c>
      <c r="AA992">
        <f>IF($C992="","",IF($AN992=1,0,IF($AM992=1,Settings!$C$6,Settings!$C$7))*100)</f>
        <v/>
      </c>
      <c r="AE992" s="7" t="n"/>
      <c r="AH992" s="11" t="n"/>
      <c r="AJ992">
        <f>IF($C992="","",$C992&amp;"|"&amp;$D992&amp;"")</f>
        <v/>
      </c>
      <c r="AK992">
        <f>IF($C992="","",IF(COUNTIF($AJ$2:$AJ992,$AJ992)=1,1,0))</f>
        <v/>
      </c>
      <c r="AL992">
        <f>IF($AK992=1,SUMPRODUCT(--($AO$2:$AO$1501&lt;$AO992))+1,"")</f>
        <v/>
      </c>
      <c r="AM992">
        <f>IF($C992="","",IF(OR($Q992=TRUE(),$Q992="TRUE"),1,0))</f>
        <v/>
      </c>
      <c r="AN992">
        <f>IF($C992="","",IF($Z992="Yes",1,0))</f>
        <v/>
      </c>
      <c r="AO992">
        <f>IF($AK992=1,IFERROR(IF(VALUE($C992)&lt;100000000,VALUE($C992),1000000000),IFERROR(IF(VALUE(MID($C992,2,20))&lt;100000000,VALUE(MID($C992,2,20)),1000000000),1000000000))+ROW()/100000,"")</f>
        <v/>
      </c>
    </row>
    <row r="993">
      <c r="F993" s="11" t="n"/>
      <c r="N993" s="7">
        <f>IF($C993="","",M993*U993/100)</f>
        <v/>
      </c>
      <c r="T993" s="7" t="n"/>
      <c r="U993" s="7" t="n"/>
      <c r="V993" s="7">
        <f>IF($C993="","",U993*AA993/100)</f>
        <v/>
      </c>
      <c r="W993" s="7">
        <f>IF($C993="","",U993-V993)</f>
        <v/>
      </c>
      <c r="X993" s="7">
        <f>IF($C993="","",W993-N993)</f>
        <v/>
      </c>
      <c r="AA993">
        <f>IF($C993="","",IF($AN993=1,0,IF($AM993=1,Settings!$C$6,Settings!$C$7))*100)</f>
        <v/>
      </c>
      <c r="AE993" s="7" t="n"/>
      <c r="AH993" s="11" t="n"/>
      <c r="AJ993">
        <f>IF($C993="","",$C993&amp;"|"&amp;$D993&amp;"")</f>
        <v/>
      </c>
      <c r="AK993">
        <f>IF($C993="","",IF(COUNTIF($AJ$2:$AJ993,$AJ993)=1,1,0))</f>
        <v/>
      </c>
      <c r="AL993">
        <f>IF($AK993=1,SUMPRODUCT(--($AO$2:$AO$1501&lt;$AO993))+1,"")</f>
        <v/>
      </c>
      <c r="AM993">
        <f>IF($C993="","",IF(OR($Q993=TRUE(),$Q993="TRUE"),1,0))</f>
        <v/>
      </c>
      <c r="AN993">
        <f>IF($C993="","",IF($Z993="Yes",1,0))</f>
        <v/>
      </c>
      <c r="AO993">
        <f>IF($AK993=1,IFERROR(IF(VALUE($C993)&lt;100000000,VALUE($C993),1000000000),IFERROR(IF(VALUE(MID($C993,2,20))&lt;100000000,VALUE(MID($C993,2,20)),1000000000),1000000000))+ROW()/100000,"")</f>
        <v/>
      </c>
    </row>
    <row r="994">
      <c r="F994" s="11" t="n"/>
      <c r="N994" s="7">
        <f>IF($C994="","",M994*U994/100)</f>
        <v/>
      </c>
      <c r="T994" s="7" t="n"/>
      <c r="U994" s="7" t="n"/>
      <c r="V994" s="7">
        <f>IF($C994="","",U994*AA994/100)</f>
        <v/>
      </c>
      <c r="W994" s="7">
        <f>IF($C994="","",U994-V994)</f>
        <v/>
      </c>
      <c r="X994" s="7">
        <f>IF($C994="","",W994-N994)</f>
        <v/>
      </c>
      <c r="AA994">
        <f>IF($C994="","",IF($AN994=1,0,IF($AM994=1,Settings!$C$6,Settings!$C$7))*100)</f>
        <v/>
      </c>
      <c r="AE994" s="7" t="n"/>
      <c r="AH994" s="11" t="n"/>
      <c r="AJ994">
        <f>IF($C994="","",$C994&amp;"|"&amp;$D994&amp;"")</f>
        <v/>
      </c>
      <c r="AK994">
        <f>IF($C994="","",IF(COUNTIF($AJ$2:$AJ994,$AJ994)=1,1,0))</f>
        <v/>
      </c>
      <c r="AL994">
        <f>IF($AK994=1,SUMPRODUCT(--($AO$2:$AO$1501&lt;$AO994))+1,"")</f>
        <v/>
      </c>
      <c r="AM994">
        <f>IF($C994="","",IF(OR($Q994=TRUE(),$Q994="TRUE"),1,0))</f>
        <v/>
      </c>
      <c r="AN994">
        <f>IF($C994="","",IF($Z994="Yes",1,0))</f>
        <v/>
      </c>
      <c r="AO994">
        <f>IF($AK994=1,IFERROR(IF(VALUE($C994)&lt;100000000,VALUE($C994),1000000000),IFERROR(IF(VALUE(MID($C994,2,20))&lt;100000000,VALUE(MID($C994,2,20)),1000000000),1000000000))+ROW()/100000,"")</f>
        <v/>
      </c>
    </row>
    <row r="995">
      <c r="F995" s="11" t="n"/>
      <c r="N995" s="7">
        <f>IF($C995="","",M995*U995/100)</f>
        <v/>
      </c>
      <c r="T995" s="7" t="n"/>
      <c r="U995" s="7" t="n"/>
      <c r="V995" s="7">
        <f>IF($C995="","",U995*AA995/100)</f>
        <v/>
      </c>
      <c r="W995" s="7">
        <f>IF($C995="","",U995-V995)</f>
        <v/>
      </c>
      <c r="X995" s="7">
        <f>IF($C995="","",W995-N995)</f>
        <v/>
      </c>
      <c r="AA995">
        <f>IF($C995="","",IF($AN995=1,0,IF($AM995=1,Settings!$C$6,Settings!$C$7))*100)</f>
        <v/>
      </c>
      <c r="AE995" s="7" t="n"/>
      <c r="AH995" s="11" t="n"/>
      <c r="AJ995">
        <f>IF($C995="","",$C995&amp;"|"&amp;$D995&amp;"")</f>
        <v/>
      </c>
      <c r="AK995">
        <f>IF($C995="","",IF(COUNTIF($AJ$2:$AJ995,$AJ995)=1,1,0))</f>
        <v/>
      </c>
      <c r="AL995">
        <f>IF($AK995=1,SUMPRODUCT(--($AO$2:$AO$1501&lt;$AO995))+1,"")</f>
        <v/>
      </c>
      <c r="AM995">
        <f>IF($C995="","",IF(OR($Q995=TRUE(),$Q995="TRUE"),1,0))</f>
        <v/>
      </c>
      <c r="AN995">
        <f>IF($C995="","",IF($Z995="Yes",1,0))</f>
        <v/>
      </c>
      <c r="AO995">
        <f>IF($AK995=1,IFERROR(IF(VALUE($C995)&lt;100000000,VALUE($C995),1000000000),IFERROR(IF(VALUE(MID($C995,2,20))&lt;100000000,VALUE(MID($C995,2,20)),1000000000),1000000000))+ROW()/100000,"")</f>
        <v/>
      </c>
    </row>
    <row r="996">
      <c r="F996" s="11" t="n"/>
      <c r="N996" s="7">
        <f>IF($C996="","",M996*U996/100)</f>
        <v/>
      </c>
      <c r="T996" s="7" t="n"/>
      <c r="U996" s="7" t="n"/>
      <c r="V996" s="7">
        <f>IF($C996="","",U996*AA996/100)</f>
        <v/>
      </c>
      <c r="W996" s="7">
        <f>IF($C996="","",U996-V996)</f>
        <v/>
      </c>
      <c r="X996" s="7">
        <f>IF($C996="","",W996-N996)</f>
        <v/>
      </c>
      <c r="AA996">
        <f>IF($C996="","",IF($AN996=1,0,IF($AM996=1,Settings!$C$6,Settings!$C$7))*100)</f>
        <v/>
      </c>
      <c r="AE996" s="7" t="n"/>
      <c r="AH996" s="11" t="n"/>
      <c r="AJ996">
        <f>IF($C996="","",$C996&amp;"|"&amp;$D996&amp;"")</f>
        <v/>
      </c>
      <c r="AK996">
        <f>IF($C996="","",IF(COUNTIF($AJ$2:$AJ996,$AJ996)=1,1,0))</f>
        <v/>
      </c>
      <c r="AL996">
        <f>IF($AK996=1,SUMPRODUCT(--($AO$2:$AO$1501&lt;$AO996))+1,"")</f>
        <v/>
      </c>
      <c r="AM996">
        <f>IF($C996="","",IF(OR($Q996=TRUE(),$Q996="TRUE"),1,0))</f>
        <v/>
      </c>
      <c r="AN996">
        <f>IF($C996="","",IF($Z996="Yes",1,0))</f>
        <v/>
      </c>
      <c r="AO996">
        <f>IF($AK996=1,IFERROR(IF(VALUE($C996)&lt;100000000,VALUE($C996),1000000000),IFERROR(IF(VALUE(MID($C996,2,20))&lt;100000000,VALUE(MID($C996,2,20)),1000000000),1000000000))+ROW()/100000,"")</f>
        <v/>
      </c>
    </row>
    <row r="997">
      <c r="F997" s="11" t="n"/>
      <c r="N997" s="7">
        <f>IF($C997="","",M997*U997/100)</f>
        <v/>
      </c>
      <c r="T997" s="7" t="n"/>
      <c r="U997" s="7" t="n"/>
      <c r="V997" s="7">
        <f>IF($C997="","",U997*AA997/100)</f>
        <v/>
      </c>
      <c r="W997" s="7">
        <f>IF($C997="","",U997-V997)</f>
        <v/>
      </c>
      <c r="X997" s="7">
        <f>IF($C997="","",W997-N997)</f>
        <v/>
      </c>
      <c r="AA997">
        <f>IF($C997="","",IF($AN997=1,0,IF($AM997=1,Settings!$C$6,Settings!$C$7))*100)</f>
        <v/>
      </c>
      <c r="AE997" s="7" t="n"/>
      <c r="AH997" s="11" t="n"/>
      <c r="AJ997">
        <f>IF($C997="","",$C997&amp;"|"&amp;$D997&amp;"")</f>
        <v/>
      </c>
      <c r="AK997">
        <f>IF($C997="","",IF(COUNTIF($AJ$2:$AJ997,$AJ997)=1,1,0))</f>
        <v/>
      </c>
      <c r="AL997">
        <f>IF($AK997=1,SUMPRODUCT(--($AO$2:$AO$1501&lt;$AO997))+1,"")</f>
        <v/>
      </c>
      <c r="AM997">
        <f>IF($C997="","",IF(OR($Q997=TRUE(),$Q997="TRUE"),1,0))</f>
        <v/>
      </c>
      <c r="AN997">
        <f>IF($C997="","",IF($Z997="Yes",1,0))</f>
        <v/>
      </c>
      <c r="AO997">
        <f>IF($AK997=1,IFERROR(IF(VALUE($C997)&lt;100000000,VALUE($C997),1000000000),IFERROR(IF(VALUE(MID($C997,2,20))&lt;100000000,VALUE(MID($C997,2,20)),1000000000),1000000000))+ROW()/100000,"")</f>
        <v/>
      </c>
    </row>
    <row r="998">
      <c r="F998" s="11" t="n"/>
      <c r="N998" s="7">
        <f>IF($C998="","",M998*U998/100)</f>
        <v/>
      </c>
      <c r="T998" s="7" t="n"/>
      <c r="U998" s="7" t="n"/>
      <c r="V998" s="7">
        <f>IF($C998="","",U998*AA998/100)</f>
        <v/>
      </c>
      <c r="W998" s="7">
        <f>IF($C998="","",U998-V998)</f>
        <v/>
      </c>
      <c r="X998" s="7">
        <f>IF($C998="","",W998-N998)</f>
        <v/>
      </c>
      <c r="AA998">
        <f>IF($C998="","",IF($AN998=1,0,IF($AM998=1,Settings!$C$6,Settings!$C$7))*100)</f>
        <v/>
      </c>
      <c r="AE998" s="7" t="n"/>
      <c r="AH998" s="11" t="n"/>
      <c r="AJ998">
        <f>IF($C998="","",$C998&amp;"|"&amp;$D998&amp;"")</f>
        <v/>
      </c>
      <c r="AK998">
        <f>IF($C998="","",IF(COUNTIF($AJ$2:$AJ998,$AJ998)=1,1,0))</f>
        <v/>
      </c>
      <c r="AL998">
        <f>IF($AK998=1,SUMPRODUCT(--($AO$2:$AO$1501&lt;$AO998))+1,"")</f>
        <v/>
      </c>
      <c r="AM998">
        <f>IF($C998="","",IF(OR($Q998=TRUE(),$Q998="TRUE"),1,0))</f>
        <v/>
      </c>
      <c r="AN998">
        <f>IF($C998="","",IF($Z998="Yes",1,0))</f>
        <v/>
      </c>
      <c r="AO998">
        <f>IF($AK998=1,IFERROR(IF(VALUE($C998)&lt;100000000,VALUE($C998),1000000000),IFERROR(IF(VALUE(MID($C998,2,20))&lt;100000000,VALUE(MID($C998,2,20)),1000000000),1000000000))+ROW()/100000,"")</f>
        <v/>
      </c>
    </row>
    <row r="999">
      <c r="F999" s="11" t="n"/>
      <c r="N999" s="7">
        <f>IF($C999="","",M999*U999/100)</f>
        <v/>
      </c>
      <c r="T999" s="7" t="n"/>
      <c r="U999" s="7" t="n"/>
      <c r="V999" s="7">
        <f>IF($C999="","",U999*AA999/100)</f>
        <v/>
      </c>
      <c r="W999" s="7">
        <f>IF($C999="","",U999-V999)</f>
        <v/>
      </c>
      <c r="X999" s="7">
        <f>IF($C999="","",W999-N999)</f>
        <v/>
      </c>
      <c r="AA999">
        <f>IF($C999="","",IF($AN999=1,0,IF($AM999=1,Settings!$C$6,Settings!$C$7))*100)</f>
        <v/>
      </c>
      <c r="AE999" s="7" t="n"/>
      <c r="AH999" s="11" t="n"/>
      <c r="AJ999">
        <f>IF($C999="","",$C999&amp;"|"&amp;$D999&amp;"")</f>
        <v/>
      </c>
      <c r="AK999">
        <f>IF($C999="","",IF(COUNTIF($AJ$2:$AJ999,$AJ999)=1,1,0))</f>
        <v/>
      </c>
      <c r="AL999">
        <f>IF($AK999=1,SUMPRODUCT(--($AO$2:$AO$1501&lt;$AO999))+1,"")</f>
        <v/>
      </c>
      <c r="AM999">
        <f>IF($C999="","",IF(OR($Q999=TRUE(),$Q999="TRUE"),1,0))</f>
        <v/>
      </c>
      <c r="AN999">
        <f>IF($C999="","",IF($Z999="Yes",1,0))</f>
        <v/>
      </c>
      <c r="AO999">
        <f>IF($AK999=1,IFERROR(IF(VALUE($C999)&lt;100000000,VALUE($C999),1000000000),IFERROR(IF(VALUE(MID($C999,2,20))&lt;100000000,VALUE(MID($C999,2,20)),1000000000),1000000000))+ROW()/100000,"")</f>
        <v/>
      </c>
    </row>
    <row r="1000">
      <c r="F1000" s="11" t="n"/>
      <c r="N1000" s="7">
        <f>IF($C1000="","",M1000*U1000/100)</f>
        <v/>
      </c>
      <c r="T1000" s="7" t="n"/>
      <c r="U1000" s="7" t="n"/>
      <c r="V1000" s="7">
        <f>IF($C1000="","",U1000*AA1000/100)</f>
        <v/>
      </c>
      <c r="W1000" s="7">
        <f>IF($C1000="","",U1000-V1000)</f>
        <v/>
      </c>
      <c r="X1000" s="7">
        <f>IF($C1000="","",W1000-N1000)</f>
        <v/>
      </c>
      <c r="AA1000">
        <f>IF($C1000="","",IF($AN1000=1,0,IF($AM1000=1,Settings!$C$6,Settings!$C$7))*100)</f>
        <v/>
      </c>
      <c r="AE1000" s="7" t="n"/>
      <c r="AH1000" s="11" t="n"/>
      <c r="AJ1000">
        <f>IF($C1000="","",$C1000&amp;"|"&amp;$D1000&amp;"")</f>
        <v/>
      </c>
      <c r="AK1000">
        <f>IF($C1000="","",IF(COUNTIF($AJ$2:$AJ1000,$AJ1000)=1,1,0))</f>
        <v/>
      </c>
      <c r="AL1000">
        <f>IF($AK1000=1,SUMPRODUCT(--($AO$2:$AO$1501&lt;$AO1000))+1,"")</f>
        <v/>
      </c>
      <c r="AM1000">
        <f>IF($C1000="","",IF(OR($Q1000=TRUE(),$Q1000="TRUE"),1,0))</f>
        <v/>
      </c>
      <c r="AN1000">
        <f>IF($C1000="","",IF($Z1000="Yes",1,0))</f>
        <v/>
      </c>
      <c r="AO1000">
        <f>IF($AK1000=1,IFERROR(IF(VALUE($C1000)&lt;100000000,VALUE($C1000),1000000000),IFERROR(IF(VALUE(MID($C1000,2,20))&lt;100000000,VALUE(MID($C1000,2,20)),1000000000),1000000000))+ROW()/100000,"")</f>
        <v/>
      </c>
    </row>
    <row r="1001">
      <c r="F1001" s="11" t="n"/>
      <c r="N1001" s="7">
        <f>IF($C1001="","",M1001*U1001/100)</f>
        <v/>
      </c>
      <c r="T1001" s="7" t="n"/>
      <c r="U1001" s="7" t="n"/>
      <c r="V1001" s="7">
        <f>IF($C1001="","",U1001*AA1001/100)</f>
        <v/>
      </c>
      <c r="W1001" s="7">
        <f>IF($C1001="","",U1001-V1001)</f>
        <v/>
      </c>
      <c r="X1001" s="7">
        <f>IF($C1001="","",W1001-N1001)</f>
        <v/>
      </c>
      <c r="AA1001">
        <f>IF($C1001="","",IF($AN1001=1,0,IF($AM1001=1,Settings!$C$6,Settings!$C$7))*100)</f>
        <v/>
      </c>
      <c r="AE1001" s="7" t="n"/>
      <c r="AH1001" s="11" t="n"/>
      <c r="AJ1001">
        <f>IF($C1001="","",$C1001&amp;"|"&amp;$D1001&amp;"")</f>
        <v/>
      </c>
      <c r="AK1001">
        <f>IF($C1001="","",IF(COUNTIF($AJ$2:$AJ1001,$AJ1001)=1,1,0))</f>
        <v/>
      </c>
      <c r="AL1001">
        <f>IF($AK1001=1,SUMPRODUCT(--($AO$2:$AO$1501&lt;$AO1001))+1,"")</f>
        <v/>
      </c>
      <c r="AM1001">
        <f>IF($C1001="","",IF(OR($Q1001=TRUE(),$Q1001="TRUE"),1,0))</f>
        <v/>
      </c>
      <c r="AN1001">
        <f>IF($C1001="","",IF($Z1001="Yes",1,0))</f>
        <v/>
      </c>
      <c r="AO1001">
        <f>IF($AK1001=1,IFERROR(IF(VALUE($C1001)&lt;100000000,VALUE($C1001),1000000000),IFERROR(IF(VALUE(MID($C1001,2,20))&lt;100000000,VALUE(MID($C1001,2,20)),1000000000),1000000000))+ROW()/100000,"")</f>
        <v/>
      </c>
    </row>
    <row r="1002">
      <c r="F1002" s="11" t="n"/>
      <c r="N1002" s="7">
        <f>IF($C1002="","",M1002*U1002/100)</f>
        <v/>
      </c>
      <c r="T1002" s="7" t="n"/>
      <c r="U1002" s="7" t="n"/>
      <c r="V1002" s="7">
        <f>IF($C1002="","",U1002*AA1002/100)</f>
        <v/>
      </c>
      <c r="W1002" s="7">
        <f>IF($C1002="","",U1002-V1002)</f>
        <v/>
      </c>
      <c r="X1002" s="7">
        <f>IF($C1002="","",W1002-N1002)</f>
        <v/>
      </c>
      <c r="AA1002">
        <f>IF($C1002="","",IF($AN1002=1,0,IF($AM1002=1,Settings!$C$6,Settings!$C$7))*100)</f>
        <v/>
      </c>
      <c r="AE1002" s="7" t="n"/>
      <c r="AH1002" s="11" t="n"/>
      <c r="AJ1002">
        <f>IF($C1002="","",$C1002&amp;"|"&amp;$D1002&amp;"")</f>
        <v/>
      </c>
      <c r="AK1002">
        <f>IF($C1002="","",IF(COUNTIF($AJ$2:$AJ1002,$AJ1002)=1,1,0))</f>
        <v/>
      </c>
      <c r="AL1002">
        <f>IF($AK1002=1,SUMPRODUCT(--($AO$2:$AO$1501&lt;$AO1002))+1,"")</f>
        <v/>
      </c>
      <c r="AM1002">
        <f>IF($C1002="","",IF(OR($Q1002=TRUE(),$Q1002="TRUE"),1,0))</f>
        <v/>
      </c>
      <c r="AN1002">
        <f>IF($C1002="","",IF($Z1002="Yes",1,0))</f>
        <v/>
      </c>
      <c r="AO1002">
        <f>IF($AK1002=1,IFERROR(IF(VALUE($C1002)&lt;100000000,VALUE($C1002),1000000000),IFERROR(IF(VALUE(MID($C1002,2,20))&lt;100000000,VALUE(MID($C1002,2,20)),1000000000),1000000000))+ROW()/100000,"")</f>
        <v/>
      </c>
    </row>
    <row r="1003">
      <c r="F1003" s="11" t="n"/>
      <c r="N1003" s="7">
        <f>IF($C1003="","",M1003*U1003/100)</f>
        <v/>
      </c>
      <c r="T1003" s="7" t="n"/>
      <c r="U1003" s="7" t="n"/>
      <c r="V1003" s="7">
        <f>IF($C1003="","",U1003*AA1003/100)</f>
        <v/>
      </c>
      <c r="W1003" s="7">
        <f>IF($C1003="","",U1003-V1003)</f>
        <v/>
      </c>
      <c r="X1003" s="7">
        <f>IF($C1003="","",W1003-N1003)</f>
        <v/>
      </c>
      <c r="AA1003">
        <f>IF($C1003="","",IF($AN1003=1,0,IF($AM1003=1,Settings!$C$6,Settings!$C$7))*100)</f>
        <v/>
      </c>
      <c r="AE1003" s="7" t="n"/>
      <c r="AH1003" s="11" t="n"/>
      <c r="AJ1003">
        <f>IF($C1003="","",$C1003&amp;"|"&amp;$D1003&amp;"")</f>
        <v/>
      </c>
      <c r="AK1003">
        <f>IF($C1003="","",IF(COUNTIF($AJ$2:$AJ1003,$AJ1003)=1,1,0))</f>
        <v/>
      </c>
      <c r="AL1003">
        <f>IF($AK1003=1,SUMPRODUCT(--($AO$2:$AO$1501&lt;$AO1003))+1,"")</f>
        <v/>
      </c>
      <c r="AM1003">
        <f>IF($C1003="","",IF(OR($Q1003=TRUE(),$Q1003="TRUE"),1,0))</f>
        <v/>
      </c>
      <c r="AN1003">
        <f>IF($C1003="","",IF($Z1003="Yes",1,0))</f>
        <v/>
      </c>
      <c r="AO1003">
        <f>IF($AK1003=1,IFERROR(IF(VALUE($C1003)&lt;100000000,VALUE($C1003),1000000000),IFERROR(IF(VALUE(MID($C1003,2,20))&lt;100000000,VALUE(MID($C1003,2,20)),1000000000),1000000000))+ROW()/100000,"")</f>
        <v/>
      </c>
    </row>
    <row r="1004">
      <c r="F1004" s="11" t="n"/>
      <c r="N1004" s="7">
        <f>IF($C1004="","",M1004*U1004/100)</f>
        <v/>
      </c>
      <c r="T1004" s="7" t="n"/>
      <c r="U1004" s="7" t="n"/>
      <c r="V1004" s="7">
        <f>IF($C1004="","",U1004*AA1004/100)</f>
        <v/>
      </c>
      <c r="W1004" s="7">
        <f>IF($C1004="","",U1004-V1004)</f>
        <v/>
      </c>
      <c r="X1004" s="7">
        <f>IF($C1004="","",W1004-N1004)</f>
        <v/>
      </c>
      <c r="AA1004">
        <f>IF($C1004="","",IF($AN1004=1,0,IF($AM1004=1,Settings!$C$6,Settings!$C$7))*100)</f>
        <v/>
      </c>
      <c r="AE1004" s="7" t="n"/>
      <c r="AH1004" s="11" t="n"/>
      <c r="AJ1004">
        <f>IF($C1004="","",$C1004&amp;"|"&amp;$D1004&amp;"")</f>
        <v/>
      </c>
      <c r="AK1004">
        <f>IF($C1004="","",IF(COUNTIF($AJ$2:$AJ1004,$AJ1004)=1,1,0))</f>
        <v/>
      </c>
      <c r="AL1004">
        <f>IF($AK1004=1,SUMPRODUCT(--($AO$2:$AO$1501&lt;$AO1004))+1,"")</f>
        <v/>
      </c>
      <c r="AM1004">
        <f>IF($C1004="","",IF(OR($Q1004=TRUE(),$Q1004="TRUE"),1,0))</f>
        <v/>
      </c>
      <c r="AN1004">
        <f>IF($C1004="","",IF($Z1004="Yes",1,0))</f>
        <v/>
      </c>
      <c r="AO1004">
        <f>IF($AK1004=1,IFERROR(IF(VALUE($C1004)&lt;100000000,VALUE($C1004),1000000000),IFERROR(IF(VALUE(MID($C1004,2,20))&lt;100000000,VALUE(MID($C1004,2,20)),1000000000),1000000000))+ROW()/100000,"")</f>
        <v/>
      </c>
    </row>
    <row r="1005">
      <c r="F1005" s="11" t="n"/>
      <c r="N1005" s="7">
        <f>IF($C1005="","",M1005*U1005/100)</f>
        <v/>
      </c>
      <c r="T1005" s="7" t="n"/>
      <c r="U1005" s="7" t="n"/>
      <c r="V1005" s="7">
        <f>IF($C1005="","",U1005*AA1005/100)</f>
        <v/>
      </c>
      <c r="W1005" s="7">
        <f>IF($C1005="","",U1005-V1005)</f>
        <v/>
      </c>
      <c r="X1005" s="7">
        <f>IF($C1005="","",W1005-N1005)</f>
        <v/>
      </c>
      <c r="AA1005">
        <f>IF($C1005="","",IF($AN1005=1,0,IF($AM1005=1,Settings!$C$6,Settings!$C$7))*100)</f>
        <v/>
      </c>
      <c r="AE1005" s="7" t="n"/>
      <c r="AH1005" s="11" t="n"/>
      <c r="AJ1005">
        <f>IF($C1005="","",$C1005&amp;"|"&amp;$D1005&amp;"")</f>
        <v/>
      </c>
      <c r="AK1005">
        <f>IF($C1005="","",IF(COUNTIF($AJ$2:$AJ1005,$AJ1005)=1,1,0))</f>
        <v/>
      </c>
      <c r="AL1005">
        <f>IF($AK1005=1,SUMPRODUCT(--($AO$2:$AO$1501&lt;$AO1005))+1,"")</f>
        <v/>
      </c>
      <c r="AM1005">
        <f>IF($C1005="","",IF(OR($Q1005=TRUE(),$Q1005="TRUE"),1,0))</f>
        <v/>
      </c>
      <c r="AN1005">
        <f>IF($C1005="","",IF($Z1005="Yes",1,0))</f>
        <v/>
      </c>
      <c r="AO1005">
        <f>IF($AK1005=1,IFERROR(IF(VALUE($C1005)&lt;100000000,VALUE($C1005),1000000000),IFERROR(IF(VALUE(MID($C1005,2,20))&lt;100000000,VALUE(MID($C1005,2,20)),1000000000),1000000000))+ROW()/100000,"")</f>
        <v/>
      </c>
    </row>
    <row r="1006">
      <c r="F1006" s="11" t="n"/>
      <c r="N1006" s="7">
        <f>IF($C1006="","",M1006*U1006/100)</f>
        <v/>
      </c>
      <c r="T1006" s="7" t="n"/>
      <c r="U1006" s="7" t="n"/>
      <c r="V1006" s="7">
        <f>IF($C1006="","",U1006*AA1006/100)</f>
        <v/>
      </c>
      <c r="W1006" s="7">
        <f>IF($C1006="","",U1006-V1006)</f>
        <v/>
      </c>
      <c r="X1006" s="7">
        <f>IF($C1006="","",W1006-N1006)</f>
        <v/>
      </c>
      <c r="AA1006">
        <f>IF($C1006="","",IF($AN1006=1,0,IF($AM1006=1,Settings!$C$6,Settings!$C$7))*100)</f>
        <v/>
      </c>
      <c r="AE1006" s="7" t="n"/>
      <c r="AH1006" s="11" t="n"/>
      <c r="AJ1006">
        <f>IF($C1006="","",$C1006&amp;"|"&amp;$D1006&amp;"")</f>
        <v/>
      </c>
      <c r="AK1006">
        <f>IF($C1006="","",IF(COUNTIF($AJ$2:$AJ1006,$AJ1006)=1,1,0))</f>
        <v/>
      </c>
      <c r="AL1006">
        <f>IF($AK1006=1,SUMPRODUCT(--($AO$2:$AO$1501&lt;$AO1006))+1,"")</f>
        <v/>
      </c>
      <c r="AM1006">
        <f>IF($C1006="","",IF(OR($Q1006=TRUE(),$Q1006="TRUE"),1,0))</f>
        <v/>
      </c>
      <c r="AN1006">
        <f>IF($C1006="","",IF($Z1006="Yes",1,0))</f>
        <v/>
      </c>
      <c r="AO1006">
        <f>IF($AK1006=1,IFERROR(IF(VALUE($C1006)&lt;100000000,VALUE($C1006),1000000000),IFERROR(IF(VALUE(MID($C1006,2,20))&lt;100000000,VALUE(MID($C1006,2,20)),1000000000),1000000000))+ROW()/100000,"")</f>
        <v/>
      </c>
    </row>
    <row r="1007">
      <c r="F1007" s="11" t="n"/>
      <c r="N1007" s="7">
        <f>IF($C1007="","",M1007*U1007/100)</f>
        <v/>
      </c>
      <c r="T1007" s="7" t="n"/>
      <c r="U1007" s="7" t="n"/>
      <c r="V1007" s="7">
        <f>IF($C1007="","",U1007*AA1007/100)</f>
        <v/>
      </c>
      <c r="W1007" s="7">
        <f>IF($C1007="","",U1007-V1007)</f>
        <v/>
      </c>
      <c r="X1007" s="7">
        <f>IF($C1007="","",W1007-N1007)</f>
        <v/>
      </c>
      <c r="AA1007">
        <f>IF($C1007="","",IF($AN1007=1,0,IF($AM1007=1,Settings!$C$6,Settings!$C$7))*100)</f>
        <v/>
      </c>
      <c r="AE1007" s="7" t="n"/>
      <c r="AH1007" s="11" t="n"/>
      <c r="AJ1007">
        <f>IF($C1007="","",$C1007&amp;"|"&amp;$D1007&amp;"")</f>
        <v/>
      </c>
      <c r="AK1007">
        <f>IF($C1007="","",IF(COUNTIF($AJ$2:$AJ1007,$AJ1007)=1,1,0))</f>
        <v/>
      </c>
      <c r="AL1007">
        <f>IF($AK1007=1,SUMPRODUCT(--($AO$2:$AO$1501&lt;$AO1007))+1,"")</f>
        <v/>
      </c>
      <c r="AM1007">
        <f>IF($C1007="","",IF(OR($Q1007=TRUE(),$Q1007="TRUE"),1,0))</f>
        <v/>
      </c>
      <c r="AN1007">
        <f>IF($C1007="","",IF($Z1007="Yes",1,0))</f>
        <v/>
      </c>
      <c r="AO1007">
        <f>IF($AK1007=1,IFERROR(IF(VALUE($C1007)&lt;100000000,VALUE($C1007),1000000000),IFERROR(IF(VALUE(MID($C1007,2,20))&lt;100000000,VALUE(MID($C1007,2,20)),1000000000),1000000000))+ROW()/100000,"")</f>
        <v/>
      </c>
    </row>
    <row r="1008">
      <c r="F1008" s="11" t="n"/>
      <c r="N1008" s="7">
        <f>IF($C1008="","",M1008*U1008/100)</f>
        <v/>
      </c>
      <c r="T1008" s="7" t="n"/>
      <c r="U1008" s="7" t="n"/>
      <c r="V1008" s="7">
        <f>IF($C1008="","",U1008*AA1008/100)</f>
        <v/>
      </c>
      <c r="W1008" s="7">
        <f>IF($C1008="","",U1008-V1008)</f>
        <v/>
      </c>
      <c r="X1008" s="7">
        <f>IF($C1008="","",W1008-N1008)</f>
        <v/>
      </c>
      <c r="AA1008">
        <f>IF($C1008="","",IF($AN1008=1,0,IF($AM1008=1,Settings!$C$6,Settings!$C$7))*100)</f>
        <v/>
      </c>
      <c r="AE1008" s="7" t="n"/>
      <c r="AH1008" s="11" t="n"/>
      <c r="AJ1008">
        <f>IF($C1008="","",$C1008&amp;"|"&amp;$D1008&amp;"")</f>
        <v/>
      </c>
      <c r="AK1008">
        <f>IF($C1008="","",IF(COUNTIF($AJ$2:$AJ1008,$AJ1008)=1,1,0))</f>
        <v/>
      </c>
      <c r="AL1008">
        <f>IF($AK1008=1,SUMPRODUCT(--($AO$2:$AO$1501&lt;$AO1008))+1,"")</f>
        <v/>
      </c>
      <c r="AM1008">
        <f>IF($C1008="","",IF(OR($Q1008=TRUE(),$Q1008="TRUE"),1,0))</f>
        <v/>
      </c>
      <c r="AN1008">
        <f>IF($C1008="","",IF($Z1008="Yes",1,0))</f>
        <v/>
      </c>
      <c r="AO1008">
        <f>IF($AK1008=1,IFERROR(IF(VALUE($C1008)&lt;100000000,VALUE($C1008),1000000000),IFERROR(IF(VALUE(MID($C1008,2,20))&lt;100000000,VALUE(MID($C1008,2,20)),1000000000),1000000000))+ROW()/100000,"")</f>
        <v/>
      </c>
    </row>
    <row r="1009">
      <c r="F1009" s="11" t="n"/>
      <c r="N1009" s="7">
        <f>IF($C1009="","",M1009*U1009/100)</f>
        <v/>
      </c>
      <c r="T1009" s="7" t="n"/>
      <c r="U1009" s="7" t="n"/>
      <c r="V1009" s="7">
        <f>IF($C1009="","",U1009*AA1009/100)</f>
        <v/>
      </c>
      <c r="W1009" s="7">
        <f>IF($C1009="","",U1009-V1009)</f>
        <v/>
      </c>
      <c r="X1009" s="7">
        <f>IF($C1009="","",W1009-N1009)</f>
        <v/>
      </c>
      <c r="AA1009">
        <f>IF($C1009="","",IF($AN1009=1,0,IF($AM1009=1,Settings!$C$6,Settings!$C$7))*100)</f>
        <v/>
      </c>
      <c r="AE1009" s="7" t="n"/>
      <c r="AH1009" s="11" t="n"/>
      <c r="AJ1009">
        <f>IF($C1009="","",$C1009&amp;"|"&amp;$D1009&amp;"")</f>
        <v/>
      </c>
      <c r="AK1009">
        <f>IF($C1009="","",IF(COUNTIF($AJ$2:$AJ1009,$AJ1009)=1,1,0))</f>
        <v/>
      </c>
      <c r="AL1009">
        <f>IF($AK1009=1,SUMPRODUCT(--($AO$2:$AO$1501&lt;$AO1009))+1,"")</f>
        <v/>
      </c>
      <c r="AM1009">
        <f>IF($C1009="","",IF(OR($Q1009=TRUE(),$Q1009="TRUE"),1,0))</f>
        <v/>
      </c>
      <c r="AN1009">
        <f>IF($C1009="","",IF($Z1009="Yes",1,0))</f>
        <v/>
      </c>
      <c r="AO1009">
        <f>IF($AK1009=1,IFERROR(IF(VALUE($C1009)&lt;100000000,VALUE($C1009),1000000000),IFERROR(IF(VALUE(MID($C1009,2,20))&lt;100000000,VALUE(MID($C1009,2,20)),1000000000),1000000000))+ROW()/100000,"")</f>
        <v/>
      </c>
    </row>
    <row r="1010">
      <c r="F1010" s="11" t="n"/>
      <c r="N1010" s="7">
        <f>IF($C1010="","",M1010*U1010/100)</f>
        <v/>
      </c>
      <c r="T1010" s="7" t="n"/>
      <c r="U1010" s="7" t="n"/>
      <c r="V1010" s="7">
        <f>IF($C1010="","",U1010*AA1010/100)</f>
        <v/>
      </c>
      <c r="W1010" s="7">
        <f>IF($C1010="","",U1010-V1010)</f>
        <v/>
      </c>
      <c r="X1010" s="7">
        <f>IF($C1010="","",W1010-N1010)</f>
        <v/>
      </c>
      <c r="AA1010">
        <f>IF($C1010="","",IF($AN1010=1,0,IF($AM1010=1,Settings!$C$6,Settings!$C$7))*100)</f>
        <v/>
      </c>
      <c r="AE1010" s="7" t="n"/>
      <c r="AH1010" s="11" t="n"/>
      <c r="AJ1010">
        <f>IF($C1010="","",$C1010&amp;"|"&amp;$D1010&amp;"")</f>
        <v/>
      </c>
      <c r="AK1010">
        <f>IF($C1010="","",IF(COUNTIF($AJ$2:$AJ1010,$AJ1010)=1,1,0))</f>
        <v/>
      </c>
      <c r="AL1010">
        <f>IF($AK1010=1,SUMPRODUCT(--($AO$2:$AO$1501&lt;$AO1010))+1,"")</f>
        <v/>
      </c>
      <c r="AM1010">
        <f>IF($C1010="","",IF(OR($Q1010=TRUE(),$Q1010="TRUE"),1,0))</f>
        <v/>
      </c>
      <c r="AN1010">
        <f>IF($C1010="","",IF($Z1010="Yes",1,0))</f>
        <v/>
      </c>
      <c r="AO1010">
        <f>IF($AK1010=1,IFERROR(IF(VALUE($C1010)&lt;100000000,VALUE($C1010),1000000000),IFERROR(IF(VALUE(MID($C1010,2,20))&lt;100000000,VALUE(MID($C1010,2,20)),1000000000),1000000000))+ROW()/100000,"")</f>
        <v/>
      </c>
    </row>
    <row r="1011">
      <c r="F1011" s="11" t="n"/>
      <c r="N1011" s="7">
        <f>IF($C1011="","",M1011*U1011/100)</f>
        <v/>
      </c>
      <c r="T1011" s="7" t="n"/>
      <c r="U1011" s="7" t="n"/>
      <c r="V1011" s="7">
        <f>IF($C1011="","",U1011*AA1011/100)</f>
        <v/>
      </c>
      <c r="W1011" s="7">
        <f>IF($C1011="","",U1011-V1011)</f>
        <v/>
      </c>
      <c r="X1011" s="7">
        <f>IF($C1011="","",W1011-N1011)</f>
        <v/>
      </c>
      <c r="AA1011">
        <f>IF($C1011="","",IF($AN1011=1,0,IF($AM1011=1,Settings!$C$6,Settings!$C$7))*100)</f>
        <v/>
      </c>
      <c r="AE1011" s="7" t="n"/>
      <c r="AH1011" s="11" t="n"/>
      <c r="AJ1011">
        <f>IF($C1011="","",$C1011&amp;"|"&amp;$D1011&amp;"")</f>
        <v/>
      </c>
      <c r="AK1011">
        <f>IF($C1011="","",IF(COUNTIF($AJ$2:$AJ1011,$AJ1011)=1,1,0))</f>
        <v/>
      </c>
      <c r="AL1011">
        <f>IF($AK1011=1,SUMPRODUCT(--($AO$2:$AO$1501&lt;$AO1011))+1,"")</f>
        <v/>
      </c>
      <c r="AM1011">
        <f>IF($C1011="","",IF(OR($Q1011=TRUE(),$Q1011="TRUE"),1,0))</f>
        <v/>
      </c>
      <c r="AN1011">
        <f>IF($C1011="","",IF($Z1011="Yes",1,0))</f>
        <v/>
      </c>
      <c r="AO1011">
        <f>IF($AK1011=1,IFERROR(IF(VALUE($C1011)&lt;100000000,VALUE($C1011),1000000000),IFERROR(IF(VALUE(MID($C1011,2,20))&lt;100000000,VALUE(MID($C1011,2,20)),1000000000),1000000000))+ROW()/100000,"")</f>
        <v/>
      </c>
    </row>
    <row r="1012">
      <c r="F1012" s="11" t="n"/>
      <c r="N1012" s="7">
        <f>IF($C1012="","",M1012*U1012/100)</f>
        <v/>
      </c>
      <c r="T1012" s="7" t="n"/>
      <c r="U1012" s="7" t="n"/>
      <c r="V1012" s="7">
        <f>IF($C1012="","",U1012*AA1012/100)</f>
        <v/>
      </c>
      <c r="W1012" s="7">
        <f>IF($C1012="","",U1012-V1012)</f>
        <v/>
      </c>
      <c r="X1012" s="7">
        <f>IF($C1012="","",W1012-N1012)</f>
        <v/>
      </c>
      <c r="AA1012">
        <f>IF($C1012="","",IF($AN1012=1,0,IF($AM1012=1,Settings!$C$6,Settings!$C$7))*100)</f>
        <v/>
      </c>
      <c r="AE1012" s="7" t="n"/>
      <c r="AH1012" s="11" t="n"/>
      <c r="AJ1012">
        <f>IF($C1012="","",$C1012&amp;"|"&amp;$D1012&amp;"")</f>
        <v/>
      </c>
      <c r="AK1012">
        <f>IF($C1012="","",IF(COUNTIF($AJ$2:$AJ1012,$AJ1012)=1,1,0))</f>
        <v/>
      </c>
      <c r="AL1012">
        <f>IF($AK1012=1,SUMPRODUCT(--($AO$2:$AO$1501&lt;$AO1012))+1,"")</f>
        <v/>
      </c>
      <c r="AM1012">
        <f>IF($C1012="","",IF(OR($Q1012=TRUE(),$Q1012="TRUE"),1,0))</f>
        <v/>
      </c>
      <c r="AN1012">
        <f>IF($C1012="","",IF($Z1012="Yes",1,0))</f>
        <v/>
      </c>
      <c r="AO1012">
        <f>IF($AK1012=1,IFERROR(IF(VALUE($C1012)&lt;100000000,VALUE($C1012),1000000000),IFERROR(IF(VALUE(MID($C1012,2,20))&lt;100000000,VALUE(MID($C1012,2,20)),1000000000),1000000000))+ROW()/100000,"")</f>
        <v/>
      </c>
    </row>
    <row r="1013">
      <c r="F1013" s="11" t="n"/>
      <c r="N1013" s="7">
        <f>IF($C1013="","",M1013*U1013/100)</f>
        <v/>
      </c>
      <c r="T1013" s="7" t="n"/>
      <c r="U1013" s="7" t="n"/>
      <c r="V1013" s="7">
        <f>IF($C1013="","",U1013*AA1013/100)</f>
        <v/>
      </c>
      <c r="W1013" s="7">
        <f>IF($C1013="","",U1013-V1013)</f>
        <v/>
      </c>
      <c r="X1013" s="7">
        <f>IF($C1013="","",W1013-N1013)</f>
        <v/>
      </c>
      <c r="AA1013">
        <f>IF($C1013="","",IF($AN1013=1,0,IF($AM1013=1,Settings!$C$6,Settings!$C$7))*100)</f>
        <v/>
      </c>
      <c r="AE1013" s="7" t="n"/>
      <c r="AH1013" s="11" t="n"/>
      <c r="AJ1013">
        <f>IF($C1013="","",$C1013&amp;"|"&amp;$D1013&amp;"")</f>
        <v/>
      </c>
      <c r="AK1013">
        <f>IF($C1013="","",IF(COUNTIF($AJ$2:$AJ1013,$AJ1013)=1,1,0))</f>
        <v/>
      </c>
      <c r="AL1013">
        <f>IF($AK1013=1,SUMPRODUCT(--($AO$2:$AO$1501&lt;$AO1013))+1,"")</f>
        <v/>
      </c>
      <c r="AM1013">
        <f>IF($C1013="","",IF(OR($Q1013=TRUE(),$Q1013="TRUE"),1,0))</f>
        <v/>
      </c>
      <c r="AN1013">
        <f>IF($C1013="","",IF($Z1013="Yes",1,0))</f>
        <v/>
      </c>
      <c r="AO1013">
        <f>IF($AK1013=1,IFERROR(IF(VALUE($C1013)&lt;100000000,VALUE($C1013),1000000000),IFERROR(IF(VALUE(MID($C1013,2,20))&lt;100000000,VALUE(MID($C1013,2,20)),1000000000),1000000000))+ROW()/100000,"")</f>
        <v/>
      </c>
    </row>
    <row r="1014">
      <c r="F1014" s="11" t="n"/>
      <c r="N1014" s="7">
        <f>IF($C1014="","",M1014*U1014/100)</f>
        <v/>
      </c>
      <c r="T1014" s="7" t="n"/>
      <c r="U1014" s="7" t="n"/>
      <c r="V1014" s="7">
        <f>IF($C1014="","",U1014*AA1014/100)</f>
        <v/>
      </c>
      <c r="W1014" s="7">
        <f>IF($C1014="","",U1014-V1014)</f>
        <v/>
      </c>
      <c r="X1014" s="7">
        <f>IF($C1014="","",W1014-N1014)</f>
        <v/>
      </c>
      <c r="AA1014">
        <f>IF($C1014="","",IF($AN1014=1,0,IF($AM1014=1,Settings!$C$6,Settings!$C$7))*100)</f>
        <v/>
      </c>
      <c r="AE1014" s="7" t="n"/>
      <c r="AH1014" s="11" t="n"/>
      <c r="AJ1014">
        <f>IF($C1014="","",$C1014&amp;"|"&amp;$D1014&amp;"")</f>
        <v/>
      </c>
      <c r="AK1014">
        <f>IF($C1014="","",IF(COUNTIF($AJ$2:$AJ1014,$AJ1014)=1,1,0))</f>
        <v/>
      </c>
      <c r="AL1014">
        <f>IF($AK1014=1,SUMPRODUCT(--($AO$2:$AO$1501&lt;$AO1014))+1,"")</f>
        <v/>
      </c>
      <c r="AM1014">
        <f>IF($C1014="","",IF(OR($Q1014=TRUE(),$Q1014="TRUE"),1,0))</f>
        <v/>
      </c>
      <c r="AN1014">
        <f>IF($C1014="","",IF($Z1014="Yes",1,0))</f>
        <v/>
      </c>
      <c r="AO1014">
        <f>IF($AK1014=1,IFERROR(IF(VALUE($C1014)&lt;100000000,VALUE($C1014),1000000000),IFERROR(IF(VALUE(MID($C1014,2,20))&lt;100000000,VALUE(MID($C1014,2,20)),1000000000),1000000000))+ROW()/100000,"")</f>
        <v/>
      </c>
    </row>
    <row r="1015">
      <c r="F1015" s="11" t="n"/>
      <c r="N1015" s="7">
        <f>IF($C1015="","",M1015*U1015/100)</f>
        <v/>
      </c>
      <c r="T1015" s="7" t="n"/>
      <c r="U1015" s="7" t="n"/>
      <c r="V1015" s="7">
        <f>IF($C1015="","",U1015*AA1015/100)</f>
        <v/>
      </c>
      <c r="W1015" s="7">
        <f>IF($C1015="","",U1015-V1015)</f>
        <v/>
      </c>
      <c r="X1015" s="7">
        <f>IF($C1015="","",W1015-N1015)</f>
        <v/>
      </c>
      <c r="AA1015">
        <f>IF($C1015="","",IF($AN1015=1,0,IF($AM1015=1,Settings!$C$6,Settings!$C$7))*100)</f>
        <v/>
      </c>
      <c r="AE1015" s="7" t="n"/>
      <c r="AH1015" s="11" t="n"/>
      <c r="AJ1015">
        <f>IF($C1015="","",$C1015&amp;"|"&amp;$D1015&amp;"")</f>
        <v/>
      </c>
      <c r="AK1015">
        <f>IF($C1015="","",IF(COUNTIF($AJ$2:$AJ1015,$AJ1015)=1,1,0))</f>
        <v/>
      </c>
      <c r="AL1015">
        <f>IF($AK1015=1,SUMPRODUCT(--($AO$2:$AO$1501&lt;$AO1015))+1,"")</f>
        <v/>
      </c>
      <c r="AM1015">
        <f>IF($C1015="","",IF(OR($Q1015=TRUE(),$Q1015="TRUE"),1,0))</f>
        <v/>
      </c>
      <c r="AN1015">
        <f>IF($C1015="","",IF($Z1015="Yes",1,0))</f>
        <v/>
      </c>
      <c r="AO1015">
        <f>IF($AK1015=1,IFERROR(IF(VALUE($C1015)&lt;100000000,VALUE($C1015),1000000000),IFERROR(IF(VALUE(MID($C1015,2,20))&lt;100000000,VALUE(MID($C1015,2,20)),1000000000),1000000000))+ROW()/100000,"")</f>
        <v/>
      </c>
    </row>
    <row r="1016">
      <c r="F1016" s="11" t="n"/>
      <c r="N1016" s="7">
        <f>IF($C1016="","",M1016*U1016/100)</f>
        <v/>
      </c>
      <c r="T1016" s="7" t="n"/>
      <c r="U1016" s="7" t="n"/>
      <c r="V1016" s="7">
        <f>IF($C1016="","",U1016*AA1016/100)</f>
        <v/>
      </c>
      <c r="W1016" s="7">
        <f>IF($C1016="","",U1016-V1016)</f>
        <v/>
      </c>
      <c r="X1016" s="7">
        <f>IF($C1016="","",W1016-N1016)</f>
        <v/>
      </c>
      <c r="AA1016">
        <f>IF($C1016="","",IF($AN1016=1,0,IF($AM1016=1,Settings!$C$6,Settings!$C$7))*100)</f>
        <v/>
      </c>
      <c r="AE1016" s="7" t="n"/>
      <c r="AH1016" s="11" t="n"/>
      <c r="AJ1016">
        <f>IF($C1016="","",$C1016&amp;"|"&amp;$D1016&amp;"")</f>
        <v/>
      </c>
      <c r="AK1016">
        <f>IF($C1016="","",IF(COUNTIF($AJ$2:$AJ1016,$AJ1016)=1,1,0))</f>
        <v/>
      </c>
      <c r="AL1016">
        <f>IF($AK1016=1,SUMPRODUCT(--($AO$2:$AO$1501&lt;$AO1016))+1,"")</f>
        <v/>
      </c>
      <c r="AM1016">
        <f>IF($C1016="","",IF(OR($Q1016=TRUE(),$Q1016="TRUE"),1,0))</f>
        <v/>
      </c>
      <c r="AN1016">
        <f>IF($C1016="","",IF($Z1016="Yes",1,0))</f>
        <v/>
      </c>
      <c r="AO1016">
        <f>IF($AK1016=1,IFERROR(IF(VALUE($C1016)&lt;100000000,VALUE($C1016),1000000000),IFERROR(IF(VALUE(MID($C1016,2,20))&lt;100000000,VALUE(MID($C1016,2,20)),1000000000),1000000000))+ROW()/100000,"")</f>
        <v/>
      </c>
    </row>
    <row r="1017">
      <c r="F1017" s="11" t="n"/>
      <c r="N1017" s="7">
        <f>IF($C1017="","",M1017*U1017/100)</f>
        <v/>
      </c>
      <c r="T1017" s="7" t="n"/>
      <c r="U1017" s="7" t="n"/>
      <c r="V1017" s="7">
        <f>IF($C1017="","",U1017*AA1017/100)</f>
        <v/>
      </c>
      <c r="W1017" s="7">
        <f>IF($C1017="","",U1017-V1017)</f>
        <v/>
      </c>
      <c r="X1017" s="7">
        <f>IF($C1017="","",W1017-N1017)</f>
        <v/>
      </c>
      <c r="AA1017">
        <f>IF($C1017="","",IF($AN1017=1,0,IF($AM1017=1,Settings!$C$6,Settings!$C$7))*100)</f>
        <v/>
      </c>
      <c r="AE1017" s="7" t="n"/>
      <c r="AH1017" s="11" t="n"/>
      <c r="AJ1017">
        <f>IF($C1017="","",$C1017&amp;"|"&amp;$D1017&amp;"")</f>
        <v/>
      </c>
      <c r="AK1017">
        <f>IF($C1017="","",IF(COUNTIF($AJ$2:$AJ1017,$AJ1017)=1,1,0))</f>
        <v/>
      </c>
      <c r="AL1017">
        <f>IF($AK1017=1,SUMPRODUCT(--($AO$2:$AO$1501&lt;$AO1017))+1,"")</f>
        <v/>
      </c>
      <c r="AM1017">
        <f>IF($C1017="","",IF(OR($Q1017=TRUE(),$Q1017="TRUE"),1,0))</f>
        <v/>
      </c>
      <c r="AN1017">
        <f>IF($C1017="","",IF($Z1017="Yes",1,0))</f>
        <v/>
      </c>
      <c r="AO1017">
        <f>IF($AK1017=1,IFERROR(IF(VALUE($C1017)&lt;100000000,VALUE($C1017),1000000000),IFERROR(IF(VALUE(MID($C1017,2,20))&lt;100000000,VALUE(MID($C1017,2,20)),1000000000),1000000000))+ROW()/100000,"")</f>
        <v/>
      </c>
    </row>
    <row r="1018">
      <c r="F1018" s="11" t="n"/>
      <c r="N1018" s="7">
        <f>IF($C1018="","",M1018*U1018/100)</f>
        <v/>
      </c>
      <c r="T1018" s="7" t="n"/>
      <c r="U1018" s="7" t="n"/>
      <c r="V1018" s="7">
        <f>IF($C1018="","",U1018*AA1018/100)</f>
        <v/>
      </c>
      <c r="W1018" s="7">
        <f>IF($C1018="","",U1018-V1018)</f>
        <v/>
      </c>
      <c r="X1018" s="7">
        <f>IF($C1018="","",W1018-N1018)</f>
        <v/>
      </c>
      <c r="AA1018">
        <f>IF($C1018="","",IF($AN1018=1,0,IF($AM1018=1,Settings!$C$6,Settings!$C$7))*100)</f>
        <v/>
      </c>
      <c r="AE1018" s="7" t="n"/>
      <c r="AH1018" s="11" t="n"/>
      <c r="AJ1018">
        <f>IF($C1018="","",$C1018&amp;"|"&amp;$D1018&amp;"")</f>
        <v/>
      </c>
      <c r="AK1018">
        <f>IF($C1018="","",IF(COUNTIF($AJ$2:$AJ1018,$AJ1018)=1,1,0))</f>
        <v/>
      </c>
      <c r="AL1018">
        <f>IF($AK1018=1,SUMPRODUCT(--($AO$2:$AO$1501&lt;$AO1018))+1,"")</f>
        <v/>
      </c>
      <c r="AM1018">
        <f>IF($C1018="","",IF(OR($Q1018=TRUE(),$Q1018="TRUE"),1,0))</f>
        <v/>
      </c>
      <c r="AN1018">
        <f>IF($C1018="","",IF($Z1018="Yes",1,0))</f>
        <v/>
      </c>
      <c r="AO1018">
        <f>IF($AK1018=1,IFERROR(IF(VALUE($C1018)&lt;100000000,VALUE($C1018),1000000000),IFERROR(IF(VALUE(MID($C1018,2,20))&lt;100000000,VALUE(MID($C1018,2,20)),1000000000),1000000000))+ROW()/100000,"")</f>
        <v/>
      </c>
    </row>
    <row r="1019">
      <c r="F1019" s="11" t="n"/>
      <c r="N1019" s="7">
        <f>IF($C1019="","",M1019*U1019/100)</f>
        <v/>
      </c>
      <c r="T1019" s="7" t="n"/>
      <c r="U1019" s="7" t="n"/>
      <c r="V1019" s="7">
        <f>IF($C1019="","",U1019*AA1019/100)</f>
        <v/>
      </c>
      <c r="W1019" s="7">
        <f>IF($C1019="","",U1019-V1019)</f>
        <v/>
      </c>
      <c r="X1019" s="7">
        <f>IF($C1019="","",W1019-N1019)</f>
        <v/>
      </c>
      <c r="AA1019">
        <f>IF($C1019="","",IF($AN1019=1,0,IF($AM1019=1,Settings!$C$6,Settings!$C$7))*100)</f>
        <v/>
      </c>
      <c r="AE1019" s="7" t="n"/>
      <c r="AH1019" s="11" t="n"/>
      <c r="AJ1019">
        <f>IF($C1019="","",$C1019&amp;"|"&amp;$D1019&amp;"")</f>
        <v/>
      </c>
      <c r="AK1019">
        <f>IF($C1019="","",IF(COUNTIF($AJ$2:$AJ1019,$AJ1019)=1,1,0))</f>
        <v/>
      </c>
      <c r="AL1019">
        <f>IF($AK1019=1,SUMPRODUCT(--($AO$2:$AO$1501&lt;$AO1019))+1,"")</f>
        <v/>
      </c>
      <c r="AM1019">
        <f>IF($C1019="","",IF(OR($Q1019=TRUE(),$Q1019="TRUE"),1,0))</f>
        <v/>
      </c>
      <c r="AN1019">
        <f>IF($C1019="","",IF($Z1019="Yes",1,0))</f>
        <v/>
      </c>
      <c r="AO1019">
        <f>IF($AK1019=1,IFERROR(IF(VALUE($C1019)&lt;100000000,VALUE($C1019),1000000000),IFERROR(IF(VALUE(MID($C1019,2,20))&lt;100000000,VALUE(MID($C1019,2,20)),1000000000),1000000000))+ROW()/100000,"")</f>
        <v/>
      </c>
    </row>
    <row r="1020">
      <c r="F1020" s="11" t="n"/>
      <c r="N1020" s="7">
        <f>IF($C1020="","",M1020*U1020/100)</f>
        <v/>
      </c>
      <c r="T1020" s="7" t="n"/>
      <c r="U1020" s="7" t="n"/>
      <c r="V1020" s="7">
        <f>IF($C1020="","",U1020*AA1020/100)</f>
        <v/>
      </c>
      <c r="W1020" s="7">
        <f>IF($C1020="","",U1020-V1020)</f>
        <v/>
      </c>
      <c r="X1020" s="7">
        <f>IF($C1020="","",W1020-N1020)</f>
        <v/>
      </c>
      <c r="AA1020">
        <f>IF($C1020="","",IF($AN1020=1,0,IF($AM1020=1,Settings!$C$6,Settings!$C$7))*100)</f>
        <v/>
      </c>
      <c r="AE1020" s="7" t="n"/>
      <c r="AH1020" s="11" t="n"/>
      <c r="AJ1020">
        <f>IF($C1020="","",$C1020&amp;"|"&amp;$D1020&amp;"")</f>
        <v/>
      </c>
      <c r="AK1020">
        <f>IF($C1020="","",IF(COUNTIF($AJ$2:$AJ1020,$AJ1020)=1,1,0))</f>
        <v/>
      </c>
      <c r="AL1020">
        <f>IF($AK1020=1,SUMPRODUCT(--($AO$2:$AO$1501&lt;$AO1020))+1,"")</f>
        <v/>
      </c>
      <c r="AM1020">
        <f>IF($C1020="","",IF(OR($Q1020=TRUE(),$Q1020="TRUE"),1,0))</f>
        <v/>
      </c>
      <c r="AN1020">
        <f>IF($C1020="","",IF($Z1020="Yes",1,0))</f>
        <v/>
      </c>
      <c r="AO1020">
        <f>IF($AK1020=1,IFERROR(IF(VALUE($C1020)&lt;100000000,VALUE($C1020),1000000000),IFERROR(IF(VALUE(MID($C1020,2,20))&lt;100000000,VALUE(MID($C1020,2,20)),1000000000),1000000000))+ROW()/100000,"")</f>
        <v/>
      </c>
    </row>
    <row r="1021">
      <c r="F1021" s="11" t="n"/>
      <c r="N1021" s="7">
        <f>IF($C1021="","",M1021*U1021/100)</f>
        <v/>
      </c>
      <c r="T1021" s="7" t="n"/>
      <c r="U1021" s="7" t="n"/>
      <c r="V1021" s="7">
        <f>IF($C1021="","",U1021*AA1021/100)</f>
        <v/>
      </c>
      <c r="W1021" s="7">
        <f>IF($C1021="","",U1021-V1021)</f>
        <v/>
      </c>
      <c r="X1021" s="7">
        <f>IF($C1021="","",W1021-N1021)</f>
        <v/>
      </c>
      <c r="AA1021">
        <f>IF($C1021="","",IF($AN1021=1,0,IF($AM1021=1,Settings!$C$6,Settings!$C$7))*100)</f>
        <v/>
      </c>
      <c r="AE1021" s="7" t="n"/>
      <c r="AH1021" s="11" t="n"/>
      <c r="AJ1021">
        <f>IF($C1021="","",$C1021&amp;"|"&amp;$D1021&amp;"")</f>
        <v/>
      </c>
      <c r="AK1021">
        <f>IF($C1021="","",IF(COUNTIF($AJ$2:$AJ1021,$AJ1021)=1,1,0))</f>
        <v/>
      </c>
      <c r="AL1021">
        <f>IF($AK1021=1,SUMPRODUCT(--($AO$2:$AO$1501&lt;$AO1021))+1,"")</f>
        <v/>
      </c>
      <c r="AM1021">
        <f>IF($C1021="","",IF(OR($Q1021=TRUE(),$Q1021="TRUE"),1,0))</f>
        <v/>
      </c>
      <c r="AN1021">
        <f>IF($C1021="","",IF($Z1021="Yes",1,0))</f>
        <v/>
      </c>
      <c r="AO1021">
        <f>IF($AK1021=1,IFERROR(IF(VALUE($C1021)&lt;100000000,VALUE($C1021),1000000000),IFERROR(IF(VALUE(MID($C1021,2,20))&lt;100000000,VALUE(MID($C1021,2,20)),1000000000),1000000000))+ROW()/100000,"")</f>
        <v/>
      </c>
    </row>
    <row r="1022">
      <c r="F1022" s="11" t="n"/>
      <c r="N1022" s="7">
        <f>IF($C1022="","",M1022*U1022/100)</f>
        <v/>
      </c>
      <c r="T1022" s="7" t="n"/>
      <c r="U1022" s="7" t="n"/>
      <c r="V1022" s="7">
        <f>IF($C1022="","",U1022*AA1022/100)</f>
        <v/>
      </c>
      <c r="W1022" s="7">
        <f>IF($C1022="","",U1022-V1022)</f>
        <v/>
      </c>
      <c r="X1022" s="7">
        <f>IF($C1022="","",W1022-N1022)</f>
        <v/>
      </c>
      <c r="AA1022">
        <f>IF($C1022="","",IF($AN1022=1,0,IF($AM1022=1,Settings!$C$6,Settings!$C$7))*100)</f>
        <v/>
      </c>
      <c r="AE1022" s="7" t="n"/>
      <c r="AH1022" s="11" t="n"/>
      <c r="AJ1022">
        <f>IF($C1022="","",$C1022&amp;"|"&amp;$D1022&amp;"")</f>
        <v/>
      </c>
      <c r="AK1022">
        <f>IF($C1022="","",IF(COUNTIF($AJ$2:$AJ1022,$AJ1022)=1,1,0))</f>
        <v/>
      </c>
      <c r="AL1022">
        <f>IF($AK1022=1,SUMPRODUCT(--($AO$2:$AO$1501&lt;$AO1022))+1,"")</f>
        <v/>
      </c>
      <c r="AM1022">
        <f>IF($C1022="","",IF(OR($Q1022=TRUE(),$Q1022="TRUE"),1,0))</f>
        <v/>
      </c>
      <c r="AN1022">
        <f>IF($C1022="","",IF($Z1022="Yes",1,0))</f>
        <v/>
      </c>
      <c r="AO1022">
        <f>IF($AK1022=1,IFERROR(IF(VALUE($C1022)&lt;100000000,VALUE($C1022),1000000000),IFERROR(IF(VALUE(MID($C1022,2,20))&lt;100000000,VALUE(MID($C1022,2,20)),1000000000),1000000000))+ROW()/100000,"")</f>
        <v/>
      </c>
    </row>
    <row r="1023">
      <c r="F1023" s="11" t="n"/>
      <c r="N1023" s="7">
        <f>IF($C1023="","",M1023*U1023/100)</f>
        <v/>
      </c>
      <c r="T1023" s="7" t="n"/>
      <c r="U1023" s="7" t="n"/>
      <c r="V1023" s="7">
        <f>IF($C1023="","",U1023*AA1023/100)</f>
        <v/>
      </c>
      <c r="W1023" s="7">
        <f>IF($C1023="","",U1023-V1023)</f>
        <v/>
      </c>
      <c r="X1023" s="7">
        <f>IF($C1023="","",W1023-N1023)</f>
        <v/>
      </c>
      <c r="AA1023">
        <f>IF($C1023="","",IF($AN1023=1,0,IF($AM1023=1,Settings!$C$6,Settings!$C$7))*100)</f>
        <v/>
      </c>
      <c r="AE1023" s="7" t="n"/>
      <c r="AH1023" s="11" t="n"/>
      <c r="AJ1023">
        <f>IF($C1023="","",$C1023&amp;"|"&amp;$D1023&amp;"")</f>
        <v/>
      </c>
      <c r="AK1023">
        <f>IF($C1023="","",IF(COUNTIF($AJ$2:$AJ1023,$AJ1023)=1,1,0))</f>
        <v/>
      </c>
      <c r="AL1023">
        <f>IF($AK1023=1,SUMPRODUCT(--($AO$2:$AO$1501&lt;$AO1023))+1,"")</f>
        <v/>
      </c>
      <c r="AM1023">
        <f>IF($C1023="","",IF(OR($Q1023=TRUE(),$Q1023="TRUE"),1,0))</f>
        <v/>
      </c>
      <c r="AN1023">
        <f>IF($C1023="","",IF($Z1023="Yes",1,0))</f>
        <v/>
      </c>
      <c r="AO1023">
        <f>IF($AK1023=1,IFERROR(IF(VALUE($C1023)&lt;100000000,VALUE($C1023),1000000000),IFERROR(IF(VALUE(MID($C1023,2,20))&lt;100000000,VALUE(MID($C1023,2,20)),1000000000),1000000000))+ROW()/100000,"")</f>
        <v/>
      </c>
    </row>
    <row r="1024">
      <c r="F1024" s="11" t="n"/>
      <c r="N1024" s="7">
        <f>IF($C1024="","",M1024*U1024/100)</f>
        <v/>
      </c>
      <c r="T1024" s="7" t="n"/>
      <c r="U1024" s="7" t="n"/>
      <c r="V1024" s="7">
        <f>IF($C1024="","",U1024*AA1024/100)</f>
        <v/>
      </c>
      <c r="W1024" s="7">
        <f>IF($C1024="","",U1024-V1024)</f>
        <v/>
      </c>
      <c r="X1024" s="7">
        <f>IF($C1024="","",W1024-N1024)</f>
        <v/>
      </c>
      <c r="AA1024">
        <f>IF($C1024="","",IF($AN1024=1,0,IF($AM1024=1,Settings!$C$6,Settings!$C$7))*100)</f>
        <v/>
      </c>
      <c r="AE1024" s="7" t="n"/>
      <c r="AH1024" s="11" t="n"/>
      <c r="AJ1024">
        <f>IF($C1024="","",$C1024&amp;"|"&amp;$D1024&amp;"")</f>
        <v/>
      </c>
      <c r="AK1024">
        <f>IF($C1024="","",IF(COUNTIF($AJ$2:$AJ1024,$AJ1024)=1,1,0))</f>
        <v/>
      </c>
      <c r="AL1024">
        <f>IF($AK1024=1,SUMPRODUCT(--($AO$2:$AO$1501&lt;$AO1024))+1,"")</f>
        <v/>
      </c>
      <c r="AM1024">
        <f>IF($C1024="","",IF(OR($Q1024=TRUE(),$Q1024="TRUE"),1,0))</f>
        <v/>
      </c>
      <c r="AN1024">
        <f>IF($C1024="","",IF($Z1024="Yes",1,0))</f>
        <v/>
      </c>
      <c r="AO1024">
        <f>IF($AK1024=1,IFERROR(IF(VALUE($C1024)&lt;100000000,VALUE($C1024),1000000000),IFERROR(IF(VALUE(MID($C1024,2,20))&lt;100000000,VALUE(MID($C1024,2,20)),1000000000),1000000000))+ROW()/100000,"")</f>
        <v/>
      </c>
    </row>
    <row r="1025">
      <c r="F1025" s="11" t="n"/>
      <c r="N1025" s="7">
        <f>IF($C1025="","",M1025*U1025/100)</f>
        <v/>
      </c>
      <c r="T1025" s="7" t="n"/>
      <c r="U1025" s="7" t="n"/>
      <c r="V1025" s="7">
        <f>IF($C1025="","",U1025*AA1025/100)</f>
        <v/>
      </c>
      <c r="W1025" s="7">
        <f>IF($C1025="","",U1025-V1025)</f>
        <v/>
      </c>
      <c r="X1025" s="7">
        <f>IF($C1025="","",W1025-N1025)</f>
        <v/>
      </c>
      <c r="AA1025">
        <f>IF($C1025="","",IF($AN1025=1,0,IF($AM1025=1,Settings!$C$6,Settings!$C$7))*100)</f>
        <v/>
      </c>
      <c r="AE1025" s="7" t="n"/>
      <c r="AH1025" s="11" t="n"/>
      <c r="AJ1025">
        <f>IF($C1025="","",$C1025&amp;"|"&amp;$D1025&amp;"")</f>
        <v/>
      </c>
      <c r="AK1025">
        <f>IF($C1025="","",IF(COUNTIF($AJ$2:$AJ1025,$AJ1025)=1,1,0))</f>
        <v/>
      </c>
      <c r="AL1025">
        <f>IF($AK1025=1,SUMPRODUCT(--($AO$2:$AO$1501&lt;$AO1025))+1,"")</f>
        <v/>
      </c>
      <c r="AM1025">
        <f>IF($C1025="","",IF(OR($Q1025=TRUE(),$Q1025="TRUE"),1,0))</f>
        <v/>
      </c>
      <c r="AN1025">
        <f>IF($C1025="","",IF($Z1025="Yes",1,0))</f>
        <v/>
      </c>
      <c r="AO1025">
        <f>IF($AK1025=1,IFERROR(IF(VALUE($C1025)&lt;100000000,VALUE($C1025),1000000000),IFERROR(IF(VALUE(MID($C1025,2,20))&lt;100000000,VALUE(MID($C1025,2,20)),1000000000),1000000000))+ROW()/100000,"")</f>
        <v/>
      </c>
    </row>
    <row r="1026">
      <c r="F1026" s="11" t="n"/>
      <c r="N1026" s="7">
        <f>IF($C1026="","",M1026*U1026/100)</f>
        <v/>
      </c>
      <c r="T1026" s="7" t="n"/>
      <c r="U1026" s="7" t="n"/>
      <c r="V1026" s="7">
        <f>IF($C1026="","",U1026*AA1026/100)</f>
        <v/>
      </c>
      <c r="W1026" s="7">
        <f>IF($C1026="","",U1026-V1026)</f>
        <v/>
      </c>
      <c r="X1026" s="7">
        <f>IF($C1026="","",W1026-N1026)</f>
        <v/>
      </c>
      <c r="AA1026">
        <f>IF($C1026="","",IF($AN1026=1,0,IF($AM1026=1,Settings!$C$6,Settings!$C$7))*100)</f>
        <v/>
      </c>
      <c r="AE1026" s="7" t="n"/>
      <c r="AH1026" s="11" t="n"/>
      <c r="AJ1026">
        <f>IF($C1026="","",$C1026&amp;"|"&amp;$D1026&amp;"")</f>
        <v/>
      </c>
      <c r="AK1026">
        <f>IF($C1026="","",IF(COUNTIF($AJ$2:$AJ1026,$AJ1026)=1,1,0))</f>
        <v/>
      </c>
      <c r="AL1026">
        <f>IF($AK1026=1,SUMPRODUCT(--($AO$2:$AO$1501&lt;$AO1026))+1,"")</f>
        <v/>
      </c>
      <c r="AM1026">
        <f>IF($C1026="","",IF(OR($Q1026=TRUE(),$Q1026="TRUE"),1,0))</f>
        <v/>
      </c>
      <c r="AN1026">
        <f>IF($C1026="","",IF($Z1026="Yes",1,0))</f>
        <v/>
      </c>
      <c r="AO1026">
        <f>IF($AK1026=1,IFERROR(IF(VALUE($C1026)&lt;100000000,VALUE($C1026),1000000000),IFERROR(IF(VALUE(MID($C1026,2,20))&lt;100000000,VALUE(MID($C1026,2,20)),1000000000),1000000000))+ROW()/100000,"")</f>
        <v/>
      </c>
    </row>
    <row r="1027">
      <c r="F1027" s="11" t="n"/>
      <c r="N1027" s="7">
        <f>IF($C1027="","",M1027*U1027/100)</f>
        <v/>
      </c>
      <c r="T1027" s="7" t="n"/>
      <c r="U1027" s="7" t="n"/>
      <c r="V1027" s="7">
        <f>IF($C1027="","",U1027*AA1027/100)</f>
        <v/>
      </c>
      <c r="W1027" s="7">
        <f>IF($C1027="","",U1027-V1027)</f>
        <v/>
      </c>
      <c r="X1027" s="7">
        <f>IF($C1027="","",W1027-N1027)</f>
        <v/>
      </c>
      <c r="AA1027">
        <f>IF($C1027="","",IF($AN1027=1,0,IF($AM1027=1,Settings!$C$6,Settings!$C$7))*100)</f>
        <v/>
      </c>
      <c r="AE1027" s="7" t="n"/>
      <c r="AH1027" s="11" t="n"/>
      <c r="AJ1027">
        <f>IF($C1027="","",$C1027&amp;"|"&amp;$D1027&amp;"")</f>
        <v/>
      </c>
      <c r="AK1027">
        <f>IF($C1027="","",IF(COUNTIF($AJ$2:$AJ1027,$AJ1027)=1,1,0))</f>
        <v/>
      </c>
      <c r="AL1027">
        <f>IF($AK1027=1,SUMPRODUCT(--($AO$2:$AO$1501&lt;$AO1027))+1,"")</f>
        <v/>
      </c>
      <c r="AM1027">
        <f>IF($C1027="","",IF(OR($Q1027=TRUE(),$Q1027="TRUE"),1,0))</f>
        <v/>
      </c>
      <c r="AN1027">
        <f>IF($C1027="","",IF($Z1027="Yes",1,0))</f>
        <v/>
      </c>
      <c r="AO1027">
        <f>IF($AK1027=1,IFERROR(IF(VALUE($C1027)&lt;100000000,VALUE($C1027),1000000000),IFERROR(IF(VALUE(MID($C1027,2,20))&lt;100000000,VALUE(MID($C1027,2,20)),1000000000),1000000000))+ROW()/100000,"")</f>
        <v/>
      </c>
    </row>
    <row r="1028">
      <c r="F1028" s="11" t="n"/>
      <c r="N1028" s="7">
        <f>IF($C1028="","",M1028*U1028/100)</f>
        <v/>
      </c>
      <c r="T1028" s="7" t="n"/>
      <c r="U1028" s="7" t="n"/>
      <c r="V1028" s="7">
        <f>IF($C1028="","",U1028*AA1028/100)</f>
        <v/>
      </c>
      <c r="W1028" s="7">
        <f>IF($C1028="","",U1028-V1028)</f>
        <v/>
      </c>
      <c r="X1028" s="7">
        <f>IF($C1028="","",W1028-N1028)</f>
        <v/>
      </c>
      <c r="AA1028">
        <f>IF($C1028="","",IF($AN1028=1,0,IF($AM1028=1,Settings!$C$6,Settings!$C$7))*100)</f>
        <v/>
      </c>
      <c r="AE1028" s="7" t="n"/>
      <c r="AH1028" s="11" t="n"/>
      <c r="AJ1028">
        <f>IF($C1028="","",$C1028&amp;"|"&amp;$D1028&amp;"")</f>
        <v/>
      </c>
      <c r="AK1028">
        <f>IF($C1028="","",IF(COUNTIF($AJ$2:$AJ1028,$AJ1028)=1,1,0))</f>
        <v/>
      </c>
      <c r="AL1028">
        <f>IF($AK1028=1,SUMPRODUCT(--($AO$2:$AO$1501&lt;$AO1028))+1,"")</f>
        <v/>
      </c>
      <c r="AM1028">
        <f>IF($C1028="","",IF(OR($Q1028=TRUE(),$Q1028="TRUE"),1,0))</f>
        <v/>
      </c>
      <c r="AN1028">
        <f>IF($C1028="","",IF($Z1028="Yes",1,0))</f>
        <v/>
      </c>
      <c r="AO1028">
        <f>IF($AK1028=1,IFERROR(IF(VALUE($C1028)&lt;100000000,VALUE($C1028),1000000000),IFERROR(IF(VALUE(MID($C1028,2,20))&lt;100000000,VALUE(MID($C1028,2,20)),1000000000),1000000000))+ROW()/100000,"")</f>
        <v/>
      </c>
    </row>
    <row r="1029">
      <c r="F1029" s="11" t="n"/>
      <c r="N1029" s="7">
        <f>IF($C1029="","",M1029*U1029/100)</f>
        <v/>
      </c>
      <c r="T1029" s="7" t="n"/>
      <c r="U1029" s="7" t="n"/>
      <c r="V1029" s="7">
        <f>IF($C1029="","",U1029*AA1029/100)</f>
        <v/>
      </c>
      <c r="W1029" s="7">
        <f>IF($C1029="","",U1029-V1029)</f>
        <v/>
      </c>
      <c r="X1029" s="7">
        <f>IF($C1029="","",W1029-N1029)</f>
        <v/>
      </c>
      <c r="AA1029">
        <f>IF($C1029="","",IF($AN1029=1,0,IF($AM1029=1,Settings!$C$6,Settings!$C$7))*100)</f>
        <v/>
      </c>
      <c r="AE1029" s="7" t="n"/>
      <c r="AH1029" s="11" t="n"/>
      <c r="AJ1029">
        <f>IF($C1029="","",$C1029&amp;"|"&amp;$D1029&amp;"")</f>
        <v/>
      </c>
      <c r="AK1029">
        <f>IF($C1029="","",IF(COUNTIF($AJ$2:$AJ1029,$AJ1029)=1,1,0))</f>
        <v/>
      </c>
      <c r="AL1029">
        <f>IF($AK1029=1,SUMPRODUCT(--($AO$2:$AO$1501&lt;$AO1029))+1,"")</f>
        <v/>
      </c>
      <c r="AM1029">
        <f>IF($C1029="","",IF(OR($Q1029=TRUE(),$Q1029="TRUE"),1,0))</f>
        <v/>
      </c>
      <c r="AN1029">
        <f>IF($C1029="","",IF($Z1029="Yes",1,0))</f>
        <v/>
      </c>
      <c r="AO1029">
        <f>IF($AK1029=1,IFERROR(IF(VALUE($C1029)&lt;100000000,VALUE($C1029),1000000000),IFERROR(IF(VALUE(MID($C1029,2,20))&lt;100000000,VALUE(MID($C1029,2,20)),1000000000),1000000000))+ROW()/100000,"")</f>
        <v/>
      </c>
    </row>
    <row r="1030">
      <c r="F1030" s="11" t="n"/>
      <c r="N1030" s="7">
        <f>IF($C1030="","",M1030*U1030/100)</f>
        <v/>
      </c>
      <c r="T1030" s="7" t="n"/>
      <c r="U1030" s="7" t="n"/>
      <c r="V1030" s="7">
        <f>IF($C1030="","",U1030*AA1030/100)</f>
        <v/>
      </c>
      <c r="W1030" s="7">
        <f>IF($C1030="","",U1030-V1030)</f>
        <v/>
      </c>
      <c r="X1030" s="7">
        <f>IF($C1030="","",W1030-N1030)</f>
        <v/>
      </c>
      <c r="AA1030">
        <f>IF($C1030="","",IF($AN1030=1,0,IF($AM1030=1,Settings!$C$6,Settings!$C$7))*100)</f>
        <v/>
      </c>
      <c r="AE1030" s="7" t="n"/>
      <c r="AH1030" s="11" t="n"/>
      <c r="AJ1030">
        <f>IF($C1030="","",$C1030&amp;"|"&amp;$D1030&amp;"")</f>
        <v/>
      </c>
      <c r="AK1030">
        <f>IF($C1030="","",IF(COUNTIF($AJ$2:$AJ1030,$AJ1030)=1,1,0))</f>
        <v/>
      </c>
      <c r="AL1030">
        <f>IF($AK1030=1,SUMPRODUCT(--($AO$2:$AO$1501&lt;$AO1030))+1,"")</f>
        <v/>
      </c>
      <c r="AM1030">
        <f>IF($C1030="","",IF(OR($Q1030=TRUE(),$Q1030="TRUE"),1,0))</f>
        <v/>
      </c>
      <c r="AN1030">
        <f>IF($C1030="","",IF($Z1030="Yes",1,0))</f>
        <v/>
      </c>
      <c r="AO1030">
        <f>IF($AK1030=1,IFERROR(IF(VALUE($C1030)&lt;100000000,VALUE($C1030),1000000000),IFERROR(IF(VALUE(MID($C1030,2,20))&lt;100000000,VALUE(MID($C1030,2,20)),1000000000),1000000000))+ROW()/100000,"")</f>
        <v/>
      </c>
    </row>
    <row r="1031">
      <c r="F1031" s="11" t="n"/>
      <c r="N1031" s="7">
        <f>IF($C1031="","",M1031*U1031/100)</f>
        <v/>
      </c>
      <c r="T1031" s="7" t="n"/>
      <c r="U1031" s="7" t="n"/>
      <c r="V1031" s="7">
        <f>IF($C1031="","",U1031*AA1031/100)</f>
        <v/>
      </c>
      <c r="W1031" s="7">
        <f>IF($C1031="","",U1031-V1031)</f>
        <v/>
      </c>
      <c r="X1031" s="7">
        <f>IF($C1031="","",W1031-N1031)</f>
        <v/>
      </c>
      <c r="AA1031">
        <f>IF($C1031="","",IF($AN1031=1,0,IF($AM1031=1,Settings!$C$6,Settings!$C$7))*100)</f>
        <v/>
      </c>
      <c r="AE1031" s="7" t="n"/>
      <c r="AH1031" s="11" t="n"/>
      <c r="AJ1031">
        <f>IF($C1031="","",$C1031&amp;"|"&amp;$D1031&amp;"")</f>
        <v/>
      </c>
      <c r="AK1031">
        <f>IF($C1031="","",IF(COUNTIF($AJ$2:$AJ1031,$AJ1031)=1,1,0))</f>
        <v/>
      </c>
      <c r="AL1031">
        <f>IF($AK1031=1,SUMPRODUCT(--($AO$2:$AO$1501&lt;$AO1031))+1,"")</f>
        <v/>
      </c>
      <c r="AM1031">
        <f>IF($C1031="","",IF(OR($Q1031=TRUE(),$Q1031="TRUE"),1,0))</f>
        <v/>
      </c>
      <c r="AN1031">
        <f>IF($C1031="","",IF($Z1031="Yes",1,0))</f>
        <v/>
      </c>
      <c r="AO1031">
        <f>IF($AK1031=1,IFERROR(IF(VALUE($C1031)&lt;100000000,VALUE($C1031),1000000000),IFERROR(IF(VALUE(MID($C1031,2,20))&lt;100000000,VALUE(MID($C1031,2,20)),1000000000),1000000000))+ROW()/100000,"")</f>
        <v/>
      </c>
    </row>
    <row r="1032">
      <c r="F1032" s="11" t="n"/>
      <c r="N1032" s="7">
        <f>IF($C1032="","",M1032*U1032/100)</f>
        <v/>
      </c>
      <c r="T1032" s="7" t="n"/>
      <c r="U1032" s="7" t="n"/>
      <c r="V1032" s="7">
        <f>IF($C1032="","",U1032*AA1032/100)</f>
        <v/>
      </c>
      <c r="W1032" s="7">
        <f>IF($C1032="","",U1032-V1032)</f>
        <v/>
      </c>
      <c r="X1032" s="7">
        <f>IF($C1032="","",W1032-N1032)</f>
        <v/>
      </c>
      <c r="AA1032">
        <f>IF($C1032="","",IF($AN1032=1,0,IF($AM1032=1,Settings!$C$6,Settings!$C$7))*100)</f>
        <v/>
      </c>
      <c r="AE1032" s="7" t="n"/>
      <c r="AH1032" s="11" t="n"/>
      <c r="AJ1032">
        <f>IF($C1032="","",$C1032&amp;"|"&amp;$D1032&amp;"")</f>
        <v/>
      </c>
      <c r="AK1032">
        <f>IF($C1032="","",IF(COUNTIF($AJ$2:$AJ1032,$AJ1032)=1,1,0))</f>
        <v/>
      </c>
      <c r="AL1032">
        <f>IF($AK1032=1,SUMPRODUCT(--($AO$2:$AO$1501&lt;$AO1032))+1,"")</f>
        <v/>
      </c>
      <c r="AM1032">
        <f>IF($C1032="","",IF(OR($Q1032=TRUE(),$Q1032="TRUE"),1,0))</f>
        <v/>
      </c>
      <c r="AN1032">
        <f>IF($C1032="","",IF($Z1032="Yes",1,0))</f>
        <v/>
      </c>
      <c r="AO1032">
        <f>IF($AK1032=1,IFERROR(IF(VALUE($C1032)&lt;100000000,VALUE($C1032),1000000000),IFERROR(IF(VALUE(MID($C1032,2,20))&lt;100000000,VALUE(MID($C1032,2,20)),1000000000),1000000000))+ROW()/100000,"")</f>
        <v/>
      </c>
    </row>
    <row r="1033">
      <c r="F1033" s="11" t="n"/>
      <c r="N1033" s="7">
        <f>IF($C1033="","",M1033*U1033/100)</f>
        <v/>
      </c>
      <c r="T1033" s="7" t="n"/>
      <c r="U1033" s="7" t="n"/>
      <c r="V1033" s="7">
        <f>IF($C1033="","",U1033*AA1033/100)</f>
        <v/>
      </c>
      <c r="W1033" s="7">
        <f>IF($C1033="","",U1033-V1033)</f>
        <v/>
      </c>
      <c r="X1033" s="7">
        <f>IF($C1033="","",W1033-N1033)</f>
        <v/>
      </c>
      <c r="AA1033">
        <f>IF($C1033="","",IF($AN1033=1,0,IF($AM1033=1,Settings!$C$6,Settings!$C$7))*100)</f>
        <v/>
      </c>
      <c r="AE1033" s="7" t="n"/>
      <c r="AH1033" s="11" t="n"/>
      <c r="AJ1033">
        <f>IF($C1033="","",$C1033&amp;"|"&amp;$D1033&amp;"")</f>
        <v/>
      </c>
      <c r="AK1033">
        <f>IF($C1033="","",IF(COUNTIF($AJ$2:$AJ1033,$AJ1033)=1,1,0))</f>
        <v/>
      </c>
      <c r="AL1033">
        <f>IF($AK1033=1,SUMPRODUCT(--($AO$2:$AO$1501&lt;$AO1033))+1,"")</f>
        <v/>
      </c>
      <c r="AM1033">
        <f>IF($C1033="","",IF(OR($Q1033=TRUE(),$Q1033="TRUE"),1,0))</f>
        <v/>
      </c>
      <c r="AN1033">
        <f>IF($C1033="","",IF($Z1033="Yes",1,0))</f>
        <v/>
      </c>
      <c r="AO1033">
        <f>IF($AK1033=1,IFERROR(IF(VALUE($C1033)&lt;100000000,VALUE($C1033),1000000000),IFERROR(IF(VALUE(MID($C1033,2,20))&lt;100000000,VALUE(MID($C1033,2,20)),1000000000),1000000000))+ROW()/100000,"")</f>
        <v/>
      </c>
    </row>
    <row r="1034">
      <c r="F1034" s="11" t="n"/>
      <c r="N1034" s="7">
        <f>IF($C1034="","",M1034*U1034/100)</f>
        <v/>
      </c>
      <c r="T1034" s="7" t="n"/>
      <c r="U1034" s="7" t="n"/>
      <c r="V1034" s="7">
        <f>IF($C1034="","",U1034*AA1034/100)</f>
        <v/>
      </c>
      <c r="W1034" s="7">
        <f>IF($C1034="","",U1034-V1034)</f>
        <v/>
      </c>
      <c r="X1034" s="7">
        <f>IF($C1034="","",W1034-N1034)</f>
        <v/>
      </c>
      <c r="AA1034">
        <f>IF($C1034="","",IF($AN1034=1,0,IF($AM1034=1,Settings!$C$6,Settings!$C$7))*100)</f>
        <v/>
      </c>
      <c r="AE1034" s="7" t="n"/>
      <c r="AH1034" s="11" t="n"/>
      <c r="AJ1034">
        <f>IF($C1034="","",$C1034&amp;"|"&amp;$D1034&amp;"")</f>
        <v/>
      </c>
      <c r="AK1034">
        <f>IF($C1034="","",IF(COUNTIF($AJ$2:$AJ1034,$AJ1034)=1,1,0))</f>
        <v/>
      </c>
      <c r="AL1034">
        <f>IF($AK1034=1,SUMPRODUCT(--($AO$2:$AO$1501&lt;$AO1034))+1,"")</f>
        <v/>
      </c>
      <c r="AM1034">
        <f>IF($C1034="","",IF(OR($Q1034=TRUE(),$Q1034="TRUE"),1,0))</f>
        <v/>
      </c>
      <c r="AN1034">
        <f>IF($C1034="","",IF($Z1034="Yes",1,0))</f>
        <v/>
      </c>
      <c r="AO1034">
        <f>IF($AK1034=1,IFERROR(IF(VALUE($C1034)&lt;100000000,VALUE($C1034),1000000000),IFERROR(IF(VALUE(MID($C1034,2,20))&lt;100000000,VALUE(MID($C1034,2,20)),1000000000),1000000000))+ROW()/100000,"")</f>
        <v/>
      </c>
    </row>
    <row r="1035">
      <c r="F1035" s="11" t="n"/>
      <c r="N1035" s="7">
        <f>IF($C1035="","",M1035*U1035/100)</f>
        <v/>
      </c>
      <c r="T1035" s="7" t="n"/>
      <c r="U1035" s="7" t="n"/>
      <c r="V1035" s="7">
        <f>IF($C1035="","",U1035*AA1035/100)</f>
        <v/>
      </c>
      <c r="W1035" s="7">
        <f>IF($C1035="","",U1035-V1035)</f>
        <v/>
      </c>
      <c r="X1035" s="7">
        <f>IF($C1035="","",W1035-N1035)</f>
        <v/>
      </c>
      <c r="AA1035">
        <f>IF($C1035="","",IF($AN1035=1,0,IF($AM1035=1,Settings!$C$6,Settings!$C$7))*100)</f>
        <v/>
      </c>
      <c r="AE1035" s="7" t="n"/>
      <c r="AH1035" s="11" t="n"/>
      <c r="AJ1035">
        <f>IF($C1035="","",$C1035&amp;"|"&amp;$D1035&amp;"")</f>
        <v/>
      </c>
      <c r="AK1035">
        <f>IF($C1035="","",IF(COUNTIF($AJ$2:$AJ1035,$AJ1035)=1,1,0))</f>
        <v/>
      </c>
      <c r="AL1035">
        <f>IF($AK1035=1,SUMPRODUCT(--($AO$2:$AO$1501&lt;$AO1035))+1,"")</f>
        <v/>
      </c>
      <c r="AM1035">
        <f>IF($C1035="","",IF(OR($Q1035=TRUE(),$Q1035="TRUE"),1,0))</f>
        <v/>
      </c>
      <c r="AN1035">
        <f>IF($C1035="","",IF($Z1035="Yes",1,0))</f>
        <v/>
      </c>
      <c r="AO1035">
        <f>IF($AK1035=1,IFERROR(IF(VALUE($C1035)&lt;100000000,VALUE($C1035),1000000000),IFERROR(IF(VALUE(MID($C1035,2,20))&lt;100000000,VALUE(MID($C1035,2,20)),1000000000),1000000000))+ROW()/100000,"")</f>
        <v/>
      </c>
    </row>
    <row r="1036">
      <c r="F1036" s="11" t="n"/>
      <c r="N1036" s="7">
        <f>IF($C1036="","",M1036*U1036/100)</f>
        <v/>
      </c>
      <c r="T1036" s="7" t="n"/>
      <c r="U1036" s="7" t="n"/>
      <c r="V1036" s="7">
        <f>IF($C1036="","",U1036*AA1036/100)</f>
        <v/>
      </c>
      <c r="W1036" s="7">
        <f>IF($C1036="","",U1036-V1036)</f>
        <v/>
      </c>
      <c r="X1036" s="7">
        <f>IF($C1036="","",W1036-N1036)</f>
        <v/>
      </c>
      <c r="AA1036">
        <f>IF($C1036="","",IF($AN1036=1,0,IF($AM1036=1,Settings!$C$6,Settings!$C$7))*100)</f>
        <v/>
      </c>
      <c r="AE1036" s="7" t="n"/>
      <c r="AH1036" s="11" t="n"/>
      <c r="AJ1036">
        <f>IF($C1036="","",$C1036&amp;"|"&amp;$D1036&amp;"")</f>
        <v/>
      </c>
      <c r="AK1036">
        <f>IF($C1036="","",IF(COUNTIF($AJ$2:$AJ1036,$AJ1036)=1,1,0))</f>
        <v/>
      </c>
      <c r="AL1036">
        <f>IF($AK1036=1,SUMPRODUCT(--($AO$2:$AO$1501&lt;$AO1036))+1,"")</f>
        <v/>
      </c>
      <c r="AM1036">
        <f>IF($C1036="","",IF(OR($Q1036=TRUE(),$Q1036="TRUE"),1,0))</f>
        <v/>
      </c>
      <c r="AN1036">
        <f>IF($C1036="","",IF($Z1036="Yes",1,0))</f>
        <v/>
      </c>
      <c r="AO1036">
        <f>IF($AK1036=1,IFERROR(IF(VALUE($C1036)&lt;100000000,VALUE($C1036),1000000000),IFERROR(IF(VALUE(MID($C1036,2,20))&lt;100000000,VALUE(MID($C1036,2,20)),1000000000),1000000000))+ROW()/100000,"")</f>
        <v/>
      </c>
    </row>
    <row r="1037">
      <c r="F1037" s="11" t="n"/>
      <c r="N1037" s="7">
        <f>IF($C1037="","",M1037*U1037/100)</f>
        <v/>
      </c>
      <c r="T1037" s="7" t="n"/>
      <c r="U1037" s="7" t="n"/>
      <c r="V1037" s="7">
        <f>IF($C1037="","",U1037*AA1037/100)</f>
        <v/>
      </c>
      <c r="W1037" s="7">
        <f>IF($C1037="","",U1037-V1037)</f>
        <v/>
      </c>
      <c r="X1037" s="7">
        <f>IF($C1037="","",W1037-N1037)</f>
        <v/>
      </c>
      <c r="AA1037">
        <f>IF($C1037="","",IF($AN1037=1,0,IF($AM1037=1,Settings!$C$6,Settings!$C$7))*100)</f>
        <v/>
      </c>
      <c r="AE1037" s="7" t="n"/>
      <c r="AH1037" s="11" t="n"/>
      <c r="AJ1037">
        <f>IF($C1037="","",$C1037&amp;"|"&amp;$D1037&amp;"")</f>
        <v/>
      </c>
      <c r="AK1037">
        <f>IF($C1037="","",IF(COUNTIF($AJ$2:$AJ1037,$AJ1037)=1,1,0))</f>
        <v/>
      </c>
      <c r="AL1037">
        <f>IF($AK1037=1,SUMPRODUCT(--($AO$2:$AO$1501&lt;$AO1037))+1,"")</f>
        <v/>
      </c>
      <c r="AM1037">
        <f>IF($C1037="","",IF(OR($Q1037=TRUE(),$Q1037="TRUE"),1,0))</f>
        <v/>
      </c>
      <c r="AN1037">
        <f>IF($C1037="","",IF($Z1037="Yes",1,0))</f>
        <v/>
      </c>
      <c r="AO1037">
        <f>IF($AK1037=1,IFERROR(IF(VALUE($C1037)&lt;100000000,VALUE($C1037),1000000000),IFERROR(IF(VALUE(MID($C1037,2,20))&lt;100000000,VALUE(MID($C1037,2,20)),1000000000),1000000000))+ROW()/100000,"")</f>
        <v/>
      </c>
    </row>
    <row r="1038">
      <c r="F1038" s="11" t="n"/>
      <c r="N1038" s="7">
        <f>IF($C1038="","",M1038*U1038/100)</f>
        <v/>
      </c>
      <c r="T1038" s="7" t="n"/>
      <c r="U1038" s="7" t="n"/>
      <c r="V1038" s="7">
        <f>IF($C1038="","",U1038*AA1038/100)</f>
        <v/>
      </c>
      <c r="W1038" s="7">
        <f>IF($C1038="","",U1038-V1038)</f>
        <v/>
      </c>
      <c r="X1038" s="7">
        <f>IF($C1038="","",W1038-N1038)</f>
        <v/>
      </c>
      <c r="AA1038">
        <f>IF($C1038="","",IF($AN1038=1,0,IF($AM1038=1,Settings!$C$6,Settings!$C$7))*100)</f>
        <v/>
      </c>
      <c r="AE1038" s="7" t="n"/>
      <c r="AH1038" s="11" t="n"/>
      <c r="AJ1038">
        <f>IF($C1038="","",$C1038&amp;"|"&amp;$D1038&amp;"")</f>
        <v/>
      </c>
      <c r="AK1038">
        <f>IF($C1038="","",IF(COUNTIF($AJ$2:$AJ1038,$AJ1038)=1,1,0))</f>
        <v/>
      </c>
      <c r="AL1038">
        <f>IF($AK1038=1,SUMPRODUCT(--($AO$2:$AO$1501&lt;$AO1038))+1,"")</f>
        <v/>
      </c>
      <c r="AM1038">
        <f>IF($C1038="","",IF(OR($Q1038=TRUE(),$Q1038="TRUE"),1,0))</f>
        <v/>
      </c>
      <c r="AN1038">
        <f>IF($C1038="","",IF($Z1038="Yes",1,0))</f>
        <v/>
      </c>
      <c r="AO1038">
        <f>IF($AK1038=1,IFERROR(IF(VALUE($C1038)&lt;100000000,VALUE($C1038),1000000000),IFERROR(IF(VALUE(MID($C1038,2,20))&lt;100000000,VALUE(MID($C1038,2,20)),1000000000),1000000000))+ROW()/100000,"")</f>
        <v/>
      </c>
    </row>
    <row r="1039">
      <c r="F1039" s="11" t="n"/>
      <c r="N1039" s="7">
        <f>IF($C1039="","",M1039*U1039/100)</f>
        <v/>
      </c>
      <c r="T1039" s="7" t="n"/>
      <c r="U1039" s="7" t="n"/>
      <c r="V1039" s="7">
        <f>IF($C1039="","",U1039*AA1039/100)</f>
        <v/>
      </c>
      <c r="W1039" s="7">
        <f>IF($C1039="","",U1039-V1039)</f>
        <v/>
      </c>
      <c r="X1039" s="7">
        <f>IF($C1039="","",W1039-N1039)</f>
        <v/>
      </c>
      <c r="AA1039">
        <f>IF($C1039="","",IF($AN1039=1,0,IF($AM1039=1,Settings!$C$6,Settings!$C$7))*100)</f>
        <v/>
      </c>
      <c r="AE1039" s="7" t="n"/>
      <c r="AH1039" s="11" t="n"/>
      <c r="AJ1039">
        <f>IF($C1039="","",$C1039&amp;"|"&amp;$D1039&amp;"")</f>
        <v/>
      </c>
      <c r="AK1039">
        <f>IF($C1039="","",IF(COUNTIF($AJ$2:$AJ1039,$AJ1039)=1,1,0))</f>
        <v/>
      </c>
      <c r="AL1039">
        <f>IF($AK1039=1,SUMPRODUCT(--($AO$2:$AO$1501&lt;$AO1039))+1,"")</f>
        <v/>
      </c>
      <c r="AM1039">
        <f>IF($C1039="","",IF(OR($Q1039=TRUE(),$Q1039="TRUE"),1,0))</f>
        <v/>
      </c>
      <c r="AN1039">
        <f>IF($C1039="","",IF($Z1039="Yes",1,0))</f>
        <v/>
      </c>
      <c r="AO1039">
        <f>IF($AK1039=1,IFERROR(IF(VALUE($C1039)&lt;100000000,VALUE($C1039),1000000000),IFERROR(IF(VALUE(MID($C1039,2,20))&lt;100000000,VALUE(MID($C1039,2,20)),1000000000),1000000000))+ROW()/100000,"")</f>
        <v/>
      </c>
    </row>
    <row r="1040">
      <c r="F1040" s="11" t="n"/>
      <c r="N1040" s="7">
        <f>IF($C1040="","",M1040*U1040/100)</f>
        <v/>
      </c>
      <c r="T1040" s="7" t="n"/>
      <c r="U1040" s="7" t="n"/>
      <c r="V1040" s="7">
        <f>IF($C1040="","",U1040*AA1040/100)</f>
        <v/>
      </c>
      <c r="W1040" s="7">
        <f>IF($C1040="","",U1040-V1040)</f>
        <v/>
      </c>
      <c r="X1040" s="7">
        <f>IF($C1040="","",W1040-N1040)</f>
        <v/>
      </c>
      <c r="AA1040">
        <f>IF($C1040="","",IF($AN1040=1,0,IF($AM1040=1,Settings!$C$6,Settings!$C$7))*100)</f>
        <v/>
      </c>
      <c r="AE1040" s="7" t="n"/>
      <c r="AH1040" s="11" t="n"/>
      <c r="AJ1040">
        <f>IF($C1040="","",$C1040&amp;"|"&amp;$D1040&amp;"")</f>
        <v/>
      </c>
      <c r="AK1040">
        <f>IF($C1040="","",IF(COUNTIF($AJ$2:$AJ1040,$AJ1040)=1,1,0))</f>
        <v/>
      </c>
      <c r="AL1040">
        <f>IF($AK1040=1,SUMPRODUCT(--($AO$2:$AO$1501&lt;$AO1040))+1,"")</f>
        <v/>
      </c>
      <c r="AM1040">
        <f>IF($C1040="","",IF(OR($Q1040=TRUE(),$Q1040="TRUE"),1,0))</f>
        <v/>
      </c>
      <c r="AN1040">
        <f>IF($C1040="","",IF($Z1040="Yes",1,0))</f>
        <v/>
      </c>
      <c r="AO1040">
        <f>IF($AK1040=1,IFERROR(IF(VALUE($C1040)&lt;100000000,VALUE($C1040),1000000000),IFERROR(IF(VALUE(MID($C1040,2,20))&lt;100000000,VALUE(MID($C1040,2,20)),1000000000),1000000000))+ROW()/100000,"")</f>
        <v/>
      </c>
    </row>
    <row r="1041">
      <c r="F1041" s="11" t="n"/>
      <c r="N1041" s="7">
        <f>IF($C1041="","",M1041*U1041/100)</f>
        <v/>
      </c>
      <c r="T1041" s="7" t="n"/>
      <c r="U1041" s="7" t="n"/>
      <c r="V1041" s="7">
        <f>IF($C1041="","",U1041*AA1041/100)</f>
        <v/>
      </c>
      <c r="W1041" s="7">
        <f>IF($C1041="","",U1041-V1041)</f>
        <v/>
      </c>
      <c r="X1041" s="7">
        <f>IF($C1041="","",W1041-N1041)</f>
        <v/>
      </c>
      <c r="AA1041">
        <f>IF($C1041="","",IF($AN1041=1,0,IF($AM1041=1,Settings!$C$6,Settings!$C$7))*100)</f>
        <v/>
      </c>
      <c r="AE1041" s="7" t="n"/>
      <c r="AH1041" s="11" t="n"/>
      <c r="AJ1041">
        <f>IF($C1041="","",$C1041&amp;"|"&amp;$D1041&amp;"")</f>
        <v/>
      </c>
      <c r="AK1041">
        <f>IF($C1041="","",IF(COUNTIF($AJ$2:$AJ1041,$AJ1041)=1,1,0))</f>
        <v/>
      </c>
      <c r="AL1041">
        <f>IF($AK1041=1,SUMPRODUCT(--($AO$2:$AO$1501&lt;$AO1041))+1,"")</f>
        <v/>
      </c>
      <c r="AM1041">
        <f>IF($C1041="","",IF(OR($Q1041=TRUE(),$Q1041="TRUE"),1,0))</f>
        <v/>
      </c>
      <c r="AN1041">
        <f>IF($C1041="","",IF($Z1041="Yes",1,0))</f>
        <v/>
      </c>
      <c r="AO1041">
        <f>IF($AK1041=1,IFERROR(IF(VALUE($C1041)&lt;100000000,VALUE($C1041),1000000000),IFERROR(IF(VALUE(MID($C1041,2,20))&lt;100000000,VALUE(MID($C1041,2,20)),1000000000),1000000000))+ROW()/100000,"")</f>
        <v/>
      </c>
    </row>
    <row r="1042">
      <c r="F1042" s="11" t="n"/>
      <c r="N1042" s="7">
        <f>IF($C1042="","",M1042*U1042/100)</f>
        <v/>
      </c>
      <c r="T1042" s="7" t="n"/>
      <c r="U1042" s="7" t="n"/>
      <c r="V1042" s="7">
        <f>IF($C1042="","",U1042*AA1042/100)</f>
        <v/>
      </c>
      <c r="W1042" s="7">
        <f>IF($C1042="","",U1042-V1042)</f>
        <v/>
      </c>
      <c r="X1042" s="7">
        <f>IF($C1042="","",W1042-N1042)</f>
        <v/>
      </c>
      <c r="AA1042">
        <f>IF($C1042="","",IF($AN1042=1,0,IF($AM1042=1,Settings!$C$6,Settings!$C$7))*100)</f>
        <v/>
      </c>
      <c r="AE1042" s="7" t="n"/>
      <c r="AH1042" s="11" t="n"/>
      <c r="AJ1042">
        <f>IF($C1042="","",$C1042&amp;"|"&amp;$D1042&amp;"")</f>
        <v/>
      </c>
      <c r="AK1042">
        <f>IF($C1042="","",IF(COUNTIF($AJ$2:$AJ1042,$AJ1042)=1,1,0))</f>
        <v/>
      </c>
      <c r="AL1042">
        <f>IF($AK1042=1,SUMPRODUCT(--($AO$2:$AO$1501&lt;$AO1042))+1,"")</f>
        <v/>
      </c>
      <c r="AM1042">
        <f>IF($C1042="","",IF(OR($Q1042=TRUE(),$Q1042="TRUE"),1,0))</f>
        <v/>
      </c>
      <c r="AN1042">
        <f>IF($C1042="","",IF($Z1042="Yes",1,0))</f>
        <v/>
      </c>
      <c r="AO1042">
        <f>IF($AK1042=1,IFERROR(IF(VALUE($C1042)&lt;100000000,VALUE($C1042),1000000000),IFERROR(IF(VALUE(MID($C1042,2,20))&lt;100000000,VALUE(MID($C1042,2,20)),1000000000),1000000000))+ROW()/100000,"")</f>
        <v/>
      </c>
    </row>
    <row r="1043">
      <c r="F1043" s="11" t="n"/>
      <c r="N1043" s="7">
        <f>IF($C1043="","",M1043*U1043/100)</f>
        <v/>
      </c>
      <c r="T1043" s="7" t="n"/>
      <c r="U1043" s="7" t="n"/>
      <c r="V1043" s="7">
        <f>IF($C1043="","",U1043*AA1043/100)</f>
        <v/>
      </c>
      <c r="W1043" s="7">
        <f>IF($C1043="","",U1043-V1043)</f>
        <v/>
      </c>
      <c r="X1043" s="7">
        <f>IF($C1043="","",W1043-N1043)</f>
        <v/>
      </c>
      <c r="AA1043">
        <f>IF($C1043="","",IF($AN1043=1,0,IF($AM1043=1,Settings!$C$6,Settings!$C$7))*100)</f>
        <v/>
      </c>
      <c r="AE1043" s="7" t="n"/>
      <c r="AH1043" s="11" t="n"/>
      <c r="AJ1043">
        <f>IF($C1043="","",$C1043&amp;"|"&amp;$D1043&amp;"")</f>
        <v/>
      </c>
      <c r="AK1043">
        <f>IF($C1043="","",IF(COUNTIF($AJ$2:$AJ1043,$AJ1043)=1,1,0))</f>
        <v/>
      </c>
      <c r="AL1043">
        <f>IF($AK1043=1,SUMPRODUCT(--($AO$2:$AO$1501&lt;$AO1043))+1,"")</f>
        <v/>
      </c>
      <c r="AM1043">
        <f>IF($C1043="","",IF(OR($Q1043=TRUE(),$Q1043="TRUE"),1,0))</f>
        <v/>
      </c>
      <c r="AN1043">
        <f>IF($C1043="","",IF($Z1043="Yes",1,0))</f>
        <v/>
      </c>
      <c r="AO1043">
        <f>IF($AK1043=1,IFERROR(IF(VALUE($C1043)&lt;100000000,VALUE($C1043),1000000000),IFERROR(IF(VALUE(MID($C1043,2,20))&lt;100000000,VALUE(MID($C1043,2,20)),1000000000),1000000000))+ROW()/100000,"")</f>
        <v/>
      </c>
    </row>
    <row r="1044">
      <c r="F1044" s="11" t="n"/>
      <c r="N1044" s="7">
        <f>IF($C1044="","",M1044*U1044/100)</f>
        <v/>
      </c>
      <c r="T1044" s="7" t="n"/>
      <c r="U1044" s="7" t="n"/>
      <c r="V1044" s="7">
        <f>IF($C1044="","",U1044*AA1044/100)</f>
        <v/>
      </c>
      <c r="W1044" s="7">
        <f>IF($C1044="","",U1044-V1044)</f>
        <v/>
      </c>
      <c r="X1044" s="7">
        <f>IF($C1044="","",W1044-N1044)</f>
        <v/>
      </c>
      <c r="AA1044">
        <f>IF($C1044="","",IF($AN1044=1,0,IF($AM1044=1,Settings!$C$6,Settings!$C$7))*100)</f>
        <v/>
      </c>
      <c r="AE1044" s="7" t="n"/>
      <c r="AH1044" s="11" t="n"/>
      <c r="AJ1044">
        <f>IF($C1044="","",$C1044&amp;"|"&amp;$D1044&amp;"")</f>
        <v/>
      </c>
      <c r="AK1044">
        <f>IF($C1044="","",IF(COUNTIF($AJ$2:$AJ1044,$AJ1044)=1,1,0))</f>
        <v/>
      </c>
      <c r="AL1044">
        <f>IF($AK1044=1,SUMPRODUCT(--($AO$2:$AO$1501&lt;$AO1044))+1,"")</f>
        <v/>
      </c>
      <c r="AM1044">
        <f>IF($C1044="","",IF(OR($Q1044=TRUE(),$Q1044="TRUE"),1,0))</f>
        <v/>
      </c>
      <c r="AN1044">
        <f>IF($C1044="","",IF($Z1044="Yes",1,0))</f>
        <v/>
      </c>
      <c r="AO1044">
        <f>IF($AK1044=1,IFERROR(IF(VALUE($C1044)&lt;100000000,VALUE($C1044),1000000000),IFERROR(IF(VALUE(MID($C1044,2,20))&lt;100000000,VALUE(MID($C1044,2,20)),1000000000),1000000000))+ROW()/100000,"")</f>
        <v/>
      </c>
    </row>
    <row r="1045">
      <c r="F1045" s="11" t="n"/>
      <c r="N1045" s="7">
        <f>IF($C1045="","",M1045*U1045/100)</f>
        <v/>
      </c>
      <c r="T1045" s="7" t="n"/>
      <c r="U1045" s="7" t="n"/>
      <c r="V1045" s="7">
        <f>IF($C1045="","",U1045*AA1045/100)</f>
        <v/>
      </c>
      <c r="W1045" s="7">
        <f>IF($C1045="","",U1045-V1045)</f>
        <v/>
      </c>
      <c r="X1045" s="7">
        <f>IF($C1045="","",W1045-N1045)</f>
        <v/>
      </c>
      <c r="AA1045">
        <f>IF($C1045="","",IF($AN1045=1,0,IF($AM1045=1,Settings!$C$6,Settings!$C$7))*100)</f>
        <v/>
      </c>
      <c r="AE1045" s="7" t="n"/>
      <c r="AH1045" s="11" t="n"/>
      <c r="AJ1045">
        <f>IF($C1045="","",$C1045&amp;"|"&amp;$D1045&amp;"")</f>
        <v/>
      </c>
      <c r="AK1045">
        <f>IF($C1045="","",IF(COUNTIF($AJ$2:$AJ1045,$AJ1045)=1,1,0))</f>
        <v/>
      </c>
      <c r="AL1045">
        <f>IF($AK1045=1,SUMPRODUCT(--($AO$2:$AO$1501&lt;$AO1045))+1,"")</f>
        <v/>
      </c>
      <c r="AM1045">
        <f>IF($C1045="","",IF(OR($Q1045=TRUE(),$Q1045="TRUE"),1,0))</f>
        <v/>
      </c>
      <c r="AN1045">
        <f>IF($C1045="","",IF($Z1045="Yes",1,0))</f>
        <v/>
      </c>
      <c r="AO1045">
        <f>IF($AK1045=1,IFERROR(IF(VALUE($C1045)&lt;100000000,VALUE($C1045),1000000000),IFERROR(IF(VALUE(MID($C1045,2,20))&lt;100000000,VALUE(MID($C1045,2,20)),1000000000),1000000000))+ROW()/100000,"")</f>
        <v/>
      </c>
    </row>
    <row r="1046">
      <c r="F1046" s="11" t="n"/>
      <c r="N1046" s="7">
        <f>IF($C1046="","",M1046*U1046/100)</f>
        <v/>
      </c>
      <c r="T1046" s="7" t="n"/>
      <c r="U1046" s="7" t="n"/>
      <c r="V1046" s="7">
        <f>IF($C1046="","",U1046*AA1046/100)</f>
        <v/>
      </c>
      <c r="W1046" s="7">
        <f>IF($C1046="","",U1046-V1046)</f>
        <v/>
      </c>
      <c r="X1046" s="7">
        <f>IF($C1046="","",W1046-N1046)</f>
        <v/>
      </c>
      <c r="AA1046">
        <f>IF($C1046="","",IF($AN1046=1,0,IF($AM1046=1,Settings!$C$6,Settings!$C$7))*100)</f>
        <v/>
      </c>
      <c r="AE1046" s="7" t="n"/>
      <c r="AH1046" s="11" t="n"/>
      <c r="AJ1046">
        <f>IF($C1046="","",$C1046&amp;"|"&amp;$D1046&amp;"")</f>
        <v/>
      </c>
      <c r="AK1046">
        <f>IF($C1046="","",IF(COUNTIF($AJ$2:$AJ1046,$AJ1046)=1,1,0))</f>
        <v/>
      </c>
      <c r="AL1046">
        <f>IF($AK1046=1,SUMPRODUCT(--($AO$2:$AO$1501&lt;$AO1046))+1,"")</f>
        <v/>
      </c>
      <c r="AM1046">
        <f>IF($C1046="","",IF(OR($Q1046=TRUE(),$Q1046="TRUE"),1,0))</f>
        <v/>
      </c>
      <c r="AN1046">
        <f>IF($C1046="","",IF($Z1046="Yes",1,0))</f>
        <v/>
      </c>
      <c r="AO1046">
        <f>IF($AK1046=1,IFERROR(IF(VALUE($C1046)&lt;100000000,VALUE($C1046),1000000000),IFERROR(IF(VALUE(MID($C1046,2,20))&lt;100000000,VALUE(MID($C1046,2,20)),1000000000),1000000000))+ROW()/100000,"")</f>
        <v/>
      </c>
    </row>
    <row r="1047">
      <c r="F1047" s="11" t="n"/>
      <c r="N1047" s="7">
        <f>IF($C1047="","",M1047*U1047/100)</f>
        <v/>
      </c>
      <c r="T1047" s="7" t="n"/>
      <c r="U1047" s="7" t="n"/>
      <c r="V1047" s="7">
        <f>IF($C1047="","",U1047*AA1047/100)</f>
        <v/>
      </c>
      <c r="W1047" s="7">
        <f>IF($C1047="","",U1047-V1047)</f>
        <v/>
      </c>
      <c r="X1047" s="7">
        <f>IF($C1047="","",W1047-N1047)</f>
        <v/>
      </c>
      <c r="AA1047">
        <f>IF($C1047="","",IF($AN1047=1,0,IF($AM1047=1,Settings!$C$6,Settings!$C$7))*100)</f>
        <v/>
      </c>
      <c r="AE1047" s="7" t="n"/>
      <c r="AH1047" s="11" t="n"/>
      <c r="AJ1047">
        <f>IF($C1047="","",$C1047&amp;"|"&amp;$D1047&amp;"")</f>
        <v/>
      </c>
      <c r="AK1047">
        <f>IF($C1047="","",IF(COUNTIF($AJ$2:$AJ1047,$AJ1047)=1,1,0))</f>
        <v/>
      </c>
      <c r="AL1047">
        <f>IF($AK1047=1,SUMPRODUCT(--($AO$2:$AO$1501&lt;$AO1047))+1,"")</f>
        <v/>
      </c>
      <c r="AM1047">
        <f>IF($C1047="","",IF(OR($Q1047=TRUE(),$Q1047="TRUE"),1,0))</f>
        <v/>
      </c>
      <c r="AN1047">
        <f>IF($C1047="","",IF($Z1047="Yes",1,0))</f>
        <v/>
      </c>
      <c r="AO1047">
        <f>IF($AK1047=1,IFERROR(IF(VALUE($C1047)&lt;100000000,VALUE($C1047),1000000000),IFERROR(IF(VALUE(MID($C1047,2,20))&lt;100000000,VALUE(MID($C1047,2,20)),1000000000),1000000000))+ROW()/100000,"")</f>
        <v/>
      </c>
    </row>
    <row r="1048">
      <c r="F1048" s="11" t="n"/>
      <c r="N1048" s="7">
        <f>IF($C1048="","",M1048*U1048/100)</f>
        <v/>
      </c>
      <c r="T1048" s="7" t="n"/>
      <c r="U1048" s="7" t="n"/>
      <c r="V1048" s="7">
        <f>IF($C1048="","",U1048*AA1048/100)</f>
        <v/>
      </c>
      <c r="W1048" s="7">
        <f>IF($C1048="","",U1048-V1048)</f>
        <v/>
      </c>
      <c r="X1048" s="7">
        <f>IF($C1048="","",W1048-N1048)</f>
        <v/>
      </c>
      <c r="AA1048">
        <f>IF($C1048="","",IF($AN1048=1,0,IF($AM1048=1,Settings!$C$6,Settings!$C$7))*100)</f>
        <v/>
      </c>
      <c r="AE1048" s="7" t="n"/>
      <c r="AH1048" s="11" t="n"/>
      <c r="AJ1048">
        <f>IF($C1048="","",$C1048&amp;"|"&amp;$D1048&amp;"")</f>
        <v/>
      </c>
      <c r="AK1048">
        <f>IF($C1048="","",IF(COUNTIF($AJ$2:$AJ1048,$AJ1048)=1,1,0))</f>
        <v/>
      </c>
      <c r="AL1048">
        <f>IF($AK1048=1,SUMPRODUCT(--($AO$2:$AO$1501&lt;$AO1048))+1,"")</f>
        <v/>
      </c>
      <c r="AM1048">
        <f>IF($C1048="","",IF(OR($Q1048=TRUE(),$Q1048="TRUE"),1,0))</f>
        <v/>
      </c>
      <c r="AN1048">
        <f>IF($C1048="","",IF($Z1048="Yes",1,0))</f>
        <v/>
      </c>
      <c r="AO1048">
        <f>IF($AK1048=1,IFERROR(IF(VALUE($C1048)&lt;100000000,VALUE($C1048),1000000000),IFERROR(IF(VALUE(MID($C1048,2,20))&lt;100000000,VALUE(MID($C1048,2,20)),1000000000),1000000000))+ROW()/100000,"")</f>
        <v/>
      </c>
    </row>
    <row r="1049">
      <c r="F1049" s="11" t="n"/>
      <c r="N1049" s="7">
        <f>IF($C1049="","",M1049*U1049/100)</f>
        <v/>
      </c>
      <c r="T1049" s="7" t="n"/>
      <c r="U1049" s="7" t="n"/>
      <c r="V1049" s="7">
        <f>IF($C1049="","",U1049*AA1049/100)</f>
        <v/>
      </c>
      <c r="W1049" s="7">
        <f>IF($C1049="","",U1049-V1049)</f>
        <v/>
      </c>
      <c r="X1049" s="7">
        <f>IF($C1049="","",W1049-N1049)</f>
        <v/>
      </c>
      <c r="AA1049">
        <f>IF($C1049="","",IF($AN1049=1,0,IF($AM1049=1,Settings!$C$6,Settings!$C$7))*100)</f>
        <v/>
      </c>
      <c r="AE1049" s="7" t="n"/>
      <c r="AH1049" s="11" t="n"/>
      <c r="AJ1049">
        <f>IF($C1049="","",$C1049&amp;"|"&amp;$D1049&amp;"")</f>
        <v/>
      </c>
      <c r="AK1049">
        <f>IF($C1049="","",IF(COUNTIF($AJ$2:$AJ1049,$AJ1049)=1,1,0))</f>
        <v/>
      </c>
      <c r="AL1049">
        <f>IF($AK1049=1,SUMPRODUCT(--($AO$2:$AO$1501&lt;$AO1049))+1,"")</f>
        <v/>
      </c>
      <c r="AM1049">
        <f>IF($C1049="","",IF(OR($Q1049=TRUE(),$Q1049="TRUE"),1,0))</f>
        <v/>
      </c>
      <c r="AN1049">
        <f>IF($C1049="","",IF($Z1049="Yes",1,0))</f>
        <v/>
      </c>
      <c r="AO1049">
        <f>IF($AK1049=1,IFERROR(IF(VALUE($C1049)&lt;100000000,VALUE($C1049),1000000000),IFERROR(IF(VALUE(MID($C1049,2,20))&lt;100000000,VALUE(MID($C1049,2,20)),1000000000),1000000000))+ROW()/100000,"")</f>
        <v/>
      </c>
    </row>
    <row r="1050">
      <c r="F1050" s="11" t="n"/>
      <c r="N1050" s="7">
        <f>IF($C1050="","",M1050*U1050/100)</f>
        <v/>
      </c>
      <c r="T1050" s="7" t="n"/>
      <c r="U1050" s="7" t="n"/>
      <c r="V1050" s="7">
        <f>IF($C1050="","",U1050*AA1050/100)</f>
        <v/>
      </c>
      <c r="W1050" s="7">
        <f>IF($C1050="","",U1050-V1050)</f>
        <v/>
      </c>
      <c r="X1050" s="7">
        <f>IF($C1050="","",W1050-N1050)</f>
        <v/>
      </c>
      <c r="AA1050">
        <f>IF($C1050="","",IF($AN1050=1,0,IF($AM1050=1,Settings!$C$6,Settings!$C$7))*100)</f>
        <v/>
      </c>
      <c r="AE1050" s="7" t="n"/>
      <c r="AH1050" s="11" t="n"/>
      <c r="AJ1050">
        <f>IF($C1050="","",$C1050&amp;"|"&amp;$D1050&amp;"")</f>
        <v/>
      </c>
      <c r="AK1050">
        <f>IF($C1050="","",IF(COUNTIF($AJ$2:$AJ1050,$AJ1050)=1,1,0))</f>
        <v/>
      </c>
      <c r="AL1050">
        <f>IF($AK1050=1,SUMPRODUCT(--($AO$2:$AO$1501&lt;$AO1050))+1,"")</f>
        <v/>
      </c>
      <c r="AM1050">
        <f>IF($C1050="","",IF(OR($Q1050=TRUE(),$Q1050="TRUE"),1,0))</f>
        <v/>
      </c>
      <c r="AN1050">
        <f>IF($C1050="","",IF($Z1050="Yes",1,0))</f>
        <v/>
      </c>
      <c r="AO1050">
        <f>IF($AK1050=1,IFERROR(IF(VALUE($C1050)&lt;100000000,VALUE($C1050),1000000000),IFERROR(IF(VALUE(MID($C1050,2,20))&lt;100000000,VALUE(MID($C1050,2,20)),1000000000),1000000000))+ROW()/100000,"")</f>
        <v/>
      </c>
    </row>
    <row r="1051">
      <c r="F1051" s="11" t="n"/>
      <c r="N1051" s="7">
        <f>IF($C1051="","",M1051*U1051/100)</f>
        <v/>
      </c>
      <c r="T1051" s="7" t="n"/>
      <c r="U1051" s="7" t="n"/>
      <c r="V1051" s="7">
        <f>IF($C1051="","",U1051*AA1051/100)</f>
        <v/>
      </c>
      <c r="W1051" s="7">
        <f>IF($C1051="","",U1051-V1051)</f>
        <v/>
      </c>
      <c r="X1051" s="7">
        <f>IF($C1051="","",W1051-N1051)</f>
        <v/>
      </c>
      <c r="AA1051">
        <f>IF($C1051="","",IF($AN1051=1,0,IF($AM1051=1,Settings!$C$6,Settings!$C$7))*100)</f>
        <v/>
      </c>
      <c r="AE1051" s="7" t="n"/>
      <c r="AH1051" s="11" t="n"/>
      <c r="AJ1051">
        <f>IF($C1051="","",$C1051&amp;"|"&amp;$D1051&amp;"")</f>
        <v/>
      </c>
      <c r="AK1051">
        <f>IF($C1051="","",IF(COUNTIF($AJ$2:$AJ1051,$AJ1051)=1,1,0))</f>
        <v/>
      </c>
      <c r="AL1051">
        <f>IF($AK1051=1,SUMPRODUCT(--($AO$2:$AO$1501&lt;$AO1051))+1,"")</f>
        <v/>
      </c>
      <c r="AM1051">
        <f>IF($C1051="","",IF(OR($Q1051=TRUE(),$Q1051="TRUE"),1,0))</f>
        <v/>
      </c>
      <c r="AN1051">
        <f>IF($C1051="","",IF($Z1051="Yes",1,0))</f>
        <v/>
      </c>
      <c r="AO1051">
        <f>IF($AK1051=1,IFERROR(IF(VALUE($C1051)&lt;100000000,VALUE($C1051),1000000000),IFERROR(IF(VALUE(MID($C1051,2,20))&lt;100000000,VALUE(MID($C1051,2,20)),1000000000),1000000000))+ROW()/100000,"")</f>
        <v/>
      </c>
    </row>
    <row r="1052">
      <c r="F1052" s="11" t="n"/>
      <c r="N1052" s="7">
        <f>IF($C1052="","",M1052*U1052/100)</f>
        <v/>
      </c>
      <c r="T1052" s="7" t="n"/>
      <c r="U1052" s="7" t="n"/>
      <c r="V1052" s="7">
        <f>IF($C1052="","",U1052*AA1052/100)</f>
        <v/>
      </c>
      <c r="W1052" s="7">
        <f>IF($C1052="","",U1052-V1052)</f>
        <v/>
      </c>
      <c r="X1052" s="7">
        <f>IF($C1052="","",W1052-N1052)</f>
        <v/>
      </c>
      <c r="AA1052">
        <f>IF($C1052="","",IF($AN1052=1,0,IF($AM1052=1,Settings!$C$6,Settings!$C$7))*100)</f>
        <v/>
      </c>
      <c r="AE1052" s="7" t="n"/>
      <c r="AH1052" s="11" t="n"/>
      <c r="AJ1052">
        <f>IF($C1052="","",$C1052&amp;"|"&amp;$D1052&amp;"")</f>
        <v/>
      </c>
      <c r="AK1052">
        <f>IF($C1052="","",IF(COUNTIF($AJ$2:$AJ1052,$AJ1052)=1,1,0))</f>
        <v/>
      </c>
      <c r="AL1052">
        <f>IF($AK1052=1,SUMPRODUCT(--($AO$2:$AO$1501&lt;$AO1052))+1,"")</f>
        <v/>
      </c>
      <c r="AM1052">
        <f>IF($C1052="","",IF(OR($Q1052=TRUE(),$Q1052="TRUE"),1,0))</f>
        <v/>
      </c>
      <c r="AN1052">
        <f>IF($C1052="","",IF($Z1052="Yes",1,0))</f>
        <v/>
      </c>
      <c r="AO1052">
        <f>IF($AK1052=1,IFERROR(IF(VALUE($C1052)&lt;100000000,VALUE($C1052),1000000000),IFERROR(IF(VALUE(MID($C1052,2,20))&lt;100000000,VALUE(MID($C1052,2,20)),1000000000),1000000000))+ROW()/100000,"")</f>
        <v/>
      </c>
    </row>
    <row r="1053">
      <c r="F1053" s="11" t="n"/>
      <c r="N1053" s="7">
        <f>IF($C1053="","",M1053*U1053/100)</f>
        <v/>
      </c>
      <c r="T1053" s="7" t="n"/>
      <c r="U1053" s="7" t="n"/>
      <c r="V1053" s="7">
        <f>IF($C1053="","",U1053*AA1053/100)</f>
        <v/>
      </c>
      <c r="W1053" s="7">
        <f>IF($C1053="","",U1053-V1053)</f>
        <v/>
      </c>
      <c r="X1053" s="7">
        <f>IF($C1053="","",W1053-N1053)</f>
        <v/>
      </c>
      <c r="AA1053">
        <f>IF($C1053="","",IF($AN1053=1,0,IF($AM1053=1,Settings!$C$6,Settings!$C$7))*100)</f>
        <v/>
      </c>
      <c r="AE1053" s="7" t="n"/>
      <c r="AH1053" s="11" t="n"/>
      <c r="AJ1053">
        <f>IF($C1053="","",$C1053&amp;"|"&amp;$D1053&amp;"")</f>
        <v/>
      </c>
      <c r="AK1053">
        <f>IF($C1053="","",IF(COUNTIF($AJ$2:$AJ1053,$AJ1053)=1,1,0))</f>
        <v/>
      </c>
      <c r="AL1053">
        <f>IF($AK1053=1,SUMPRODUCT(--($AO$2:$AO$1501&lt;$AO1053))+1,"")</f>
        <v/>
      </c>
      <c r="AM1053">
        <f>IF($C1053="","",IF(OR($Q1053=TRUE(),$Q1053="TRUE"),1,0))</f>
        <v/>
      </c>
      <c r="AN1053">
        <f>IF($C1053="","",IF($Z1053="Yes",1,0))</f>
        <v/>
      </c>
      <c r="AO1053">
        <f>IF($AK1053=1,IFERROR(IF(VALUE($C1053)&lt;100000000,VALUE($C1053),1000000000),IFERROR(IF(VALUE(MID($C1053,2,20))&lt;100000000,VALUE(MID($C1053,2,20)),1000000000),1000000000))+ROW()/100000,"")</f>
        <v/>
      </c>
    </row>
    <row r="1054">
      <c r="F1054" s="11" t="n"/>
      <c r="N1054" s="7">
        <f>IF($C1054="","",M1054*U1054/100)</f>
        <v/>
      </c>
      <c r="T1054" s="7" t="n"/>
      <c r="U1054" s="7" t="n"/>
      <c r="V1054" s="7">
        <f>IF($C1054="","",U1054*AA1054/100)</f>
        <v/>
      </c>
      <c r="W1054" s="7">
        <f>IF($C1054="","",U1054-V1054)</f>
        <v/>
      </c>
      <c r="X1054" s="7">
        <f>IF($C1054="","",W1054-N1054)</f>
        <v/>
      </c>
      <c r="AA1054">
        <f>IF($C1054="","",IF($AN1054=1,0,IF($AM1054=1,Settings!$C$6,Settings!$C$7))*100)</f>
        <v/>
      </c>
      <c r="AE1054" s="7" t="n"/>
      <c r="AH1054" s="11" t="n"/>
      <c r="AJ1054">
        <f>IF($C1054="","",$C1054&amp;"|"&amp;$D1054&amp;"")</f>
        <v/>
      </c>
      <c r="AK1054">
        <f>IF($C1054="","",IF(COUNTIF($AJ$2:$AJ1054,$AJ1054)=1,1,0))</f>
        <v/>
      </c>
      <c r="AL1054">
        <f>IF($AK1054=1,SUMPRODUCT(--($AO$2:$AO$1501&lt;$AO1054))+1,"")</f>
        <v/>
      </c>
      <c r="AM1054">
        <f>IF($C1054="","",IF(OR($Q1054=TRUE(),$Q1054="TRUE"),1,0))</f>
        <v/>
      </c>
      <c r="AN1054">
        <f>IF($C1054="","",IF($Z1054="Yes",1,0))</f>
        <v/>
      </c>
      <c r="AO1054">
        <f>IF($AK1054=1,IFERROR(IF(VALUE($C1054)&lt;100000000,VALUE($C1054),1000000000),IFERROR(IF(VALUE(MID($C1054,2,20))&lt;100000000,VALUE(MID($C1054,2,20)),1000000000),1000000000))+ROW()/100000,"")</f>
        <v/>
      </c>
    </row>
    <row r="1055">
      <c r="F1055" s="11" t="n"/>
      <c r="N1055" s="7">
        <f>IF($C1055="","",M1055*U1055/100)</f>
        <v/>
      </c>
      <c r="T1055" s="7" t="n"/>
      <c r="U1055" s="7" t="n"/>
      <c r="V1055" s="7">
        <f>IF($C1055="","",U1055*AA1055/100)</f>
        <v/>
      </c>
      <c r="W1055" s="7">
        <f>IF($C1055="","",U1055-V1055)</f>
        <v/>
      </c>
      <c r="X1055" s="7">
        <f>IF($C1055="","",W1055-N1055)</f>
        <v/>
      </c>
      <c r="AA1055">
        <f>IF($C1055="","",IF($AN1055=1,0,IF($AM1055=1,Settings!$C$6,Settings!$C$7))*100)</f>
        <v/>
      </c>
      <c r="AE1055" s="7" t="n"/>
      <c r="AH1055" s="11" t="n"/>
      <c r="AJ1055">
        <f>IF($C1055="","",$C1055&amp;"|"&amp;$D1055&amp;"")</f>
        <v/>
      </c>
      <c r="AK1055">
        <f>IF($C1055="","",IF(COUNTIF($AJ$2:$AJ1055,$AJ1055)=1,1,0))</f>
        <v/>
      </c>
      <c r="AL1055">
        <f>IF($AK1055=1,SUMPRODUCT(--($AO$2:$AO$1501&lt;$AO1055))+1,"")</f>
        <v/>
      </c>
      <c r="AM1055">
        <f>IF($C1055="","",IF(OR($Q1055=TRUE(),$Q1055="TRUE"),1,0))</f>
        <v/>
      </c>
      <c r="AN1055">
        <f>IF($C1055="","",IF($Z1055="Yes",1,0))</f>
        <v/>
      </c>
      <c r="AO1055">
        <f>IF($AK1055=1,IFERROR(IF(VALUE($C1055)&lt;100000000,VALUE($C1055),1000000000),IFERROR(IF(VALUE(MID($C1055,2,20))&lt;100000000,VALUE(MID($C1055,2,20)),1000000000),1000000000))+ROW()/100000,"")</f>
        <v/>
      </c>
    </row>
    <row r="1056">
      <c r="F1056" s="11" t="n"/>
      <c r="N1056" s="7">
        <f>IF($C1056="","",M1056*U1056/100)</f>
        <v/>
      </c>
      <c r="T1056" s="7" t="n"/>
      <c r="U1056" s="7" t="n"/>
      <c r="V1056" s="7">
        <f>IF($C1056="","",U1056*AA1056/100)</f>
        <v/>
      </c>
      <c r="W1056" s="7">
        <f>IF($C1056="","",U1056-V1056)</f>
        <v/>
      </c>
      <c r="X1056" s="7">
        <f>IF($C1056="","",W1056-N1056)</f>
        <v/>
      </c>
      <c r="AA1056">
        <f>IF($C1056="","",IF($AN1056=1,0,IF($AM1056=1,Settings!$C$6,Settings!$C$7))*100)</f>
        <v/>
      </c>
      <c r="AE1056" s="7" t="n"/>
      <c r="AH1056" s="11" t="n"/>
      <c r="AJ1056">
        <f>IF($C1056="","",$C1056&amp;"|"&amp;$D1056&amp;"")</f>
        <v/>
      </c>
      <c r="AK1056">
        <f>IF($C1056="","",IF(COUNTIF($AJ$2:$AJ1056,$AJ1056)=1,1,0))</f>
        <v/>
      </c>
      <c r="AL1056">
        <f>IF($AK1056=1,SUMPRODUCT(--($AO$2:$AO$1501&lt;$AO1056))+1,"")</f>
        <v/>
      </c>
      <c r="AM1056">
        <f>IF($C1056="","",IF(OR($Q1056=TRUE(),$Q1056="TRUE"),1,0))</f>
        <v/>
      </c>
      <c r="AN1056">
        <f>IF($C1056="","",IF($Z1056="Yes",1,0))</f>
        <v/>
      </c>
      <c r="AO1056">
        <f>IF($AK1056=1,IFERROR(IF(VALUE($C1056)&lt;100000000,VALUE($C1056),1000000000),IFERROR(IF(VALUE(MID($C1056,2,20))&lt;100000000,VALUE(MID($C1056,2,20)),1000000000),1000000000))+ROW()/100000,"")</f>
        <v/>
      </c>
    </row>
    <row r="1057">
      <c r="F1057" s="11" t="n"/>
      <c r="N1057" s="7">
        <f>IF($C1057="","",M1057*U1057/100)</f>
        <v/>
      </c>
      <c r="T1057" s="7" t="n"/>
      <c r="U1057" s="7" t="n"/>
      <c r="V1057" s="7">
        <f>IF($C1057="","",U1057*AA1057/100)</f>
        <v/>
      </c>
      <c r="W1057" s="7">
        <f>IF($C1057="","",U1057-V1057)</f>
        <v/>
      </c>
      <c r="X1057" s="7">
        <f>IF($C1057="","",W1057-N1057)</f>
        <v/>
      </c>
      <c r="AA1057">
        <f>IF($C1057="","",IF($AN1057=1,0,IF($AM1057=1,Settings!$C$6,Settings!$C$7))*100)</f>
        <v/>
      </c>
      <c r="AE1057" s="7" t="n"/>
      <c r="AH1057" s="11" t="n"/>
      <c r="AJ1057">
        <f>IF($C1057="","",$C1057&amp;"|"&amp;$D1057&amp;"")</f>
        <v/>
      </c>
      <c r="AK1057">
        <f>IF($C1057="","",IF(COUNTIF($AJ$2:$AJ1057,$AJ1057)=1,1,0))</f>
        <v/>
      </c>
      <c r="AL1057">
        <f>IF($AK1057=1,SUMPRODUCT(--($AO$2:$AO$1501&lt;$AO1057))+1,"")</f>
        <v/>
      </c>
      <c r="AM1057">
        <f>IF($C1057="","",IF(OR($Q1057=TRUE(),$Q1057="TRUE"),1,0))</f>
        <v/>
      </c>
      <c r="AN1057">
        <f>IF($C1057="","",IF($Z1057="Yes",1,0))</f>
        <v/>
      </c>
      <c r="AO1057">
        <f>IF($AK1057=1,IFERROR(IF(VALUE($C1057)&lt;100000000,VALUE($C1057),1000000000),IFERROR(IF(VALUE(MID($C1057,2,20))&lt;100000000,VALUE(MID($C1057,2,20)),1000000000),1000000000))+ROW()/100000,"")</f>
        <v/>
      </c>
    </row>
    <row r="1058">
      <c r="F1058" s="11" t="n"/>
      <c r="N1058" s="7">
        <f>IF($C1058="","",M1058*U1058/100)</f>
        <v/>
      </c>
      <c r="T1058" s="7" t="n"/>
      <c r="U1058" s="7" t="n"/>
      <c r="V1058" s="7">
        <f>IF($C1058="","",U1058*AA1058/100)</f>
        <v/>
      </c>
      <c r="W1058" s="7">
        <f>IF($C1058="","",U1058-V1058)</f>
        <v/>
      </c>
      <c r="X1058" s="7">
        <f>IF($C1058="","",W1058-N1058)</f>
        <v/>
      </c>
      <c r="AA1058">
        <f>IF($C1058="","",IF($AN1058=1,0,IF($AM1058=1,Settings!$C$6,Settings!$C$7))*100)</f>
        <v/>
      </c>
      <c r="AE1058" s="7" t="n"/>
      <c r="AH1058" s="11" t="n"/>
      <c r="AJ1058">
        <f>IF($C1058="","",$C1058&amp;"|"&amp;$D1058&amp;"")</f>
        <v/>
      </c>
      <c r="AK1058">
        <f>IF($C1058="","",IF(COUNTIF($AJ$2:$AJ1058,$AJ1058)=1,1,0))</f>
        <v/>
      </c>
      <c r="AL1058">
        <f>IF($AK1058=1,SUMPRODUCT(--($AO$2:$AO$1501&lt;$AO1058))+1,"")</f>
        <v/>
      </c>
      <c r="AM1058">
        <f>IF($C1058="","",IF(OR($Q1058=TRUE(),$Q1058="TRUE"),1,0))</f>
        <v/>
      </c>
      <c r="AN1058">
        <f>IF($C1058="","",IF($Z1058="Yes",1,0))</f>
        <v/>
      </c>
      <c r="AO1058">
        <f>IF($AK1058=1,IFERROR(IF(VALUE($C1058)&lt;100000000,VALUE($C1058),1000000000),IFERROR(IF(VALUE(MID($C1058,2,20))&lt;100000000,VALUE(MID($C1058,2,20)),1000000000),1000000000))+ROW()/100000,"")</f>
        <v/>
      </c>
    </row>
    <row r="1059">
      <c r="F1059" s="11" t="n"/>
      <c r="N1059" s="7">
        <f>IF($C1059="","",M1059*U1059/100)</f>
        <v/>
      </c>
      <c r="T1059" s="7" t="n"/>
      <c r="U1059" s="7" t="n"/>
      <c r="V1059" s="7">
        <f>IF($C1059="","",U1059*AA1059/100)</f>
        <v/>
      </c>
      <c r="W1059" s="7">
        <f>IF($C1059="","",U1059-V1059)</f>
        <v/>
      </c>
      <c r="X1059" s="7">
        <f>IF($C1059="","",W1059-N1059)</f>
        <v/>
      </c>
      <c r="AA1059">
        <f>IF($C1059="","",IF($AN1059=1,0,IF($AM1059=1,Settings!$C$6,Settings!$C$7))*100)</f>
        <v/>
      </c>
      <c r="AE1059" s="7" t="n"/>
      <c r="AH1059" s="11" t="n"/>
      <c r="AJ1059">
        <f>IF($C1059="","",$C1059&amp;"|"&amp;$D1059&amp;"")</f>
        <v/>
      </c>
      <c r="AK1059">
        <f>IF($C1059="","",IF(COUNTIF($AJ$2:$AJ1059,$AJ1059)=1,1,0))</f>
        <v/>
      </c>
      <c r="AL1059">
        <f>IF($AK1059=1,SUMPRODUCT(--($AO$2:$AO$1501&lt;$AO1059))+1,"")</f>
        <v/>
      </c>
      <c r="AM1059">
        <f>IF($C1059="","",IF(OR($Q1059=TRUE(),$Q1059="TRUE"),1,0))</f>
        <v/>
      </c>
      <c r="AN1059">
        <f>IF($C1059="","",IF($Z1059="Yes",1,0))</f>
        <v/>
      </c>
      <c r="AO1059">
        <f>IF($AK1059=1,IFERROR(IF(VALUE($C1059)&lt;100000000,VALUE($C1059),1000000000),IFERROR(IF(VALUE(MID($C1059,2,20))&lt;100000000,VALUE(MID($C1059,2,20)),1000000000),1000000000))+ROW()/100000,"")</f>
        <v/>
      </c>
    </row>
    <row r="1060">
      <c r="F1060" s="11" t="n"/>
      <c r="N1060" s="7">
        <f>IF($C1060="","",M1060*U1060/100)</f>
        <v/>
      </c>
      <c r="T1060" s="7" t="n"/>
      <c r="U1060" s="7" t="n"/>
      <c r="V1060" s="7">
        <f>IF($C1060="","",U1060*AA1060/100)</f>
        <v/>
      </c>
      <c r="W1060" s="7">
        <f>IF($C1060="","",U1060-V1060)</f>
        <v/>
      </c>
      <c r="X1060" s="7">
        <f>IF($C1060="","",W1060-N1060)</f>
        <v/>
      </c>
      <c r="AA1060">
        <f>IF($C1060="","",IF($AN1060=1,0,IF($AM1060=1,Settings!$C$6,Settings!$C$7))*100)</f>
        <v/>
      </c>
      <c r="AE1060" s="7" t="n"/>
      <c r="AH1060" s="11" t="n"/>
      <c r="AJ1060">
        <f>IF($C1060="","",$C1060&amp;"|"&amp;$D1060&amp;"")</f>
        <v/>
      </c>
      <c r="AK1060">
        <f>IF($C1060="","",IF(COUNTIF($AJ$2:$AJ1060,$AJ1060)=1,1,0))</f>
        <v/>
      </c>
      <c r="AL1060">
        <f>IF($AK1060=1,SUMPRODUCT(--($AO$2:$AO$1501&lt;$AO1060))+1,"")</f>
        <v/>
      </c>
      <c r="AM1060">
        <f>IF($C1060="","",IF(OR($Q1060=TRUE(),$Q1060="TRUE"),1,0))</f>
        <v/>
      </c>
      <c r="AN1060">
        <f>IF($C1060="","",IF($Z1060="Yes",1,0))</f>
        <v/>
      </c>
      <c r="AO1060">
        <f>IF($AK1060=1,IFERROR(IF(VALUE($C1060)&lt;100000000,VALUE($C1060),1000000000),IFERROR(IF(VALUE(MID($C1060,2,20))&lt;100000000,VALUE(MID($C1060,2,20)),1000000000),1000000000))+ROW()/100000,"")</f>
        <v/>
      </c>
    </row>
    <row r="1061">
      <c r="F1061" s="11" t="n"/>
      <c r="N1061" s="7">
        <f>IF($C1061="","",M1061*U1061/100)</f>
        <v/>
      </c>
      <c r="T1061" s="7" t="n"/>
      <c r="U1061" s="7" t="n"/>
      <c r="V1061" s="7">
        <f>IF($C1061="","",U1061*AA1061/100)</f>
        <v/>
      </c>
      <c r="W1061" s="7">
        <f>IF($C1061="","",U1061-V1061)</f>
        <v/>
      </c>
      <c r="X1061" s="7">
        <f>IF($C1061="","",W1061-N1061)</f>
        <v/>
      </c>
      <c r="AA1061">
        <f>IF($C1061="","",IF($AN1061=1,0,IF($AM1061=1,Settings!$C$6,Settings!$C$7))*100)</f>
        <v/>
      </c>
      <c r="AE1061" s="7" t="n"/>
      <c r="AH1061" s="11" t="n"/>
      <c r="AJ1061">
        <f>IF($C1061="","",$C1061&amp;"|"&amp;$D1061&amp;"")</f>
        <v/>
      </c>
      <c r="AK1061">
        <f>IF($C1061="","",IF(COUNTIF($AJ$2:$AJ1061,$AJ1061)=1,1,0))</f>
        <v/>
      </c>
      <c r="AL1061">
        <f>IF($AK1061=1,SUMPRODUCT(--($AO$2:$AO$1501&lt;$AO1061))+1,"")</f>
        <v/>
      </c>
      <c r="AM1061">
        <f>IF($C1061="","",IF(OR($Q1061=TRUE(),$Q1061="TRUE"),1,0))</f>
        <v/>
      </c>
      <c r="AN1061">
        <f>IF($C1061="","",IF($Z1061="Yes",1,0))</f>
        <v/>
      </c>
      <c r="AO1061">
        <f>IF($AK1061=1,IFERROR(IF(VALUE($C1061)&lt;100000000,VALUE($C1061),1000000000),IFERROR(IF(VALUE(MID($C1061,2,20))&lt;100000000,VALUE(MID($C1061,2,20)),1000000000),1000000000))+ROW()/100000,"")</f>
        <v/>
      </c>
    </row>
    <row r="1062">
      <c r="F1062" s="11" t="n"/>
      <c r="N1062" s="7">
        <f>IF($C1062="","",M1062*U1062/100)</f>
        <v/>
      </c>
      <c r="T1062" s="7" t="n"/>
      <c r="U1062" s="7" t="n"/>
      <c r="V1062" s="7">
        <f>IF($C1062="","",U1062*AA1062/100)</f>
        <v/>
      </c>
      <c r="W1062" s="7">
        <f>IF($C1062="","",U1062-V1062)</f>
        <v/>
      </c>
      <c r="X1062" s="7">
        <f>IF($C1062="","",W1062-N1062)</f>
        <v/>
      </c>
      <c r="AA1062">
        <f>IF($C1062="","",IF($AN1062=1,0,IF($AM1062=1,Settings!$C$6,Settings!$C$7))*100)</f>
        <v/>
      </c>
      <c r="AE1062" s="7" t="n"/>
      <c r="AH1062" s="11" t="n"/>
      <c r="AJ1062">
        <f>IF($C1062="","",$C1062&amp;"|"&amp;$D1062&amp;"")</f>
        <v/>
      </c>
      <c r="AK1062">
        <f>IF($C1062="","",IF(COUNTIF($AJ$2:$AJ1062,$AJ1062)=1,1,0))</f>
        <v/>
      </c>
      <c r="AL1062">
        <f>IF($AK1062=1,SUMPRODUCT(--($AO$2:$AO$1501&lt;$AO1062))+1,"")</f>
        <v/>
      </c>
      <c r="AM1062">
        <f>IF($C1062="","",IF(OR($Q1062=TRUE(),$Q1062="TRUE"),1,0))</f>
        <v/>
      </c>
      <c r="AN1062">
        <f>IF($C1062="","",IF($Z1062="Yes",1,0))</f>
        <v/>
      </c>
      <c r="AO1062">
        <f>IF($AK1062=1,IFERROR(IF(VALUE($C1062)&lt;100000000,VALUE($C1062),1000000000),IFERROR(IF(VALUE(MID($C1062,2,20))&lt;100000000,VALUE(MID($C1062,2,20)),1000000000),1000000000))+ROW()/100000,"")</f>
        <v/>
      </c>
    </row>
    <row r="1063">
      <c r="F1063" s="11" t="n"/>
      <c r="N1063" s="7">
        <f>IF($C1063="","",M1063*U1063/100)</f>
        <v/>
      </c>
      <c r="T1063" s="7" t="n"/>
      <c r="U1063" s="7" t="n"/>
      <c r="V1063" s="7">
        <f>IF($C1063="","",U1063*AA1063/100)</f>
        <v/>
      </c>
      <c r="W1063" s="7">
        <f>IF($C1063="","",U1063-V1063)</f>
        <v/>
      </c>
      <c r="X1063" s="7">
        <f>IF($C1063="","",W1063-N1063)</f>
        <v/>
      </c>
      <c r="AA1063">
        <f>IF($C1063="","",IF($AN1063=1,0,IF($AM1063=1,Settings!$C$6,Settings!$C$7))*100)</f>
        <v/>
      </c>
      <c r="AE1063" s="7" t="n"/>
      <c r="AH1063" s="11" t="n"/>
      <c r="AJ1063">
        <f>IF($C1063="","",$C1063&amp;"|"&amp;$D1063&amp;"")</f>
        <v/>
      </c>
      <c r="AK1063">
        <f>IF($C1063="","",IF(COUNTIF($AJ$2:$AJ1063,$AJ1063)=1,1,0))</f>
        <v/>
      </c>
      <c r="AL1063">
        <f>IF($AK1063=1,SUMPRODUCT(--($AO$2:$AO$1501&lt;$AO1063))+1,"")</f>
        <v/>
      </c>
      <c r="AM1063">
        <f>IF($C1063="","",IF(OR($Q1063=TRUE(),$Q1063="TRUE"),1,0))</f>
        <v/>
      </c>
      <c r="AN1063">
        <f>IF($C1063="","",IF($Z1063="Yes",1,0))</f>
        <v/>
      </c>
      <c r="AO1063">
        <f>IF($AK1063=1,IFERROR(IF(VALUE($C1063)&lt;100000000,VALUE($C1063),1000000000),IFERROR(IF(VALUE(MID($C1063,2,20))&lt;100000000,VALUE(MID($C1063,2,20)),1000000000),1000000000))+ROW()/100000,"")</f>
        <v/>
      </c>
    </row>
    <row r="1064">
      <c r="F1064" s="11" t="n"/>
      <c r="N1064" s="7">
        <f>IF($C1064="","",M1064*U1064/100)</f>
        <v/>
      </c>
      <c r="T1064" s="7" t="n"/>
      <c r="U1064" s="7" t="n"/>
      <c r="V1064" s="7">
        <f>IF($C1064="","",U1064*AA1064/100)</f>
        <v/>
      </c>
      <c r="W1064" s="7">
        <f>IF($C1064="","",U1064-V1064)</f>
        <v/>
      </c>
      <c r="X1064" s="7">
        <f>IF($C1064="","",W1064-N1064)</f>
        <v/>
      </c>
      <c r="AA1064">
        <f>IF($C1064="","",IF($AN1064=1,0,IF($AM1064=1,Settings!$C$6,Settings!$C$7))*100)</f>
        <v/>
      </c>
      <c r="AE1064" s="7" t="n"/>
      <c r="AH1064" s="11" t="n"/>
      <c r="AJ1064">
        <f>IF($C1064="","",$C1064&amp;"|"&amp;$D1064&amp;"")</f>
        <v/>
      </c>
      <c r="AK1064">
        <f>IF($C1064="","",IF(COUNTIF($AJ$2:$AJ1064,$AJ1064)=1,1,0))</f>
        <v/>
      </c>
      <c r="AL1064">
        <f>IF($AK1064=1,SUMPRODUCT(--($AO$2:$AO$1501&lt;$AO1064))+1,"")</f>
        <v/>
      </c>
      <c r="AM1064">
        <f>IF($C1064="","",IF(OR($Q1064=TRUE(),$Q1064="TRUE"),1,0))</f>
        <v/>
      </c>
      <c r="AN1064">
        <f>IF($C1064="","",IF($Z1064="Yes",1,0))</f>
        <v/>
      </c>
      <c r="AO1064">
        <f>IF($AK1064=1,IFERROR(IF(VALUE($C1064)&lt;100000000,VALUE($C1064),1000000000),IFERROR(IF(VALUE(MID($C1064,2,20))&lt;100000000,VALUE(MID($C1064,2,20)),1000000000),1000000000))+ROW()/100000,"")</f>
        <v/>
      </c>
    </row>
    <row r="1065">
      <c r="F1065" s="11" t="n"/>
      <c r="N1065" s="7">
        <f>IF($C1065="","",M1065*U1065/100)</f>
        <v/>
      </c>
      <c r="T1065" s="7" t="n"/>
      <c r="U1065" s="7" t="n"/>
      <c r="V1065" s="7">
        <f>IF($C1065="","",U1065*AA1065/100)</f>
        <v/>
      </c>
      <c r="W1065" s="7">
        <f>IF($C1065="","",U1065-V1065)</f>
        <v/>
      </c>
      <c r="X1065" s="7">
        <f>IF($C1065="","",W1065-N1065)</f>
        <v/>
      </c>
      <c r="AA1065">
        <f>IF($C1065="","",IF($AN1065=1,0,IF($AM1065=1,Settings!$C$6,Settings!$C$7))*100)</f>
        <v/>
      </c>
      <c r="AE1065" s="7" t="n"/>
      <c r="AH1065" s="11" t="n"/>
      <c r="AJ1065">
        <f>IF($C1065="","",$C1065&amp;"|"&amp;$D1065&amp;"")</f>
        <v/>
      </c>
      <c r="AK1065">
        <f>IF($C1065="","",IF(COUNTIF($AJ$2:$AJ1065,$AJ1065)=1,1,0))</f>
        <v/>
      </c>
      <c r="AL1065">
        <f>IF($AK1065=1,SUMPRODUCT(--($AO$2:$AO$1501&lt;$AO1065))+1,"")</f>
        <v/>
      </c>
      <c r="AM1065">
        <f>IF($C1065="","",IF(OR($Q1065=TRUE(),$Q1065="TRUE"),1,0))</f>
        <v/>
      </c>
      <c r="AN1065">
        <f>IF($C1065="","",IF($Z1065="Yes",1,0))</f>
        <v/>
      </c>
      <c r="AO1065">
        <f>IF($AK1065=1,IFERROR(IF(VALUE($C1065)&lt;100000000,VALUE($C1065),1000000000),IFERROR(IF(VALUE(MID($C1065,2,20))&lt;100000000,VALUE(MID($C1065,2,20)),1000000000),1000000000))+ROW()/100000,"")</f>
        <v/>
      </c>
    </row>
    <row r="1066">
      <c r="F1066" s="11" t="n"/>
      <c r="N1066" s="7">
        <f>IF($C1066="","",M1066*U1066/100)</f>
        <v/>
      </c>
      <c r="T1066" s="7" t="n"/>
      <c r="U1066" s="7" t="n"/>
      <c r="V1066" s="7">
        <f>IF($C1066="","",U1066*AA1066/100)</f>
        <v/>
      </c>
      <c r="W1066" s="7">
        <f>IF($C1066="","",U1066-V1066)</f>
        <v/>
      </c>
      <c r="X1066" s="7">
        <f>IF($C1066="","",W1066-N1066)</f>
        <v/>
      </c>
      <c r="AA1066">
        <f>IF($C1066="","",IF($AN1066=1,0,IF($AM1066=1,Settings!$C$6,Settings!$C$7))*100)</f>
        <v/>
      </c>
      <c r="AE1066" s="7" t="n"/>
      <c r="AH1066" s="11" t="n"/>
      <c r="AJ1066">
        <f>IF($C1066="","",$C1066&amp;"|"&amp;$D1066&amp;"")</f>
        <v/>
      </c>
      <c r="AK1066">
        <f>IF($C1066="","",IF(COUNTIF($AJ$2:$AJ1066,$AJ1066)=1,1,0))</f>
        <v/>
      </c>
      <c r="AL1066">
        <f>IF($AK1066=1,SUMPRODUCT(--($AO$2:$AO$1501&lt;$AO1066))+1,"")</f>
        <v/>
      </c>
      <c r="AM1066">
        <f>IF($C1066="","",IF(OR($Q1066=TRUE(),$Q1066="TRUE"),1,0))</f>
        <v/>
      </c>
      <c r="AN1066">
        <f>IF($C1066="","",IF($Z1066="Yes",1,0))</f>
        <v/>
      </c>
      <c r="AO1066">
        <f>IF($AK1066=1,IFERROR(IF(VALUE($C1066)&lt;100000000,VALUE($C1066),1000000000),IFERROR(IF(VALUE(MID($C1066,2,20))&lt;100000000,VALUE(MID($C1066,2,20)),1000000000),1000000000))+ROW()/100000,"")</f>
        <v/>
      </c>
    </row>
    <row r="1067">
      <c r="F1067" s="11" t="n"/>
      <c r="N1067" s="7">
        <f>IF($C1067="","",M1067*U1067/100)</f>
        <v/>
      </c>
      <c r="T1067" s="7" t="n"/>
      <c r="U1067" s="7" t="n"/>
      <c r="V1067" s="7">
        <f>IF($C1067="","",U1067*AA1067/100)</f>
        <v/>
      </c>
      <c r="W1067" s="7">
        <f>IF($C1067="","",U1067-V1067)</f>
        <v/>
      </c>
      <c r="X1067" s="7">
        <f>IF($C1067="","",W1067-N1067)</f>
        <v/>
      </c>
      <c r="AA1067">
        <f>IF($C1067="","",IF($AN1067=1,0,IF($AM1067=1,Settings!$C$6,Settings!$C$7))*100)</f>
        <v/>
      </c>
      <c r="AE1067" s="7" t="n"/>
      <c r="AH1067" s="11" t="n"/>
      <c r="AJ1067">
        <f>IF($C1067="","",$C1067&amp;"|"&amp;$D1067&amp;"")</f>
        <v/>
      </c>
      <c r="AK1067">
        <f>IF($C1067="","",IF(COUNTIF($AJ$2:$AJ1067,$AJ1067)=1,1,0))</f>
        <v/>
      </c>
      <c r="AL1067">
        <f>IF($AK1067=1,SUMPRODUCT(--($AO$2:$AO$1501&lt;$AO1067))+1,"")</f>
        <v/>
      </c>
      <c r="AM1067">
        <f>IF($C1067="","",IF(OR($Q1067=TRUE(),$Q1067="TRUE"),1,0))</f>
        <v/>
      </c>
      <c r="AN1067">
        <f>IF($C1067="","",IF($Z1067="Yes",1,0))</f>
        <v/>
      </c>
      <c r="AO1067">
        <f>IF($AK1067=1,IFERROR(IF(VALUE($C1067)&lt;100000000,VALUE($C1067),1000000000),IFERROR(IF(VALUE(MID($C1067,2,20))&lt;100000000,VALUE(MID($C1067,2,20)),1000000000),1000000000))+ROW()/100000,"")</f>
        <v/>
      </c>
    </row>
    <row r="1068">
      <c r="F1068" s="11" t="n"/>
      <c r="N1068" s="7">
        <f>IF($C1068="","",M1068*U1068/100)</f>
        <v/>
      </c>
      <c r="T1068" s="7" t="n"/>
      <c r="U1068" s="7" t="n"/>
      <c r="V1068" s="7">
        <f>IF($C1068="","",U1068*AA1068/100)</f>
        <v/>
      </c>
      <c r="W1068" s="7">
        <f>IF($C1068="","",U1068-V1068)</f>
        <v/>
      </c>
      <c r="X1068" s="7">
        <f>IF($C1068="","",W1068-N1068)</f>
        <v/>
      </c>
      <c r="AA1068">
        <f>IF($C1068="","",IF($AN1068=1,0,IF($AM1068=1,Settings!$C$6,Settings!$C$7))*100)</f>
        <v/>
      </c>
      <c r="AE1068" s="7" t="n"/>
      <c r="AH1068" s="11" t="n"/>
      <c r="AJ1068">
        <f>IF($C1068="","",$C1068&amp;"|"&amp;$D1068&amp;"")</f>
        <v/>
      </c>
      <c r="AK1068">
        <f>IF($C1068="","",IF(COUNTIF($AJ$2:$AJ1068,$AJ1068)=1,1,0))</f>
        <v/>
      </c>
      <c r="AL1068">
        <f>IF($AK1068=1,SUMPRODUCT(--($AO$2:$AO$1501&lt;$AO1068))+1,"")</f>
        <v/>
      </c>
      <c r="AM1068">
        <f>IF($C1068="","",IF(OR($Q1068=TRUE(),$Q1068="TRUE"),1,0))</f>
        <v/>
      </c>
      <c r="AN1068">
        <f>IF($C1068="","",IF($Z1068="Yes",1,0))</f>
        <v/>
      </c>
      <c r="AO1068">
        <f>IF($AK1068=1,IFERROR(IF(VALUE($C1068)&lt;100000000,VALUE($C1068),1000000000),IFERROR(IF(VALUE(MID($C1068,2,20))&lt;100000000,VALUE(MID($C1068,2,20)),1000000000),1000000000))+ROW()/100000,"")</f>
        <v/>
      </c>
    </row>
    <row r="1069">
      <c r="F1069" s="11" t="n"/>
      <c r="N1069" s="7">
        <f>IF($C1069="","",M1069*U1069/100)</f>
        <v/>
      </c>
      <c r="T1069" s="7" t="n"/>
      <c r="U1069" s="7" t="n"/>
      <c r="V1069" s="7">
        <f>IF($C1069="","",U1069*AA1069/100)</f>
        <v/>
      </c>
      <c r="W1069" s="7">
        <f>IF($C1069="","",U1069-V1069)</f>
        <v/>
      </c>
      <c r="X1069" s="7">
        <f>IF($C1069="","",W1069-N1069)</f>
        <v/>
      </c>
      <c r="AA1069">
        <f>IF($C1069="","",IF($AN1069=1,0,IF($AM1069=1,Settings!$C$6,Settings!$C$7))*100)</f>
        <v/>
      </c>
      <c r="AE1069" s="7" t="n"/>
      <c r="AH1069" s="11" t="n"/>
      <c r="AJ1069">
        <f>IF($C1069="","",$C1069&amp;"|"&amp;$D1069&amp;"")</f>
        <v/>
      </c>
      <c r="AK1069">
        <f>IF($C1069="","",IF(COUNTIF($AJ$2:$AJ1069,$AJ1069)=1,1,0))</f>
        <v/>
      </c>
      <c r="AL1069">
        <f>IF($AK1069=1,SUMPRODUCT(--($AO$2:$AO$1501&lt;$AO1069))+1,"")</f>
        <v/>
      </c>
      <c r="AM1069">
        <f>IF($C1069="","",IF(OR($Q1069=TRUE(),$Q1069="TRUE"),1,0))</f>
        <v/>
      </c>
      <c r="AN1069">
        <f>IF($C1069="","",IF($Z1069="Yes",1,0))</f>
        <v/>
      </c>
      <c r="AO1069">
        <f>IF($AK1069=1,IFERROR(IF(VALUE($C1069)&lt;100000000,VALUE($C1069),1000000000),IFERROR(IF(VALUE(MID($C1069,2,20))&lt;100000000,VALUE(MID($C1069,2,20)),1000000000),1000000000))+ROW()/100000,"")</f>
        <v/>
      </c>
    </row>
    <row r="1070">
      <c r="F1070" s="11" t="n"/>
      <c r="N1070" s="7">
        <f>IF($C1070="","",M1070*U1070/100)</f>
        <v/>
      </c>
      <c r="T1070" s="7" t="n"/>
      <c r="U1070" s="7" t="n"/>
      <c r="V1070" s="7">
        <f>IF($C1070="","",U1070*AA1070/100)</f>
        <v/>
      </c>
      <c r="W1070" s="7">
        <f>IF($C1070="","",U1070-V1070)</f>
        <v/>
      </c>
      <c r="X1070" s="7">
        <f>IF($C1070="","",W1070-N1070)</f>
        <v/>
      </c>
      <c r="AA1070">
        <f>IF($C1070="","",IF($AN1070=1,0,IF($AM1070=1,Settings!$C$6,Settings!$C$7))*100)</f>
        <v/>
      </c>
      <c r="AE1070" s="7" t="n"/>
      <c r="AH1070" s="11" t="n"/>
      <c r="AJ1070">
        <f>IF($C1070="","",$C1070&amp;"|"&amp;$D1070&amp;"")</f>
        <v/>
      </c>
      <c r="AK1070">
        <f>IF($C1070="","",IF(COUNTIF($AJ$2:$AJ1070,$AJ1070)=1,1,0))</f>
        <v/>
      </c>
      <c r="AL1070">
        <f>IF($AK1070=1,SUMPRODUCT(--($AO$2:$AO$1501&lt;$AO1070))+1,"")</f>
        <v/>
      </c>
      <c r="AM1070">
        <f>IF($C1070="","",IF(OR($Q1070=TRUE(),$Q1070="TRUE"),1,0))</f>
        <v/>
      </c>
      <c r="AN1070">
        <f>IF($C1070="","",IF($Z1070="Yes",1,0))</f>
        <v/>
      </c>
      <c r="AO1070">
        <f>IF($AK1070=1,IFERROR(IF(VALUE($C1070)&lt;100000000,VALUE($C1070),1000000000),IFERROR(IF(VALUE(MID($C1070,2,20))&lt;100000000,VALUE(MID($C1070,2,20)),1000000000),1000000000))+ROW()/100000,"")</f>
        <v/>
      </c>
    </row>
    <row r="1071">
      <c r="F1071" s="11" t="n"/>
      <c r="N1071" s="7">
        <f>IF($C1071="","",M1071*U1071/100)</f>
        <v/>
      </c>
      <c r="T1071" s="7" t="n"/>
      <c r="U1071" s="7" t="n"/>
      <c r="V1071" s="7">
        <f>IF($C1071="","",U1071*AA1071/100)</f>
        <v/>
      </c>
      <c r="W1071" s="7">
        <f>IF($C1071="","",U1071-V1071)</f>
        <v/>
      </c>
      <c r="X1071" s="7">
        <f>IF($C1071="","",W1071-N1071)</f>
        <v/>
      </c>
      <c r="AA1071">
        <f>IF($C1071="","",IF($AN1071=1,0,IF($AM1071=1,Settings!$C$6,Settings!$C$7))*100)</f>
        <v/>
      </c>
      <c r="AE1071" s="7" t="n"/>
      <c r="AH1071" s="11" t="n"/>
      <c r="AJ1071">
        <f>IF($C1071="","",$C1071&amp;"|"&amp;$D1071&amp;"")</f>
        <v/>
      </c>
      <c r="AK1071">
        <f>IF($C1071="","",IF(COUNTIF($AJ$2:$AJ1071,$AJ1071)=1,1,0))</f>
        <v/>
      </c>
      <c r="AL1071">
        <f>IF($AK1071=1,SUMPRODUCT(--($AO$2:$AO$1501&lt;$AO1071))+1,"")</f>
        <v/>
      </c>
      <c r="AM1071">
        <f>IF($C1071="","",IF(OR($Q1071=TRUE(),$Q1071="TRUE"),1,0))</f>
        <v/>
      </c>
      <c r="AN1071">
        <f>IF($C1071="","",IF($Z1071="Yes",1,0))</f>
        <v/>
      </c>
      <c r="AO1071">
        <f>IF($AK1071=1,IFERROR(IF(VALUE($C1071)&lt;100000000,VALUE($C1071),1000000000),IFERROR(IF(VALUE(MID($C1071,2,20))&lt;100000000,VALUE(MID($C1071,2,20)),1000000000),1000000000))+ROW()/100000,"")</f>
        <v/>
      </c>
    </row>
    <row r="1072">
      <c r="F1072" s="11" t="n"/>
      <c r="N1072" s="7">
        <f>IF($C1072="","",M1072*U1072/100)</f>
        <v/>
      </c>
      <c r="T1072" s="7" t="n"/>
      <c r="U1072" s="7" t="n"/>
      <c r="V1072" s="7">
        <f>IF($C1072="","",U1072*AA1072/100)</f>
        <v/>
      </c>
      <c r="W1072" s="7">
        <f>IF($C1072="","",U1072-V1072)</f>
        <v/>
      </c>
      <c r="X1072" s="7">
        <f>IF($C1072="","",W1072-N1072)</f>
        <v/>
      </c>
      <c r="AA1072">
        <f>IF($C1072="","",IF($AN1072=1,0,IF($AM1072=1,Settings!$C$6,Settings!$C$7))*100)</f>
        <v/>
      </c>
      <c r="AE1072" s="7" t="n"/>
      <c r="AH1072" s="11" t="n"/>
      <c r="AJ1072">
        <f>IF($C1072="","",$C1072&amp;"|"&amp;$D1072&amp;"")</f>
        <v/>
      </c>
      <c r="AK1072">
        <f>IF($C1072="","",IF(COUNTIF($AJ$2:$AJ1072,$AJ1072)=1,1,0))</f>
        <v/>
      </c>
      <c r="AL1072">
        <f>IF($AK1072=1,SUMPRODUCT(--($AO$2:$AO$1501&lt;$AO1072))+1,"")</f>
        <v/>
      </c>
      <c r="AM1072">
        <f>IF($C1072="","",IF(OR($Q1072=TRUE(),$Q1072="TRUE"),1,0))</f>
        <v/>
      </c>
      <c r="AN1072">
        <f>IF($C1072="","",IF($Z1072="Yes",1,0))</f>
        <v/>
      </c>
      <c r="AO1072">
        <f>IF($AK1072=1,IFERROR(IF(VALUE($C1072)&lt;100000000,VALUE($C1072),1000000000),IFERROR(IF(VALUE(MID($C1072,2,20))&lt;100000000,VALUE(MID($C1072,2,20)),1000000000),1000000000))+ROW()/100000,"")</f>
        <v/>
      </c>
    </row>
    <row r="1073">
      <c r="F1073" s="11" t="n"/>
      <c r="N1073" s="7">
        <f>IF($C1073="","",M1073*U1073/100)</f>
        <v/>
      </c>
      <c r="T1073" s="7" t="n"/>
      <c r="U1073" s="7" t="n"/>
      <c r="V1073" s="7">
        <f>IF($C1073="","",U1073*AA1073/100)</f>
        <v/>
      </c>
      <c r="W1073" s="7">
        <f>IF($C1073="","",U1073-V1073)</f>
        <v/>
      </c>
      <c r="X1073" s="7">
        <f>IF($C1073="","",W1073-N1073)</f>
        <v/>
      </c>
      <c r="AA1073">
        <f>IF($C1073="","",IF($AN1073=1,0,IF($AM1073=1,Settings!$C$6,Settings!$C$7))*100)</f>
        <v/>
      </c>
      <c r="AE1073" s="7" t="n"/>
      <c r="AH1073" s="11" t="n"/>
      <c r="AJ1073">
        <f>IF($C1073="","",$C1073&amp;"|"&amp;$D1073&amp;"")</f>
        <v/>
      </c>
      <c r="AK1073">
        <f>IF($C1073="","",IF(COUNTIF($AJ$2:$AJ1073,$AJ1073)=1,1,0))</f>
        <v/>
      </c>
      <c r="AL1073">
        <f>IF($AK1073=1,SUMPRODUCT(--($AO$2:$AO$1501&lt;$AO1073))+1,"")</f>
        <v/>
      </c>
      <c r="AM1073">
        <f>IF($C1073="","",IF(OR($Q1073=TRUE(),$Q1073="TRUE"),1,0))</f>
        <v/>
      </c>
      <c r="AN1073">
        <f>IF($C1073="","",IF($Z1073="Yes",1,0))</f>
        <v/>
      </c>
      <c r="AO1073">
        <f>IF($AK1073=1,IFERROR(IF(VALUE($C1073)&lt;100000000,VALUE($C1073),1000000000),IFERROR(IF(VALUE(MID($C1073,2,20))&lt;100000000,VALUE(MID($C1073,2,20)),1000000000),1000000000))+ROW()/100000,"")</f>
        <v/>
      </c>
    </row>
    <row r="1074">
      <c r="F1074" s="11" t="n"/>
      <c r="N1074" s="7">
        <f>IF($C1074="","",M1074*U1074/100)</f>
        <v/>
      </c>
      <c r="T1074" s="7" t="n"/>
      <c r="U1074" s="7" t="n"/>
      <c r="V1074" s="7">
        <f>IF($C1074="","",U1074*AA1074/100)</f>
        <v/>
      </c>
      <c r="W1074" s="7">
        <f>IF($C1074="","",U1074-V1074)</f>
        <v/>
      </c>
      <c r="X1074" s="7">
        <f>IF($C1074="","",W1074-N1074)</f>
        <v/>
      </c>
      <c r="AA1074">
        <f>IF($C1074="","",IF($AN1074=1,0,IF($AM1074=1,Settings!$C$6,Settings!$C$7))*100)</f>
        <v/>
      </c>
      <c r="AE1074" s="7" t="n"/>
      <c r="AH1074" s="11" t="n"/>
      <c r="AJ1074">
        <f>IF($C1074="","",$C1074&amp;"|"&amp;$D1074&amp;"")</f>
        <v/>
      </c>
      <c r="AK1074">
        <f>IF($C1074="","",IF(COUNTIF($AJ$2:$AJ1074,$AJ1074)=1,1,0))</f>
        <v/>
      </c>
      <c r="AL1074">
        <f>IF($AK1074=1,SUMPRODUCT(--($AO$2:$AO$1501&lt;$AO1074))+1,"")</f>
        <v/>
      </c>
      <c r="AM1074">
        <f>IF($C1074="","",IF(OR($Q1074=TRUE(),$Q1074="TRUE"),1,0))</f>
        <v/>
      </c>
      <c r="AN1074">
        <f>IF($C1074="","",IF($Z1074="Yes",1,0))</f>
        <v/>
      </c>
      <c r="AO1074">
        <f>IF($AK1074=1,IFERROR(IF(VALUE($C1074)&lt;100000000,VALUE($C1074),1000000000),IFERROR(IF(VALUE(MID($C1074,2,20))&lt;100000000,VALUE(MID($C1074,2,20)),1000000000),1000000000))+ROW()/100000,"")</f>
        <v/>
      </c>
    </row>
    <row r="1075">
      <c r="F1075" s="11" t="n"/>
      <c r="N1075" s="7">
        <f>IF($C1075="","",M1075*U1075/100)</f>
        <v/>
      </c>
      <c r="T1075" s="7" t="n"/>
      <c r="U1075" s="7" t="n"/>
      <c r="V1075" s="7">
        <f>IF($C1075="","",U1075*AA1075/100)</f>
        <v/>
      </c>
      <c r="W1075" s="7">
        <f>IF($C1075="","",U1075-V1075)</f>
        <v/>
      </c>
      <c r="X1075" s="7">
        <f>IF($C1075="","",W1075-N1075)</f>
        <v/>
      </c>
      <c r="AA1075">
        <f>IF($C1075="","",IF($AN1075=1,0,IF($AM1075=1,Settings!$C$6,Settings!$C$7))*100)</f>
        <v/>
      </c>
      <c r="AE1075" s="7" t="n"/>
      <c r="AH1075" s="11" t="n"/>
      <c r="AJ1075">
        <f>IF($C1075="","",$C1075&amp;"|"&amp;$D1075&amp;"")</f>
        <v/>
      </c>
      <c r="AK1075">
        <f>IF($C1075="","",IF(COUNTIF($AJ$2:$AJ1075,$AJ1075)=1,1,0))</f>
        <v/>
      </c>
      <c r="AL1075">
        <f>IF($AK1075=1,SUMPRODUCT(--($AO$2:$AO$1501&lt;$AO1075))+1,"")</f>
        <v/>
      </c>
      <c r="AM1075">
        <f>IF($C1075="","",IF(OR($Q1075=TRUE(),$Q1075="TRUE"),1,0))</f>
        <v/>
      </c>
      <c r="AN1075">
        <f>IF($C1075="","",IF($Z1075="Yes",1,0))</f>
        <v/>
      </c>
      <c r="AO1075">
        <f>IF($AK1075=1,IFERROR(IF(VALUE($C1075)&lt;100000000,VALUE($C1075),1000000000),IFERROR(IF(VALUE(MID($C1075,2,20))&lt;100000000,VALUE(MID($C1075,2,20)),1000000000),1000000000))+ROW()/100000,"")</f>
        <v/>
      </c>
    </row>
    <row r="1076">
      <c r="F1076" s="11" t="n"/>
      <c r="N1076" s="7">
        <f>IF($C1076="","",M1076*U1076/100)</f>
        <v/>
      </c>
      <c r="T1076" s="7" t="n"/>
      <c r="U1076" s="7" t="n"/>
      <c r="V1076" s="7">
        <f>IF($C1076="","",U1076*AA1076/100)</f>
        <v/>
      </c>
      <c r="W1076" s="7">
        <f>IF($C1076="","",U1076-V1076)</f>
        <v/>
      </c>
      <c r="X1076" s="7">
        <f>IF($C1076="","",W1076-N1076)</f>
        <v/>
      </c>
      <c r="AA1076">
        <f>IF($C1076="","",IF($AN1076=1,0,IF($AM1076=1,Settings!$C$6,Settings!$C$7))*100)</f>
        <v/>
      </c>
      <c r="AE1076" s="7" t="n"/>
      <c r="AH1076" s="11" t="n"/>
      <c r="AJ1076">
        <f>IF($C1076="","",$C1076&amp;"|"&amp;$D1076&amp;"")</f>
        <v/>
      </c>
      <c r="AK1076">
        <f>IF($C1076="","",IF(COUNTIF($AJ$2:$AJ1076,$AJ1076)=1,1,0))</f>
        <v/>
      </c>
      <c r="AL1076">
        <f>IF($AK1076=1,SUMPRODUCT(--($AO$2:$AO$1501&lt;$AO1076))+1,"")</f>
        <v/>
      </c>
      <c r="AM1076">
        <f>IF($C1076="","",IF(OR($Q1076=TRUE(),$Q1076="TRUE"),1,0))</f>
        <v/>
      </c>
      <c r="AN1076">
        <f>IF($C1076="","",IF($Z1076="Yes",1,0))</f>
        <v/>
      </c>
      <c r="AO1076">
        <f>IF($AK1076=1,IFERROR(IF(VALUE($C1076)&lt;100000000,VALUE($C1076),1000000000),IFERROR(IF(VALUE(MID($C1076,2,20))&lt;100000000,VALUE(MID($C1076,2,20)),1000000000),1000000000))+ROW()/100000,"")</f>
        <v/>
      </c>
    </row>
    <row r="1077">
      <c r="F1077" s="11" t="n"/>
      <c r="N1077" s="7">
        <f>IF($C1077="","",M1077*U1077/100)</f>
        <v/>
      </c>
      <c r="T1077" s="7" t="n"/>
      <c r="U1077" s="7" t="n"/>
      <c r="V1077" s="7">
        <f>IF($C1077="","",U1077*AA1077/100)</f>
        <v/>
      </c>
      <c r="W1077" s="7">
        <f>IF($C1077="","",U1077-V1077)</f>
        <v/>
      </c>
      <c r="X1077" s="7">
        <f>IF($C1077="","",W1077-N1077)</f>
        <v/>
      </c>
      <c r="AA1077">
        <f>IF($C1077="","",IF($AN1077=1,0,IF($AM1077=1,Settings!$C$6,Settings!$C$7))*100)</f>
        <v/>
      </c>
      <c r="AE1077" s="7" t="n"/>
      <c r="AH1077" s="11" t="n"/>
      <c r="AJ1077">
        <f>IF($C1077="","",$C1077&amp;"|"&amp;$D1077&amp;"")</f>
        <v/>
      </c>
      <c r="AK1077">
        <f>IF($C1077="","",IF(COUNTIF($AJ$2:$AJ1077,$AJ1077)=1,1,0))</f>
        <v/>
      </c>
      <c r="AL1077">
        <f>IF($AK1077=1,SUMPRODUCT(--($AO$2:$AO$1501&lt;$AO1077))+1,"")</f>
        <v/>
      </c>
      <c r="AM1077">
        <f>IF($C1077="","",IF(OR($Q1077=TRUE(),$Q1077="TRUE"),1,0))</f>
        <v/>
      </c>
      <c r="AN1077">
        <f>IF($C1077="","",IF($Z1077="Yes",1,0))</f>
        <v/>
      </c>
      <c r="AO1077">
        <f>IF($AK1077=1,IFERROR(IF(VALUE($C1077)&lt;100000000,VALUE($C1077),1000000000),IFERROR(IF(VALUE(MID($C1077,2,20))&lt;100000000,VALUE(MID($C1077,2,20)),1000000000),1000000000))+ROW()/100000,"")</f>
        <v/>
      </c>
    </row>
    <row r="1078">
      <c r="F1078" s="11" t="n"/>
      <c r="N1078" s="7">
        <f>IF($C1078="","",M1078*U1078/100)</f>
        <v/>
      </c>
      <c r="T1078" s="7" t="n"/>
      <c r="U1078" s="7" t="n"/>
      <c r="V1078" s="7">
        <f>IF($C1078="","",U1078*AA1078/100)</f>
        <v/>
      </c>
      <c r="W1078" s="7">
        <f>IF($C1078="","",U1078-V1078)</f>
        <v/>
      </c>
      <c r="X1078" s="7">
        <f>IF($C1078="","",W1078-N1078)</f>
        <v/>
      </c>
      <c r="AA1078">
        <f>IF($C1078="","",IF($AN1078=1,0,IF($AM1078=1,Settings!$C$6,Settings!$C$7))*100)</f>
        <v/>
      </c>
      <c r="AE1078" s="7" t="n"/>
      <c r="AH1078" s="11" t="n"/>
      <c r="AJ1078">
        <f>IF($C1078="","",$C1078&amp;"|"&amp;$D1078&amp;"")</f>
        <v/>
      </c>
      <c r="AK1078">
        <f>IF($C1078="","",IF(COUNTIF($AJ$2:$AJ1078,$AJ1078)=1,1,0))</f>
        <v/>
      </c>
      <c r="AL1078">
        <f>IF($AK1078=1,SUMPRODUCT(--($AO$2:$AO$1501&lt;$AO1078))+1,"")</f>
        <v/>
      </c>
      <c r="AM1078">
        <f>IF($C1078="","",IF(OR($Q1078=TRUE(),$Q1078="TRUE"),1,0))</f>
        <v/>
      </c>
      <c r="AN1078">
        <f>IF($C1078="","",IF($Z1078="Yes",1,0))</f>
        <v/>
      </c>
      <c r="AO1078">
        <f>IF($AK1078=1,IFERROR(IF(VALUE($C1078)&lt;100000000,VALUE($C1078),1000000000),IFERROR(IF(VALUE(MID($C1078,2,20))&lt;100000000,VALUE(MID($C1078,2,20)),1000000000),1000000000))+ROW()/100000,"")</f>
        <v/>
      </c>
    </row>
    <row r="1079">
      <c r="F1079" s="11" t="n"/>
      <c r="N1079" s="7">
        <f>IF($C1079="","",M1079*U1079/100)</f>
        <v/>
      </c>
      <c r="T1079" s="7" t="n"/>
      <c r="U1079" s="7" t="n"/>
      <c r="V1079" s="7">
        <f>IF($C1079="","",U1079*AA1079/100)</f>
        <v/>
      </c>
      <c r="W1079" s="7">
        <f>IF($C1079="","",U1079-V1079)</f>
        <v/>
      </c>
      <c r="X1079" s="7">
        <f>IF($C1079="","",W1079-N1079)</f>
        <v/>
      </c>
      <c r="AA1079">
        <f>IF($C1079="","",IF($AN1079=1,0,IF($AM1079=1,Settings!$C$6,Settings!$C$7))*100)</f>
        <v/>
      </c>
      <c r="AE1079" s="7" t="n"/>
      <c r="AH1079" s="11" t="n"/>
      <c r="AJ1079">
        <f>IF($C1079="","",$C1079&amp;"|"&amp;$D1079&amp;"")</f>
        <v/>
      </c>
      <c r="AK1079">
        <f>IF($C1079="","",IF(COUNTIF($AJ$2:$AJ1079,$AJ1079)=1,1,0))</f>
        <v/>
      </c>
      <c r="AL1079">
        <f>IF($AK1079=1,SUMPRODUCT(--($AO$2:$AO$1501&lt;$AO1079))+1,"")</f>
        <v/>
      </c>
      <c r="AM1079">
        <f>IF($C1079="","",IF(OR($Q1079=TRUE(),$Q1079="TRUE"),1,0))</f>
        <v/>
      </c>
      <c r="AN1079">
        <f>IF($C1079="","",IF($Z1079="Yes",1,0))</f>
        <v/>
      </c>
      <c r="AO1079">
        <f>IF($AK1079=1,IFERROR(IF(VALUE($C1079)&lt;100000000,VALUE($C1079),1000000000),IFERROR(IF(VALUE(MID($C1079,2,20))&lt;100000000,VALUE(MID($C1079,2,20)),1000000000),1000000000))+ROW()/100000,"")</f>
        <v/>
      </c>
    </row>
    <row r="1080">
      <c r="F1080" s="11" t="n"/>
      <c r="N1080" s="7">
        <f>IF($C1080="","",M1080*U1080/100)</f>
        <v/>
      </c>
      <c r="T1080" s="7" t="n"/>
      <c r="U1080" s="7" t="n"/>
      <c r="V1080" s="7">
        <f>IF($C1080="","",U1080*AA1080/100)</f>
        <v/>
      </c>
      <c r="W1080" s="7">
        <f>IF($C1080="","",U1080-V1080)</f>
        <v/>
      </c>
      <c r="X1080" s="7">
        <f>IF($C1080="","",W1080-N1080)</f>
        <v/>
      </c>
      <c r="AA1080">
        <f>IF($C1080="","",IF($AN1080=1,0,IF($AM1080=1,Settings!$C$6,Settings!$C$7))*100)</f>
        <v/>
      </c>
      <c r="AE1080" s="7" t="n"/>
      <c r="AH1080" s="11" t="n"/>
      <c r="AJ1080">
        <f>IF($C1080="","",$C1080&amp;"|"&amp;$D1080&amp;"")</f>
        <v/>
      </c>
      <c r="AK1080">
        <f>IF($C1080="","",IF(COUNTIF($AJ$2:$AJ1080,$AJ1080)=1,1,0))</f>
        <v/>
      </c>
      <c r="AL1080">
        <f>IF($AK1080=1,SUMPRODUCT(--($AO$2:$AO$1501&lt;$AO1080))+1,"")</f>
        <v/>
      </c>
      <c r="AM1080">
        <f>IF($C1080="","",IF(OR($Q1080=TRUE(),$Q1080="TRUE"),1,0))</f>
        <v/>
      </c>
      <c r="AN1080">
        <f>IF($C1080="","",IF($Z1080="Yes",1,0))</f>
        <v/>
      </c>
      <c r="AO1080">
        <f>IF($AK1080=1,IFERROR(IF(VALUE($C1080)&lt;100000000,VALUE($C1080),1000000000),IFERROR(IF(VALUE(MID($C1080,2,20))&lt;100000000,VALUE(MID($C1080,2,20)),1000000000),1000000000))+ROW()/100000,"")</f>
        <v/>
      </c>
    </row>
    <row r="1081">
      <c r="F1081" s="11" t="n"/>
      <c r="N1081" s="7">
        <f>IF($C1081="","",M1081*U1081/100)</f>
        <v/>
      </c>
      <c r="T1081" s="7" t="n"/>
      <c r="U1081" s="7" t="n"/>
      <c r="V1081" s="7">
        <f>IF($C1081="","",U1081*AA1081/100)</f>
        <v/>
      </c>
      <c r="W1081" s="7">
        <f>IF($C1081="","",U1081-V1081)</f>
        <v/>
      </c>
      <c r="X1081" s="7">
        <f>IF($C1081="","",W1081-N1081)</f>
        <v/>
      </c>
      <c r="AA1081">
        <f>IF($C1081="","",IF($AN1081=1,0,IF($AM1081=1,Settings!$C$6,Settings!$C$7))*100)</f>
        <v/>
      </c>
      <c r="AE1081" s="7" t="n"/>
      <c r="AH1081" s="11" t="n"/>
      <c r="AJ1081">
        <f>IF($C1081="","",$C1081&amp;"|"&amp;$D1081&amp;"")</f>
        <v/>
      </c>
      <c r="AK1081">
        <f>IF($C1081="","",IF(COUNTIF($AJ$2:$AJ1081,$AJ1081)=1,1,0))</f>
        <v/>
      </c>
      <c r="AL1081">
        <f>IF($AK1081=1,SUMPRODUCT(--($AO$2:$AO$1501&lt;$AO1081))+1,"")</f>
        <v/>
      </c>
      <c r="AM1081">
        <f>IF($C1081="","",IF(OR($Q1081=TRUE(),$Q1081="TRUE"),1,0))</f>
        <v/>
      </c>
      <c r="AN1081">
        <f>IF($C1081="","",IF($Z1081="Yes",1,0))</f>
        <v/>
      </c>
      <c r="AO1081">
        <f>IF($AK1081=1,IFERROR(IF(VALUE($C1081)&lt;100000000,VALUE($C1081),1000000000),IFERROR(IF(VALUE(MID($C1081,2,20))&lt;100000000,VALUE(MID($C1081,2,20)),1000000000),1000000000))+ROW()/100000,"")</f>
        <v/>
      </c>
    </row>
    <row r="1082">
      <c r="F1082" s="11" t="n"/>
      <c r="N1082" s="7">
        <f>IF($C1082="","",M1082*U1082/100)</f>
        <v/>
      </c>
      <c r="T1082" s="7" t="n"/>
      <c r="U1082" s="7" t="n"/>
      <c r="V1082" s="7">
        <f>IF($C1082="","",U1082*AA1082/100)</f>
        <v/>
      </c>
      <c r="W1082" s="7">
        <f>IF($C1082="","",U1082-V1082)</f>
        <v/>
      </c>
      <c r="X1082" s="7">
        <f>IF($C1082="","",W1082-N1082)</f>
        <v/>
      </c>
      <c r="AA1082">
        <f>IF($C1082="","",IF($AN1082=1,0,IF($AM1082=1,Settings!$C$6,Settings!$C$7))*100)</f>
        <v/>
      </c>
      <c r="AE1082" s="7" t="n"/>
      <c r="AH1082" s="11" t="n"/>
      <c r="AJ1082">
        <f>IF($C1082="","",$C1082&amp;"|"&amp;$D1082&amp;"")</f>
        <v/>
      </c>
      <c r="AK1082">
        <f>IF($C1082="","",IF(COUNTIF($AJ$2:$AJ1082,$AJ1082)=1,1,0))</f>
        <v/>
      </c>
      <c r="AL1082">
        <f>IF($AK1082=1,SUMPRODUCT(--($AO$2:$AO$1501&lt;$AO1082))+1,"")</f>
        <v/>
      </c>
      <c r="AM1082">
        <f>IF($C1082="","",IF(OR($Q1082=TRUE(),$Q1082="TRUE"),1,0))</f>
        <v/>
      </c>
      <c r="AN1082">
        <f>IF($C1082="","",IF($Z1082="Yes",1,0))</f>
        <v/>
      </c>
      <c r="AO1082">
        <f>IF($AK1082=1,IFERROR(IF(VALUE($C1082)&lt;100000000,VALUE($C1082),1000000000),IFERROR(IF(VALUE(MID($C1082,2,20))&lt;100000000,VALUE(MID($C1082,2,20)),1000000000),1000000000))+ROW()/100000,"")</f>
        <v/>
      </c>
    </row>
    <row r="1083">
      <c r="F1083" s="11" t="n"/>
      <c r="N1083" s="7">
        <f>IF($C1083="","",M1083*U1083/100)</f>
        <v/>
      </c>
      <c r="T1083" s="7" t="n"/>
      <c r="U1083" s="7" t="n"/>
      <c r="V1083" s="7">
        <f>IF($C1083="","",U1083*AA1083/100)</f>
        <v/>
      </c>
      <c r="W1083" s="7">
        <f>IF($C1083="","",U1083-V1083)</f>
        <v/>
      </c>
      <c r="X1083" s="7">
        <f>IF($C1083="","",W1083-N1083)</f>
        <v/>
      </c>
      <c r="AA1083">
        <f>IF($C1083="","",IF($AN1083=1,0,IF($AM1083=1,Settings!$C$6,Settings!$C$7))*100)</f>
        <v/>
      </c>
      <c r="AE1083" s="7" t="n"/>
      <c r="AH1083" s="11" t="n"/>
      <c r="AJ1083">
        <f>IF($C1083="","",$C1083&amp;"|"&amp;$D1083&amp;"")</f>
        <v/>
      </c>
      <c r="AK1083">
        <f>IF($C1083="","",IF(COUNTIF($AJ$2:$AJ1083,$AJ1083)=1,1,0))</f>
        <v/>
      </c>
      <c r="AL1083">
        <f>IF($AK1083=1,SUMPRODUCT(--($AO$2:$AO$1501&lt;$AO1083))+1,"")</f>
        <v/>
      </c>
      <c r="AM1083">
        <f>IF($C1083="","",IF(OR($Q1083=TRUE(),$Q1083="TRUE"),1,0))</f>
        <v/>
      </c>
      <c r="AN1083">
        <f>IF($C1083="","",IF($Z1083="Yes",1,0))</f>
        <v/>
      </c>
      <c r="AO1083">
        <f>IF($AK1083=1,IFERROR(IF(VALUE($C1083)&lt;100000000,VALUE($C1083),1000000000),IFERROR(IF(VALUE(MID($C1083,2,20))&lt;100000000,VALUE(MID($C1083,2,20)),1000000000),1000000000))+ROW()/100000,"")</f>
        <v/>
      </c>
    </row>
    <row r="1084">
      <c r="F1084" s="11" t="n"/>
      <c r="N1084" s="7">
        <f>IF($C1084="","",M1084*U1084/100)</f>
        <v/>
      </c>
      <c r="T1084" s="7" t="n"/>
      <c r="U1084" s="7" t="n"/>
      <c r="V1084" s="7">
        <f>IF($C1084="","",U1084*AA1084/100)</f>
        <v/>
      </c>
      <c r="W1084" s="7">
        <f>IF($C1084="","",U1084-V1084)</f>
        <v/>
      </c>
      <c r="X1084" s="7">
        <f>IF($C1084="","",W1084-N1084)</f>
        <v/>
      </c>
      <c r="AA1084">
        <f>IF($C1084="","",IF($AN1084=1,0,IF($AM1084=1,Settings!$C$6,Settings!$C$7))*100)</f>
        <v/>
      </c>
      <c r="AE1084" s="7" t="n"/>
      <c r="AH1084" s="11" t="n"/>
      <c r="AJ1084">
        <f>IF($C1084="","",$C1084&amp;"|"&amp;$D1084&amp;"")</f>
        <v/>
      </c>
      <c r="AK1084">
        <f>IF($C1084="","",IF(COUNTIF($AJ$2:$AJ1084,$AJ1084)=1,1,0))</f>
        <v/>
      </c>
      <c r="AL1084">
        <f>IF($AK1084=1,SUMPRODUCT(--($AO$2:$AO$1501&lt;$AO1084))+1,"")</f>
        <v/>
      </c>
      <c r="AM1084">
        <f>IF($C1084="","",IF(OR($Q1084=TRUE(),$Q1084="TRUE"),1,0))</f>
        <v/>
      </c>
      <c r="AN1084">
        <f>IF($C1084="","",IF($Z1084="Yes",1,0))</f>
        <v/>
      </c>
      <c r="AO1084">
        <f>IF($AK1084=1,IFERROR(IF(VALUE($C1084)&lt;100000000,VALUE($C1084),1000000000),IFERROR(IF(VALUE(MID($C1084,2,20))&lt;100000000,VALUE(MID($C1084,2,20)),1000000000),1000000000))+ROW()/100000,"")</f>
        <v/>
      </c>
    </row>
    <row r="1085">
      <c r="F1085" s="11" t="n"/>
      <c r="N1085" s="7">
        <f>IF($C1085="","",M1085*U1085/100)</f>
        <v/>
      </c>
      <c r="T1085" s="7" t="n"/>
      <c r="U1085" s="7" t="n"/>
      <c r="V1085" s="7">
        <f>IF($C1085="","",U1085*AA1085/100)</f>
        <v/>
      </c>
      <c r="W1085" s="7">
        <f>IF($C1085="","",U1085-V1085)</f>
        <v/>
      </c>
      <c r="X1085" s="7">
        <f>IF($C1085="","",W1085-N1085)</f>
        <v/>
      </c>
      <c r="AA1085">
        <f>IF($C1085="","",IF($AN1085=1,0,IF($AM1085=1,Settings!$C$6,Settings!$C$7))*100)</f>
        <v/>
      </c>
      <c r="AE1085" s="7" t="n"/>
      <c r="AH1085" s="11" t="n"/>
      <c r="AJ1085">
        <f>IF($C1085="","",$C1085&amp;"|"&amp;$D1085&amp;"")</f>
        <v/>
      </c>
      <c r="AK1085">
        <f>IF($C1085="","",IF(COUNTIF($AJ$2:$AJ1085,$AJ1085)=1,1,0))</f>
        <v/>
      </c>
      <c r="AL1085">
        <f>IF($AK1085=1,SUMPRODUCT(--($AO$2:$AO$1501&lt;$AO1085))+1,"")</f>
        <v/>
      </c>
      <c r="AM1085">
        <f>IF($C1085="","",IF(OR($Q1085=TRUE(),$Q1085="TRUE"),1,0))</f>
        <v/>
      </c>
      <c r="AN1085">
        <f>IF($C1085="","",IF($Z1085="Yes",1,0))</f>
        <v/>
      </c>
      <c r="AO1085">
        <f>IF($AK1085=1,IFERROR(IF(VALUE($C1085)&lt;100000000,VALUE($C1085),1000000000),IFERROR(IF(VALUE(MID($C1085,2,20))&lt;100000000,VALUE(MID($C1085,2,20)),1000000000),1000000000))+ROW()/100000,"")</f>
        <v/>
      </c>
    </row>
    <row r="1086">
      <c r="F1086" s="11" t="n"/>
      <c r="N1086" s="7">
        <f>IF($C1086="","",M1086*U1086/100)</f>
        <v/>
      </c>
      <c r="T1086" s="7" t="n"/>
      <c r="U1086" s="7" t="n"/>
      <c r="V1086" s="7">
        <f>IF($C1086="","",U1086*AA1086/100)</f>
        <v/>
      </c>
      <c r="W1086" s="7">
        <f>IF($C1086="","",U1086-V1086)</f>
        <v/>
      </c>
      <c r="X1086" s="7">
        <f>IF($C1086="","",W1086-N1086)</f>
        <v/>
      </c>
      <c r="AA1086">
        <f>IF($C1086="","",IF($AN1086=1,0,IF($AM1086=1,Settings!$C$6,Settings!$C$7))*100)</f>
        <v/>
      </c>
      <c r="AE1086" s="7" t="n"/>
      <c r="AH1086" s="11" t="n"/>
      <c r="AJ1086">
        <f>IF($C1086="","",$C1086&amp;"|"&amp;$D1086&amp;"")</f>
        <v/>
      </c>
      <c r="AK1086">
        <f>IF($C1086="","",IF(COUNTIF($AJ$2:$AJ1086,$AJ1086)=1,1,0))</f>
        <v/>
      </c>
      <c r="AL1086">
        <f>IF($AK1086=1,SUMPRODUCT(--($AO$2:$AO$1501&lt;$AO1086))+1,"")</f>
        <v/>
      </c>
      <c r="AM1086">
        <f>IF($C1086="","",IF(OR($Q1086=TRUE(),$Q1086="TRUE"),1,0))</f>
        <v/>
      </c>
      <c r="AN1086">
        <f>IF($C1086="","",IF($Z1086="Yes",1,0))</f>
        <v/>
      </c>
      <c r="AO1086">
        <f>IF($AK1086=1,IFERROR(IF(VALUE($C1086)&lt;100000000,VALUE($C1086),1000000000),IFERROR(IF(VALUE(MID($C1086,2,20))&lt;100000000,VALUE(MID($C1086,2,20)),1000000000),1000000000))+ROW()/100000,"")</f>
        <v/>
      </c>
    </row>
    <row r="1087">
      <c r="F1087" s="11" t="n"/>
      <c r="N1087" s="7">
        <f>IF($C1087="","",M1087*U1087/100)</f>
        <v/>
      </c>
      <c r="T1087" s="7" t="n"/>
      <c r="U1087" s="7" t="n"/>
      <c r="V1087" s="7">
        <f>IF($C1087="","",U1087*AA1087/100)</f>
        <v/>
      </c>
      <c r="W1087" s="7">
        <f>IF($C1087="","",U1087-V1087)</f>
        <v/>
      </c>
      <c r="X1087" s="7">
        <f>IF($C1087="","",W1087-N1087)</f>
        <v/>
      </c>
      <c r="AA1087">
        <f>IF($C1087="","",IF($AN1087=1,0,IF($AM1087=1,Settings!$C$6,Settings!$C$7))*100)</f>
        <v/>
      </c>
      <c r="AE1087" s="7" t="n"/>
      <c r="AH1087" s="11" t="n"/>
      <c r="AJ1087">
        <f>IF($C1087="","",$C1087&amp;"|"&amp;$D1087&amp;"")</f>
        <v/>
      </c>
      <c r="AK1087">
        <f>IF($C1087="","",IF(COUNTIF($AJ$2:$AJ1087,$AJ1087)=1,1,0))</f>
        <v/>
      </c>
      <c r="AL1087">
        <f>IF($AK1087=1,SUMPRODUCT(--($AO$2:$AO$1501&lt;$AO1087))+1,"")</f>
        <v/>
      </c>
      <c r="AM1087">
        <f>IF($C1087="","",IF(OR($Q1087=TRUE(),$Q1087="TRUE"),1,0))</f>
        <v/>
      </c>
      <c r="AN1087">
        <f>IF($C1087="","",IF($Z1087="Yes",1,0))</f>
        <v/>
      </c>
      <c r="AO1087">
        <f>IF($AK1087=1,IFERROR(IF(VALUE($C1087)&lt;100000000,VALUE($C1087),1000000000),IFERROR(IF(VALUE(MID($C1087,2,20))&lt;100000000,VALUE(MID($C1087,2,20)),1000000000),1000000000))+ROW()/100000,"")</f>
        <v/>
      </c>
    </row>
    <row r="1088">
      <c r="F1088" s="11" t="n"/>
      <c r="N1088" s="7">
        <f>IF($C1088="","",M1088*U1088/100)</f>
        <v/>
      </c>
      <c r="T1088" s="7" t="n"/>
      <c r="U1088" s="7" t="n"/>
      <c r="V1088" s="7">
        <f>IF($C1088="","",U1088*AA1088/100)</f>
        <v/>
      </c>
      <c r="W1088" s="7">
        <f>IF($C1088="","",U1088-V1088)</f>
        <v/>
      </c>
      <c r="X1088" s="7">
        <f>IF($C1088="","",W1088-N1088)</f>
        <v/>
      </c>
      <c r="AA1088">
        <f>IF($C1088="","",IF($AN1088=1,0,IF($AM1088=1,Settings!$C$6,Settings!$C$7))*100)</f>
        <v/>
      </c>
      <c r="AE1088" s="7" t="n"/>
      <c r="AH1088" s="11" t="n"/>
      <c r="AJ1088">
        <f>IF($C1088="","",$C1088&amp;"|"&amp;$D1088&amp;"")</f>
        <v/>
      </c>
      <c r="AK1088">
        <f>IF($C1088="","",IF(COUNTIF($AJ$2:$AJ1088,$AJ1088)=1,1,0))</f>
        <v/>
      </c>
      <c r="AL1088">
        <f>IF($AK1088=1,SUMPRODUCT(--($AO$2:$AO$1501&lt;$AO1088))+1,"")</f>
        <v/>
      </c>
      <c r="AM1088">
        <f>IF($C1088="","",IF(OR($Q1088=TRUE(),$Q1088="TRUE"),1,0))</f>
        <v/>
      </c>
      <c r="AN1088">
        <f>IF($C1088="","",IF($Z1088="Yes",1,0))</f>
        <v/>
      </c>
      <c r="AO1088">
        <f>IF($AK1088=1,IFERROR(IF(VALUE($C1088)&lt;100000000,VALUE($C1088),1000000000),IFERROR(IF(VALUE(MID($C1088,2,20))&lt;100000000,VALUE(MID($C1088,2,20)),1000000000),1000000000))+ROW()/100000,"")</f>
        <v/>
      </c>
    </row>
    <row r="1089">
      <c r="F1089" s="11" t="n"/>
      <c r="N1089" s="7">
        <f>IF($C1089="","",M1089*U1089/100)</f>
        <v/>
      </c>
      <c r="T1089" s="7" t="n"/>
      <c r="U1089" s="7" t="n"/>
      <c r="V1089" s="7">
        <f>IF($C1089="","",U1089*AA1089/100)</f>
        <v/>
      </c>
      <c r="W1089" s="7">
        <f>IF($C1089="","",U1089-V1089)</f>
        <v/>
      </c>
      <c r="X1089" s="7">
        <f>IF($C1089="","",W1089-N1089)</f>
        <v/>
      </c>
      <c r="AA1089">
        <f>IF($C1089="","",IF($AN1089=1,0,IF($AM1089=1,Settings!$C$6,Settings!$C$7))*100)</f>
        <v/>
      </c>
      <c r="AE1089" s="7" t="n"/>
      <c r="AH1089" s="11" t="n"/>
      <c r="AJ1089">
        <f>IF($C1089="","",$C1089&amp;"|"&amp;$D1089&amp;"")</f>
        <v/>
      </c>
      <c r="AK1089">
        <f>IF($C1089="","",IF(COUNTIF($AJ$2:$AJ1089,$AJ1089)=1,1,0))</f>
        <v/>
      </c>
      <c r="AL1089">
        <f>IF($AK1089=1,SUMPRODUCT(--($AO$2:$AO$1501&lt;$AO1089))+1,"")</f>
        <v/>
      </c>
      <c r="AM1089">
        <f>IF($C1089="","",IF(OR($Q1089=TRUE(),$Q1089="TRUE"),1,0))</f>
        <v/>
      </c>
      <c r="AN1089">
        <f>IF($C1089="","",IF($Z1089="Yes",1,0))</f>
        <v/>
      </c>
      <c r="AO1089">
        <f>IF($AK1089=1,IFERROR(IF(VALUE($C1089)&lt;100000000,VALUE($C1089),1000000000),IFERROR(IF(VALUE(MID($C1089,2,20))&lt;100000000,VALUE(MID($C1089,2,20)),1000000000),1000000000))+ROW()/100000,"")</f>
        <v/>
      </c>
    </row>
    <row r="1090">
      <c r="F1090" s="11" t="n"/>
      <c r="N1090" s="7">
        <f>IF($C1090="","",M1090*U1090/100)</f>
        <v/>
      </c>
      <c r="T1090" s="7" t="n"/>
      <c r="U1090" s="7" t="n"/>
      <c r="V1090" s="7">
        <f>IF($C1090="","",U1090*AA1090/100)</f>
        <v/>
      </c>
      <c r="W1090" s="7">
        <f>IF($C1090="","",U1090-V1090)</f>
        <v/>
      </c>
      <c r="X1090" s="7">
        <f>IF($C1090="","",W1090-N1090)</f>
        <v/>
      </c>
      <c r="AA1090">
        <f>IF($C1090="","",IF($AN1090=1,0,IF($AM1090=1,Settings!$C$6,Settings!$C$7))*100)</f>
        <v/>
      </c>
      <c r="AE1090" s="7" t="n"/>
      <c r="AH1090" s="11" t="n"/>
      <c r="AJ1090">
        <f>IF($C1090="","",$C1090&amp;"|"&amp;$D1090&amp;"")</f>
        <v/>
      </c>
      <c r="AK1090">
        <f>IF($C1090="","",IF(COUNTIF($AJ$2:$AJ1090,$AJ1090)=1,1,0))</f>
        <v/>
      </c>
      <c r="AL1090">
        <f>IF($AK1090=1,SUMPRODUCT(--($AO$2:$AO$1501&lt;$AO1090))+1,"")</f>
        <v/>
      </c>
      <c r="AM1090">
        <f>IF($C1090="","",IF(OR($Q1090=TRUE(),$Q1090="TRUE"),1,0))</f>
        <v/>
      </c>
      <c r="AN1090">
        <f>IF($C1090="","",IF($Z1090="Yes",1,0))</f>
        <v/>
      </c>
      <c r="AO1090">
        <f>IF($AK1090=1,IFERROR(IF(VALUE($C1090)&lt;100000000,VALUE($C1090),1000000000),IFERROR(IF(VALUE(MID($C1090,2,20))&lt;100000000,VALUE(MID($C1090,2,20)),1000000000),1000000000))+ROW()/100000,"")</f>
        <v/>
      </c>
    </row>
    <row r="1091">
      <c r="F1091" s="11" t="n"/>
      <c r="N1091" s="7">
        <f>IF($C1091="","",M1091*U1091/100)</f>
        <v/>
      </c>
      <c r="T1091" s="7" t="n"/>
      <c r="U1091" s="7" t="n"/>
      <c r="V1091" s="7">
        <f>IF($C1091="","",U1091*AA1091/100)</f>
        <v/>
      </c>
      <c r="W1091" s="7">
        <f>IF($C1091="","",U1091-V1091)</f>
        <v/>
      </c>
      <c r="X1091" s="7">
        <f>IF($C1091="","",W1091-N1091)</f>
        <v/>
      </c>
      <c r="AA1091">
        <f>IF($C1091="","",IF($AN1091=1,0,IF($AM1091=1,Settings!$C$6,Settings!$C$7))*100)</f>
        <v/>
      </c>
      <c r="AE1091" s="7" t="n"/>
      <c r="AH1091" s="11" t="n"/>
      <c r="AJ1091">
        <f>IF($C1091="","",$C1091&amp;"|"&amp;$D1091&amp;"")</f>
        <v/>
      </c>
      <c r="AK1091">
        <f>IF($C1091="","",IF(COUNTIF($AJ$2:$AJ1091,$AJ1091)=1,1,0))</f>
        <v/>
      </c>
      <c r="AL1091">
        <f>IF($AK1091=1,SUMPRODUCT(--($AO$2:$AO$1501&lt;$AO1091))+1,"")</f>
        <v/>
      </c>
      <c r="AM1091">
        <f>IF($C1091="","",IF(OR($Q1091=TRUE(),$Q1091="TRUE"),1,0))</f>
        <v/>
      </c>
      <c r="AN1091">
        <f>IF($C1091="","",IF($Z1091="Yes",1,0))</f>
        <v/>
      </c>
      <c r="AO1091">
        <f>IF($AK1091=1,IFERROR(IF(VALUE($C1091)&lt;100000000,VALUE($C1091),1000000000),IFERROR(IF(VALUE(MID($C1091,2,20))&lt;100000000,VALUE(MID($C1091,2,20)),1000000000),1000000000))+ROW()/100000,"")</f>
        <v/>
      </c>
    </row>
    <row r="1092">
      <c r="F1092" s="11" t="n"/>
      <c r="N1092" s="7">
        <f>IF($C1092="","",M1092*U1092/100)</f>
        <v/>
      </c>
      <c r="T1092" s="7" t="n"/>
      <c r="U1092" s="7" t="n"/>
      <c r="V1092" s="7">
        <f>IF($C1092="","",U1092*AA1092/100)</f>
        <v/>
      </c>
      <c r="W1092" s="7">
        <f>IF($C1092="","",U1092-V1092)</f>
        <v/>
      </c>
      <c r="X1092" s="7">
        <f>IF($C1092="","",W1092-N1092)</f>
        <v/>
      </c>
      <c r="AA1092">
        <f>IF($C1092="","",IF($AN1092=1,0,IF($AM1092=1,Settings!$C$6,Settings!$C$7))*100)</f>
        <v/>
      </c>
      <c r="AE1092" s="7" t="n"/>
      <c r="AH1092" s="11" t="n"/>
      <c r="AJ1092">
        <f>IF($C1092="","",$C1092&amp;"|"&amp;$D1092&amp;"")</f>
        <v/>
      </c>
      <c r="AK1092">
        <f>IF($C1092="","",IF(COUNTIF($AJ$2:$AJ1092,$AJ1092)=1,1,0))</f>
        <v/>
      </c>
      <c r="AL1092">
        <f>IF($AK1092=1,SUMPRODUCT(--($AO$2:$AO$1501&lt;$AO1092))+1,"")</f>
        <v/>
      </c>
      <c r="AM1092">
        <f>IF($C1092="","",IF(OR($Q1092=TRUE(),$Q1092="TRUE"),1,0))</f>
        <v/>
      </c>
      <c r="AN1092">
        <f>IF($C1092="","",IF($Z1092="Yes",1,0))</f>
        <v/>
      </c>
      <c r="AO1092">
        <f>IF($AK1092=1,IFERROR(IF(VALUE($C1092)&lt;100000000,VALUE($C1092),1000000000),IFERROR(IF(VALUE(MID($C1092,2,20))&lt;100000000,VALUE(MID($C1092,2,20)),1000000000),1000000000))+ROW()/100000,"")</f>
        <v/>
      </c>
    </row>
    <row r="1093">
      <c r="F1093" s="11" t="n"/>
      <c r="N1093" s="7">
        <f>IF($C1093="","",M1093*U1093/100)</f>
        <v/>
      </c>
      <c r="T1093" s="7" t="n"/>
      <c r="U1093" s="7" t="n"/>
      <c r="V1093" s="7">
        <f>IF($C1093="","",U1093*AA1093/100)</f>
        <v/>
      </c>
      <c r="W1093" s="7">
        <f>IF($C1093="","",U1093-V1093)</f>
        <v/>
      </c>
      <c r="X1093" s="7">
        <f>IF($C1093="","",W1093-N1093)</f>
        <v/>
      </c>
      <c r="AA1093">
        <f>IF($C1093="","",IF($AN1093=1,0,IF($AM1093=1,Settings!$C$6,Settings!$C$7))*100)</f>
        <v/>
      </c>
      <c r="AE1093" s="7" t="n"/>
      <c r="AH1093" s="11" t="n"/>
      <c r="AJ1093">
        <f>IF($C1093="","",$C1093&amp;"|"&amp;$D1093&amp;"")</f>
        <v/>
      </c>
      <c r="AK1093">
        <f>IF($C1093="","",IF(COUNTIF($AJ$2:$AJ1093,$AJ1093)=1,1,0))</f>
        <v/>
      </c>
      <c r="AL1093">
        <f>IF($AK1093=1,SUMPRODUCT(--($AO$2:$AO$1501&lt;$AO1093))+1,"")</f>
        <v/>
      </c>
      <c r="AM1093">
        <f>IF($C1093="","",IF(OR($Q1093=TRUE(),$Q1093="TRUE"),1,0))</f>
        <v/>
      </c>
      <c r="AN1093">
        <f>IF($C1093="","",IF($Z1093="Yes",1,0))</f>
        <v/>
      </c>
      <c r="AO1093">
        <f>IF($AK1093=1,IFERROR(IF(VALUE($C1093)&lt;100000000,VALUE($C1093),1000000000),IFERROR(IF(VALUE(MID($C1093,2,20))&lt;100000000,VALUE(MID($C1093,2,20)),1000000000),1000000000))+ROW()/100000,"")</f>
        <v/>
      </c>
    </row>
    <row r="1094">
      <c r="F1094" s="11" t="n"/>
      <c r="N1094" s="7">
        <f>IF($C1094="","",M1094*U1094/100)</f>
        <v/>
      </c>
      <c r="T1094" s="7" t="n"/>
      <c r="U1094" s="7" t="n"/>
      <c r="V1094" s="7">
        <f>IF($C1094="","",U1094*AA1094/100)</f>
        <v/>
      </c>
      <c r="W1094" s="7">
        <f>IF($C1094="","",U1094-V1094)</f>
        <v/>
      </c>
      <c r="X1094" s="7">
        <f>IF($C1094="","",W1094-N1094)</f>
        <v/>
      </c>
      <c r="AA1094">
        <f>IF($C1094="","",IF($AN1094=1,0,IF($AM1094=1,Settings!$C$6,Settings!$C$7))*100)</f>
        <v/>
      </c>
      <c r="AE1094" s="7" t="n"/>
      <c r="AH1094" s="11" t="n"/>
      <c r="AJ1094">
        <f>IF($C1094="","",$C1094&amp;"|"&amp;$D1094&amp;"")</f>
        <v/>
      </c>
      <c r="AK1094">
        <f>IF($C1094="","",IF(COUNTIF($AJ$2:$AJ1094,$AJ1094)=1,1,0))</f>
        <v/>
      </c>
      <c r="AL1094">
        <f>IF($AK1094=1,SUMPRODUCT(--($AO$2:$AO$1501&lt;$AO1094))+1,"")</f>
        <v/>
      </c>
      <c r="AM1094">
        <f>IF($C1094="","",IF(OR($Q1094=TRUE(),$Q1094="TRUE"),1,0))</f>
        <v/>
      </c>
      <c r="AN1094">
        <f>IF($C1094="","",IF($Z1094="Yes",1,0))</f>
        <v/>
      </c>
      <c r="AO1094">
        <f>IF($AK1094=1,IFERROR(IF(VALUE($C1094)&lt;100000000,VALUE($C1094),1000000000),IFERROR(IF(VALUE(MID($C1094,2,20))&lt;100000000,VALUE(MID($C1094,2,20)),1000000000),1000000000))+ROW()/100000,"")</f>
        <v/>
      </c>
    </row>
    <row r="1095">
      <c r="F1095" s="11" t="n"/>
      <c r="N1095" s="7">
        <f>IF($C1095="","",M1095*U1095/100)</f>
        <v/>
      </c>
      <c r="T1095" s="7" t="n"/>
      <c r="U1095" s="7" t="n"/>
      <c r="V1095" s="7">
        <f>IF($C1095="","",U1095*AA1095/100)</f>
        <v/>
      </c>
      <c r="W1095" s="7">
        <f>IF($C1095="","",U1095-V1095)</f>
        <v/>
      </c>
      <c r="X1095" s="7">
        <f>IF($C1095="","",W1095-N1095)</f>
        <v/>
      </c>
      <c r="AA1095">
        <f>IF($C1095="","",IF($AN1095=1,0,IF($AM1095=1,Settings!$C$6,Settings!$C$7))*100)</f>
        <v/>
      </c>
      <c r="AE1095" s="7" t="n"/>
      <c r="AH1095" s="11" t="n"/>
      <c r="AJ1095">
        <f>IF($C1095="","",$C1095&amp;"|"&amp;$D1095&amp;"")</f>
        <v/>
      </c>
      <c r="AK1095">
        <f>IF($C1095="","",IF(COUNTIF($AJ$2:$AJ1095,$AJ1095)=1,1,0))</f>
        <v/>
      </c>
      <c r="AL1095">
        <f>IF($AK1095=1,SUMPRODUCT(--($AO$2:$AO$1501&lt;$AO1095))+1,"")</f>
        <v/>
      </c>
      <c r="AM1095">
        <f>IF($C1095="","",IF(OR($Q1095=TRUE(),$Q1095="TRUE"),1,0))</f>
        <v/>
      </c>
      <c r="AN1095">
        <f>IF($C1095="","",IF($Z1095="Yes",1,0))</f>
        <v/>
      </c>
      <c r="AO1095">
        <f>IF($AK1095=1,IFERROR(IF(VALUE($C1095)&lt;100000000,VALUE($C1095),1000000000),IFERROR(IF(VALUE(MID($C1095,2,20))&lt;100000000,VALUE(MID($C1095,2,20)),1000000000),1000000000))+ROW()/100000,"")</f>
        <v/>
      </c>
    </row>
    <row r="1096">
      <c r="F1096" s="11" t="n"/>
      <c r="N1096" s="7">
        <f>IF($C1096="","",M1096*U1096/100)</f>
        <v/>
      </c>
      <c r="T1096" s="7" t="n"/>
      <c r="U1096" s="7" t="n"/>
      <c r="V1096" s="7">
        <f>IF($C1096="","",U1096*AA1096/100)</f>
        <v/>
      </c>
      <c r="W1096" s="7">
        <f>IF($C1096="","",U1096-V1096)</f>
        <v/>
      </c>
      <c r="X1096" s="7">
        <f>IF($C1096="","",W1096-N1096)</f>
        <v/>
      </c>
      <c r="AA1096">
        <f>IF($C1096="","",IF($AN1096=1,0,IF($AM1096=1,Settings!$C$6,Settings!$C$7))*100)</f>
        <v/>
      </c>
      <c r="AE1096" s="7" t="n"/>
      <c r="AH1096" s="11" t="n"/>
      <c r="AJ1096">
        <f>IF($C1096="","",$C1096&amp;"|"&amp;$D1096&amp;"")</f>
        <v/>
      </c>
      <c r="AK1096">
        <f>IF($C1096="","",IF(COUNTIF($AJ$2:$AJ1096,$AJ1096)=1,1,0))</f>
        <v/>
      </c>
      <c r="AL1096">
        <f>IF($AK1096=1,SUMPRODUCT(--($AO$2:$AO$1501&lt;$AO1096))+1,"")</f>
        <v/>
      </c>
      <c r="AM1096">
        <f>IF($C1096="","",IF(OR($Q1096=TRUE(),$Q1096="TRUE"),1,0))</f>
        <v/>
      </c>
      <c r="AN1096">
        <f>IF($C1096="","",IF($Z1096="Yes",1,0))</f>
        <v/>
      </c>
      <c r="AO1096">
        <f>IF($AK1096=1,IFERROR(IF(VALUE($C1096)&lt;100000000,VALUE($C1096),1000000000),IFERROR(IF(VALUE(MID($C1096,2,20))&lt;100000000,VALUE(MID($C1096,2,20)),1000000000),1000000000))+ROW()/100000,"")</f>
        <v/>
      </c>
    </row>
    <row r="1097">
      <c r="F1097" s="11" t="n"/>
      <c r="N1097" s="7">
        <f>IF($C1097="","",M1097*U1097/100)</f>
        <v/>
      </c>
      <c r="T1097" s="7" t="n"/>
      <c r="U1097" s="7" t="n"/>
      <c r="V1097" s="7">
        <f>IF($C1097="","",U1097*AA1097/100)</f>
        <v/>
      </c>
      <c r="W1097" s="7">
        <f>IF($C1097="","",U1097-V1097)</f>
        <v/>
      </c>
      <c r="X1097" s="7">
        <f>IF($C1097="","",W1097-N1097)</f>
        <v/>
      </c>
      <c r="AA1097">
        <f>IF($C1097="","",IF($AN1097=1,0,IF($AM1097=1,Settings!$C$6,Settings!$C$7))*100)</f>
        <v/>
      </c>
      <c r="AE1097" s="7" t="n"/>
      <c r="AH1097" s="11" t="n"/>
      <c r="AJ1097">
        <f>IF($C1097="","",$C1097&amp;"|"&amp;$D1097&amp;"")</f>
        <v/>
      </c>
      <c r="AK1097">
        <f>IF($C1097="","",IF(COUNTIF($AJ$2:$AJ1097,$AJ1097)=1,1,0))</f>
        <v/>
      </c>
      <c r="AL1097">
        <f>IF($AK1097=1,SUMPRODUCT(--($AO$2:$AO$1501&lt;$AO1097))+1,"")</f>
        <v/>
      </c>
      <c r="AM1097">
        <f>IF($C1097="","",IF(OR($Q1097=TRUE(),$Q1097="TRUE"),1,0))</f>
        <v/>
      </c>
      <c r="AN1097">
        <f>IF($C1097="","",IF($Z1097="Yes",1,0))</f>
        <v/>
      </c>
      <c r="AO1097">
        <f>IF($AK1097=1,IFERROR(IF(VALUE($C1097)&lt;100000000,VALUE($C1097),1000000000),IFERROR(IF(VALUE(MID($C1097,2,20))&lt;100000000,VALUE(MID($C1097,2,20)),1000000000),1000000000))+ROW()/100000,"")</f>
        <v/>
      </c>
    </row>
    <row r="1098">
      <c r="F1098" s="11" t="n"/>
      <c r="N1098" s="7">
        <f>IF($C1098="","",M1098*U1098/100)</f>
        <v/>
      </c>
      <c r="T1098" s="7" t="n"/>
      <c r="U1098" s="7" t="n"/>
      <c r="V1098" s="7">
        <f>IF($C1098="","",U1098*AA1098/100)</f>
        <v/>
      </c>
      <c r="W1098" s="7">
        <f>IF($C1098="","",U1098-V1098)</f>
        <v/>
      </c>
      <c r="X1098" s="7">
        <f>IF($C1098="","",W1098-N1098)</f>
        <v/>
      </c>
      <c r="AA1098">
        <f>IF($C1098="","",IF($AN1098=1,0,IF($AM1098=1,Settings!$C$6,Settings!$C$7))*100)</f>
        <v/>
      </c>
      <c r="AE1098" s="7" t="n"/>
      <c r="AH1098" s="11" t="n"/>
      <c r="AJ1098">
        <f>IF($C1098="","",$C1098&amp;"|"&amp;$D1098&amp;"")</f>
        <v/>
      </c>
      <c r="AK1098">
        <f>IF($C1098="","",IF(COUNTIF($AJ$2:$AJ1098,$AJ1098)=1,1,0))</f>
        <v/>
      </c>
      <c r="AL1098">
        <f>IF($AK1098=1,SUMPRODUCT(--($AO$2:$AO$1501&lt;$AO1098))+1,"")</f>
        <v/>
      </c>
      <c r="AM1098">
        <f>IF($C1098="","",IF(OR($Q1098=TRUE(),$Q1098="TRUE"),1,0))</f>
        <v/>
      </c>
      <c r="AN1098">
        <f>IF($C1098="","",IF($Z1098="Yes",1,0))</f>
        <v/>
      </c>
      <c r="AO1098">
        <f>IF($AK1098=1,IFERROR(IF(VALUE($C1098)&lt;100000000,VALUE($C1098),1000000000),IFERROR(IF(VALUE(MID($C1098,2,20))&lt;100000000,VALUE(MID($C1098,2,20)),1000000000),1000000000))+ROW()/100000,"")</f>
        <v/>
      </c>
    </row>
    <row r="1099">
      <c r="F1099" s="11" t="n"/>
      <c r="N1099" s="7">
        <f>IF($C1099="","",M1099*U1099/100)</f>
        <v/>
      </c>
      <c r="T1099" s="7" t="n"/>
      <c r="U1099" s="7" t="n"/>
      <c r="V1099" s="7">
        <f>IF($C1099="","",U1099*AA1099/100)</f>
        <v/>
      </c>
      <c r="W1099" s="7">
        <f>IF($C1099="","",U1099-V1099)</f>
        <v/>
      </c>
      <c r="X1099" s="7">
        <f>IF($C1099="","",W1099-N1099)</f>
        <v/>
      </c>
      <c r="AA1099">
        <f>IF($C1099="","",IF($AN1099=1,0,IF($AM1099=1,Settings!$C$6,Settings!$C$7))*100)</f>
        <v/>
      </c>
      <c r="AE1099" s="7" t="n"/>
      <c r="AH1099" s="11" t="n"/>
      <c r="AJ1099">
        <f>IF($C1099="","",$C1099&amp;"|"&amp;$D1099&amp;"")</f>
        <v/>
      </c>
      <c r="AK1099">
        <f>IF($C1099="","",IF(COUNTIF($AJ$2:$AJ1099,$AJ1099)=1,1,0))</f>
        <v/>
      </c>
      <c r="AL1099">
        <f>IF($AK1099=1,SUMPRODUCT(--($AO$2:$AO$1501&lt;$AO1099))+1,"")</f>
        <v/>
      </c>
      <c r="AM1099">
        <f>IF($C1099="","",IF(OR($Q1099=TRUE(),$Q1099="TRUE"),1,0))</f>
        <v/>
      </c>
      <c r="AN1099">
        <f>IF($C1099="","",IF($Z1099="Yes",1,0))</f>
        <v/>
      </c>
      <c r="AO1099">
        <f>IF($AK1099=1,IFERROR(IF(VALUE($C1099)&lt;100000000,VALUE($C1099),1000000000),IFERROR(IF(VALUE(MID($C1099,2,20))&lt;100000000,VALUE(MID($C1099,2,20)),1000000000),1000000000))+ROW()/100000,"")</f>
        <v/>
      </c>
    </row>
    <row r="1100">
      <c r="F1100" s="11" t="n"/>
      <c r="N1100" s="7">
        <f>IF($C1100="","",M1100*U1100/100)</f>
        <v/>
      </c>
      <c r="T1100" s="7" t="n"/>
      <c r="U1100" s="7" t="n"/>
      <c r="V1100" s="7">
        <f>IF($C1100="","",U1100*AA1100/100)</f>
        <v/>
      </c>
      <c r="W1100" s="7">
        <f>IF($C1100="","",U1100-V1100)</f>
        <v/>
      </c>
      <c r="X1100" s="7">
        <f>IF($C1100="","",W1100-N1100)</f>
        <v/>
      </c>
      <c r="AA1100">
        <f>IF($C1100="","",IF($AN1100=1,0,IF($AM1100=1,Settings!$C$6,Settings!$C$7))*100)</f>
        <v/>
      </c>
      <c r="AE1100" s="7" t="n"/>
      <c r="AH1100" s="11" t="n"/>
      <c r="AJ1100">
        <f>IF($C1100="","",$C1100&amp;"|"&amp;$D1100&amp;"")</f>
        <v/>
      </c>
      <c r="AK1100">
        <f>IF($C1100="","",IF(COUNTIF($AJ$2:$AJ1100,$AJ1100)=1,1,0))</f>
        <v/>
      </c>
      <c r="AL1100">
        <f>IF($AK1100=1,SUMPRODUCT(--($AO$2:$AO$1501&lt;$AO1100))+1,"")</f>
        <v/>
      </c>
      <c r="AM1100">
        <f>IF($C1100="","",IF(OR($Q1100=TRUE(),$Q1100="TRUE"),1,0))</f>
        <v/>
      </c>
      <c r="AN1100">
        <f>IF($C1100="","",IF($Z1100="Yes",1,0))</f>
        <v/>
      </c>
      <c r="AO1100">
        <f>IF($AK1100=1,IFERROR(IF(VALUE($C1100)&lt;100000000,VALUE($C1100),1000000000),IFERROR(IF(VALUE(MID($C1100,2,20))&lt;100000000,VALUE(MID($C1100,2,20)),1000000000),1000000000))+ROW()/100000,"")</f>
        <v/>
      </c>
    </row>
    <row r="1101">
      <c r="F1101" s="11" t="n"/>
      <c r="N1101" s="7">
        <f>IF($C1101="","",M1101*U1101/100)</f>
        <v/>
      </c>
      <c r="T1101" s="7" t="n"/>
      <c r="U1101" s="7" t="n"/>
      <c r="V1101" s="7">
        <f>IF($C1101="","",U1101*AA1101/100)</f>
        <v/>
      </c>
      <c r="W1101" s="7">
        <f>IF($C1101="","",U1101-V1101)</f>
        <v/>
      </c>
      <c r="X1101" s="7">
        <f>IF($C1101="","",W1101-N1101)</f>
        <v/>
      </c>
      <c r="AA1101">
        <f>IF($C1101="","",IF($AN1101=1,0,IF($AM1101=1,Settings!$C$6,Settings!$C$7))*100)</f>
        <v/>
      </c>
      <c r="AE1101" s="7" t="n"/>
      <c r="AH1101" s="11" t="n"/>
      <c r="AJ1101">
        <f>IF($C1101="","",$C1101&amp;"|"&amp;$D1101&amp;"")</f>
        <v/>
      </c>
      <c r="AK1101">
        <f>IF($C1101="","",IF(COUNTIF($AJ$2:$AJ1101,$AJ1101)=1,1,0))</f>
        <v/>
      </c>
      <c r="AL1101">
        <f>IF($AK1101=1,SUMPRODUCT(--($AO$2:$AO$1501&lt;$AO1101))+1,"")</f>
        <v/>
      </c>
      <c r="AM1101">
        <f>IF($C1101="","",IF(OR($Q1101=TRUE(),$Q1101="TRUE"),1,0))</f>
        <v/>
      </c>
      <c r="AN1101">
        <f>IF($C1101="","",IF($Z1101="Yes",1,0))</f>
        <v/>
      </c>
      <c r="AO1101">
        <f>IF($AK1101=1,IFERROR(IF(VALUE($C1101)&lt;100000000,VALUE($C1101),1000000000),IFERROR(IF(VALUE(MID($C1101,2,20))&lt;100000000,VALUE(MID($C1101,2,20)),1000000000),1000000000))+ROW()/100000,"")</f>
        <v/>
      </c>
    </row>
    <row r="1102">
      <c r="F1102" s="11" t="n"/>
      <c r="N1102" s="7">
        <f>IF($C1102="","",M1102*U1102/100)</f>
        <v/>
      </c>
      <c r="T1102" s="7" t="n"/>
      <c r="U1102" s="7" t="n"/>
      <c r="V1102" s="7">
        <f>IF($C1102="","",U1102*AA1102/100)</f>
        <v/>
      </c>
      <c r="W1102" s="7">
        <f>IF($C1102="","",U1102-V1102)</f>
        <v/>
      </c>
      <c r="X1102" s="7">
        <f>IF($C1102="","",W1102-N1102)</f>
        <v/>
      </c>
      <c r="AA1102">
        <f>IF($C1102="","",IF($AN1102=1,0,IF($AM1102=1,Settings!$C$6,Settings!$C$7))*100)</f>
        <v/>
      </c>
      <c r="AE1102" s="7" t="n"/>
      <c r="AH1102" s="11" t="n"/>
      <c r="AJ1102">
        <f>IF($C1102="","",$C1102&amp;"|"&amp;$D1102&amp;"")</f>
        <v/>
      </c>
      <c r="AK1102">
        <f>IF($C1102="","",IF(COUNTIF($AJ$2:$AJ1102,$AJ1102)=1,1,0))</f>
        <v/>
      </c>
      <c r="AL1102">
        <f>IF($AK1102=1,SUMPRODUCT(--($AO$2:$AO$1501&lt;$AO1102))+1,"")</f>
        <v/>
      </c>
      <c r="AM1102">
        <f>IF($C1102="","",IF(OR($Q1102=TRUE(),$Q1102="TRUE"),1,0))</f>
        <v/>
      </c>
      <c r="AN1102">
        <f>IF($C1102="","",IF($Z1102="Yes",1,0))</f>
        <v/>
      </c>
      <c r="AO1102">
        <f>IF($AK1102=1,IFERROR(IF(VALUE($C1102)&lt;100000000,VALUE($C1102),1000000000),IFERROR(IF(VALUE(MID($C1102,2,20))&lt;100000000,VALUE(MID($C1102,2,20)),1000000000),1000000000))+ROW()/100000,"")</f>
        <v/>
      </c>
    </row>
    <row r="1103">
      <c r="F1103" s="11" t="n"/>
      <c r="N1103" s="7">
        <f>IF($C1103="","",M1103*U1103/100)</f>
        <v/>
      </c>
      <c r="T1103" s="7" t="n"/>
      <c r="U1103" s="7" t="n"/>
      <c r="V1103" s="7">
        <f>IF($C1103="","",U1103*AA1103/100)</f>
        <v/>
      </c>
      <c r="W1103" s="7">
        <f>IF($C1103="","",U1103-V1103)</f>
        <v/>
      </c>
      <c r="X1103" s="7">
        <f>IF($C1103="","",W1103-N1103)</f>
        <v/>
      </c>
      <c r="AA1103">
        <f>IF($C1103="","",IF($AN1103=1,0,IF($AM1103=1,Settings!$C$6,Settings!$C$7))*100)</f>
        <v/>
      </c>
      <c r="AE1103" s="7" t="n"/>
      <c r="AH1103" s="11" t="n"/>
      <c r="AJ1103">
        <f>IF($C1103="","",$C1103&amp;"|"&amp;$D1103&amp;"")</f>
        <v/>
      </c>
      <c r="AK1103">
        <f>IF($C1103="","",IF(COUNTIF($AJ$2:$AJ1103,$AJ1103)=1,1,0))</f>
        <v/>
      </c>
      <c r="AL1103">
        <f>IF($AK1103=1,SUMPRODUCT(--($AO$2:$AO$1501&lt;$AO1103))+1,"")</f>
        <v/>
      </c>
      <c r="AM1103">
        <f>IF($C1103="","",IF(OR($Q1103=TRUE(),$Q1103="TRUE"),1,0))</f>
        <v/>
      </c>
      <c r="AN1103">
        <f>IF($C1103="","",IF($Z1103="Yes",1,0))</f>
        <v/>
      </c>
      <c r="AO1103">
        <f>IF($AK1103=1,IFERROR(IF(VALUE($C1103)&lt;100000000,VALUE($C1103),1000000000),IFERROR(IF(VALUE(MID($C1103,2,20))&lt;100000000,VALUE(MID($C1103,2,20)),1000000000),1000000000))+ROW()/100000,"")</f>
        <v/>
      </c>
    </row>
    <row r="1104">
      <c r="F1104" s="11" t="n"/>
      <c r="N1104" s="7">
        <f>IF($C1104="","",M1104*U1104/100)</f>
        <v/>
      </c>
      <c r="T1104" s="7" t="n"/>
      <c r="U1104" s="7" t="n"/>
      <c r="V1104" s="7">
        <f>IF($C1104="","",U1104*AA1104/100)</f>
        <v/>
      </c>
      <c r="W1104" s="7">
        <f>IF($C1104="","",U1104-V1104)</f>
        <v/>
      </c>
      <c r="X1104" s="7">
        <f>IF($C1104="","",W1104-N1104)</f>
        <v/>
      </c>
      <c r="AA1104">
        <f>IF($C1104="","",IF($AN1104=1,0,IF($AM1104=1,Settings!$C$6,Settings!$C$7))*100)</f>
        <v/>
      </c>
      <c r="AE1104" s="7" t="n"/>
      <c r="AH1104" s="11" t="n"/>
      <c r="AJ1104">
        <f>IF($C1104="","",$C1104&amp;"|"&amp;$D1104&amp;"")</f>
        <v/>
      </c>
      <c r="AK1104">
        <f>IF($C1104="","",IF(COUNTIF($AJ$2:$AJ1104,$AJ1104)=1,1,0))</f>
        <v/>
      </c>
      <c r="AL1104">
        <f>IF($AK1104=1,SUMPRODUCT(--($AO$2:$AO$1501&lt;$AO1104))+1,"")</f>
        <v/>
      </c>
      <c r="AM1104">
        <f>IF($C1104="","",IF(OR($Q1104=TRUE(),$Q1104="TRUE"),1,0))</f>
        <v/>
      </c>
      <c r="AN1104">
        <f>IF($C1104="","",IF($Z1104="Yes",1,0))</f>
        <v/>
      </c>
      <c r="AO1104">
        <f>IF($AK1104=1,IFERROR(IF(VALUE($C1104)&lt;100000000,VALUE($C1104),1000000000),IFERROR(IF(VALUE(MID($C1104,2,20))&lt;100000000,VALUE(MID($C1104,2,20)),1000000000),1000000000))+ROW()/100000,"")</f>
        <v/>
      </c>
    </row>
    <row r="1105">
      <c r="F1105" s="11" t="n"/>
      <c r="N1105" s="7">
        <f>IF($C1105="","",M1105*U1105/100)</f>
        <v/>
      </c>
      <c r="T1105" s="7" t="n"/>
      <c r="U1105" s="7" t="n"/>
      <c r="V1105" s="7">
        <f>IF($C1105="","",U1105*AA1105/100)</f>
        <v/>
      </c>
      <c r="W1105" s="7">
        <f>IF($C1105="","",U1105-V1105)</f>
        <v/>
      </c>
      <c r="X1105" s="7">
        <f>IF($C1105="","",W1105-N1105)</f>
        <v/>
      </c>
      <c r="AA1105">
        <f>IF($C1105="","",IF($AN1105=1,0,IF($AM1105=1,Settings!$C$6,Settings!$C$7))*100)</f>
        <v/>
      </c>
      <c r="AE1105" s="7" t="n"/>
      <c r="AH1105" s="11" t="n"/>
      <c r="AJ1105">
        <f>IF($C1105="","",$C1105&amp;"|"&amp;$D1105&amp;"")</f>
        <v/>
      </c>
      <c r="AK1105">
        <f>IF($C1105="","",IF(COUNTIF($AJ$2:$AJ1105,$AJ1105)=1,1,0))</f>
        <v/>
      </c>
      <c r="AL1105">
        <f>IF($AK1105=1,SUMPRODUCT(--($AO$2:$AO$1501&lt;$AO1105))+1,"")</f>
        <v/>
      </c>
      <c r="AM1105">
        <f>IF($C1105="","",IF(OR($Q1105=TRUE(),$Q1105="TRUE"),1,0))</f>
        <v/>
      </c>
      <c r="AN1105">
        <f>IF($C1105="","",IF($Z1105="Yes",1,0))</f>
        <v/>
      </c>
      <c r="AO1105">
        <f>IF($AK1105=1,IFERROR(IF(VALUE($C1105)&lt;100000000,VALUE($C1105),1000000000),IFERROR(IF(VALUE(MID($C1105,2,20))&lt;100000000,VALUE(MID($C1105,2,20)),1000000000),1000000000))+ROW()/100000,"")</f>
        <v/>
      </c>
    </row>
    <row r="1106">
      <c r="F1106" s="11" t="n"/>
      <c r="N1106" s="7">
        <f>IF($C1106="","",M1106*U1106/100)</f>
        <v/>
      </c>
      <c r="T1106" s="7" t="n"/>
      <c r="U1106" s="7" t="n"/>
      <c r="V1106" s="7">
        <f>IF($C1106="","",U1106*AA1106/100)</f>
        <v/>
      </c>
      <c r="W1106" s="7">
        <f>IF($C1106="","",U1106-V1106)</f>
        <v/>
      </c>
      <c r="X1106" s="7">
        <f>IF($C1106="","",W1106-N1106)</f>
        <v/>
      </c>
      <c r="AA1106">
        <f>IF($C1106="","",IF($AN1106=1,0,IF($AM1106=1,Settings!$C$6,Settings!$C$7))*100)</f>
        <v/>
      </c>
      <c r="AE1106" s="7" t="n"/>
      <c r="AH1106" s="11" t="n"/>
      <c r="AJ1106">
        <f>IF($C1106="","",$C1106&amp;"|"&amp;$D1106&amp;"")</f>
        <v/>
      </c>
      <c r="AK1106">
        <f>IF($C1106="","",IF(COUNTIF($AJ$2:$AJ1106,$AJ1106)=1,1,0))</f>
        <v/>
      </c>
      <c r="AL1106">
        <f>IF($AK1106=1,SUMPRODUCT(--($AO$2:$AO$1501&lt;$AO1106))+1,"")</f>
        <v/>
      </c>
      <c r="AM1106">
        <f>IF($C1106="","",IF(OR($Q1106=TRUE(),$Q1106="TRUE"),1,0))</f>
        <v/>
      </c>
      <c r="AN1106">
        <f>IF($C1106="","",IF($Z1106="Yes",1,0))</f>
        <v/>
      </c>
      <c r="AO1106">
        <f>IF($AK1106=1,IFERROR(IF(VALUE($C1106)&lt;100000000,VALUE($C1106),1000000000),IFERROR(IF(VALUE(MID($C1106,2,20))&lt;100000000,VALUE(MID($C1106,2,20)),1000000000),1000000000))+ROW()/100000,"")</f>
        <v/>
      </c>
    </row>
    <row r="1107">
      <c r="F1107" s="11" t="n"/>
      <c r="N1107" s="7">
        <f>IF($C1107="","",M1107*U1107/100)</f>
        <v/>
      </c>
      <c r="T1107" s="7" t="n"/>
      <c r="U1107" s="7" t="n"/>
      <c r="V1107" s="7">
        <f>IF($C1107="","",U1107*AA1107/100)</f>
        <v/>
      </c>
      <c r="W1107" s="7">
        <f>IF($C1107="","",U1107-V1107)</f>
        <v/>
      </c>
      <c r="X1107" s="7">
        <f>IF($C1107="","",W1107-N1107)</f>
        <v/>
      </c>
      <c r="AA1107">
        <f>IF($C1107="","",IF($AN1107=1,0,IF($AM1107=1,Settings!$C$6,Settings!$C$7))*100)</f>
        <v/>
      </c>
      <c r="AE1107" s="7" t="n"/>
      <c r="AH1107" s="11" t="n"/>
      <c r="AJ1107">
        <f>IF($C1107="","",$C1107&amp;"|"&amp;$D1107&amp;"")</f>
        <v/>
      </c>
      <c r="AK1107">
        <f>IF($C1107="","",IF(COUNTIF($AJ$2:$AJ1107,$AJ1107)=1,1,0))</f>
        <v/>
      </c>
      <c r="AL1107">
        <f>IF($AK1107=1,SUMPRODUCT(--($AO$2:$AO$1501&lt;$AO1107))+1,"")</f>
        <v/>
      </c>
      <c r="AM1107">
        <f>IF($C1107="","",IF(OR($Q1107=TRUE(),$Q1107="TRUE"),1,0))</f>
        <v/>
      </c>
      <c r="AN1107">
        <f>IF($C1107="","",IF($Z1107="Yes",1,0))</f>
        <v/>
      </c>
      <c r="AO1107">
        <f>IF($AK1107=1,IFERROR(IF(VALUE($C1107)&lt;100000000,VALUE($C1107),1000000000),IFERROR(IF(VALUE(MID($C1107,2,20))&lt;100000000,VALUE(MID($C1107,2,20)),1000000000),1000000000))+ROW()/100000,"")</f>
        <v/>
      </c>
    </row>
    <row r="1108">
      <c r="F1108" s="11" t="n"/>
      <c r="N1108" s="7">
        <f>IF($C1108="","",M1108*U1108/100)</f>
        <v/>
      </c>
      <c r="T1108" s="7" t="n"/>
      <c r="U1108" s="7" t="n"/>
      <c r="V1108" s="7">
        <f>IF($C1108="","",U1108*AA1108/100)</f>
        <v/>
      </c>
      <c r="W1108" s="7">
        <f>IF($C1108="","",U1108-V1108)</f>
        <v/>
      </c>
      <c r="X1108" s="7">
        <f>IF($C1108="","",W1108-N1108)</f>
        <v/>
      </c>
      <c r="AA1108">
        <f>IF($C1108="","",IF($AN1108=1,0,IF($AM1108=1,Settings!$C$6,Settings!$C$7))*100)</f>
        <v/>
      </c>
      <c r="AE1108" s="7" t="n"/>
      <c r="AH1108" s="11" t="n"/>
      <c r="AJ1108">
        <f>IF($C1108="","",$C1108&amp;"|"&amp;$D1108&amp;"")</f>
        <v/>
      </c>
      <c r="AK1108">
        <f>IF($C1108="","",IF(COUNTIF($AJ$2:$AJ1108,$AJ1108)=1,1,0))</f>
        <v/>
      </c>
      <c r="AL1108">
        <f>IF($AK1108=1,SUMPRODUCT(--($AO$2:$AO$1501&lt;$AO1108))+1,"")</f>
        <v/>
      </c>
      <c r="AM1108">
        <f>IF($C1108="","",IF(OR($Q1108=TRUE(),$Q1108="TRUE"),1,0))</f>
        <v/>
      </c>
      <c r="AN1108">
        <f>IF($C1108="","",IF($Z1108="Yes",1,0))</f>
        <v/>
      </c>
      <c r="AO1108">
        <f>IF($AK1108=1,IFERROR(IF(VALUE($C1108)&lt;100000000,VALUE($C1108),1000000000),IFERROR(IF(VALUE(MID($C1108,2,20))&lt;100000000,VALUE(MID($C1108,2,20)),1000000000),1000000000))+ROW()/100000,"")</f>
        <v/>
      </c>
    </row>
    <row r="1109">
      <c r="F1109" s="11" t="n"/>
      <c r="N1109" s="7">
        <f>IF($C1109="","",M1109*U1109/100)</f>
        <v/>
      </c>
      <c r="T1109" s="7" t="n"/>
      <c r="U1109" s="7" t="n"/>
      <c r="V1109" s="7">
        <f>IF($C1109="","",U1109*AA1109/100)</f>
        <v/>
      </c>
      <c r="W1109" s="7">
        <f>IF($C1109="","",U1109-V1109)</f>
        <v/>
      </c>
      <c r="X1109" s="7">
        <f>IF($C1109="","",W1109-N1109)</f>
        <v/>
      </c>
      <c r="AA1109">
        <f>IF($C1109="","",IF($AN1109=1,0,IF($AM1109=1,Settings!$C$6,Settings!$C$7))*100)</f>
        <v/>
      </c>
      <c r="AE1109" s="7" t="n"/>
      <c r="AH1109" s="11" t="n"/>
      <c r="AJ1109">
        <f>IF($C1109="","",$C1109&amp;"|"&amp;$D1109&amp;"")</f>
        <v/>
      </c>
      <c r="AK1109">
        <f>IF($C1109="","",IF(COUNTIF($AJ$2:$AJ1109,$AJ1109)=1,1,0))</f>
        <v/>
      </c>
      <c r="AL1109">
        <f>IF($AK1109=1,SUMPRODUCT(--($AO$2:$AO$1501&lt;$AO1109))+1,"")</f>
        <v/>
      </c>
      <c r="AM1109">
        <f>IF($C1109="","",IF(OR($Q1109=TRUE(),$Q1109="TRUE"),1,0))</f>
        <v/>
      </c>
      <c r="AN1109">
        <f>IF($C1109="","",IF($Z1109="Yes",1,0))</f>
        <v/>
      </c>
      <c r="AO1109">
        <f>IF($AK1109=1,IFERROR(IF(VALUE($C1109)&lt;100000000,VALUE($C1109),1000000000),IFERROR(IF(VALUE(MID($C1109,2,20))&lt;100000000,VALUE(MID($C1109,2,20)),1000000000),1000000000))+ROW()/100000,"")</f>
        <v/>
      </c>
    </row>
    <row r="1110">
      <c r="F1110" s="11" t="n"/>
      <c r="N1110" s="7">
        <f>IF($C1110="","",M1110*U1110/100)</f>
        <v/>
      </c>
      <c r="T1110" s="7" t="n"/>
      <c r="U1110" s="7" t="n"/>
      <c r="V1110" s="7">
        <f>IF($C1110="","",U1110*AA1110/100)</f>
        <v/>
      </c>
      <c r="W1110" s="7">
        <f>IF($C1110="","",U1110-V1110)</f>
        <v/>
      </c>
      <c r="X1110" s="7">
        <f>IF($C1110="","",W1110-N1110)</f>
        <v/>
      </c>
      <c r="AA1110">
        <f>IF($C1110="","",IF($AN1110=1,0,IF($AM1110=1,Settings!$C$6,Settings!$C$7))*100)</f>
        <v/>
      </c>
      <c r="AE1110" s="7" t="n"/>
      <c r="AH1110" s="11" t="n"/>
      <c r="AJ1110">
        <f>IF($C1110="","",$C1110&amp;"|"&amp;$D1110&amp;"")</f>
        <v/>
      </c>
      <c r="AK1110">
        <f>IF($C1110="","",IF(COUNTIF($AJ$2:$AJ1110,$AJ1110)=1,1,0))</f>
        <v/>
      </c>
      <c r="AL1110">
        <f>IF($AK1110=1,SUMPRODUCT(--($AO$2:$AO$1501&lt;$AO1110))+1,"")</f>
        <v/>
      </c>
      <c r="AM1110">
        <f>IF($C1110="","",IF(OR($Q1110=TRUE(),$Q1110="TRUE"),1,0))</f>
        <v/>
      </c>
      <c r="AN1110">
        <f>IF($C1110="","",IF($Z1110="Yes",1,0))</f>
        <v/>
      </c>
      <c r="AO1110">
        <f>IF($AK1110=1,IFERROR(IF(VALUE($C1110)&lt;100000000,VALUE($C1110),1000000000),IFERROR(IF(VALUE(MID($C1110,2,20))&lt;100000000,VALUE(MID($C1110,2,20)),1000000000),1000000000))+ROW()/100000,"")</f>
        <v/>
      </c>
    </row>
    <row r="1111">
      <c r="F1111" s="11" t="n"/>
      <c r="N1111" s="7">
        <f>IF($C1111="","",M1111*U1111/100)</f>
        <v/>
      </c>
      <c r="T1111" s="7" t="n"/>
      <c r="U1111" s="7" t="n"/>
      <c r="V1111" s="7">
        <f>IF($C1111="","",U1111*AA1111/100)</f>
        <v/>
      </c>
      <c r="W1111" s="7">
        <f>IF($C1111="","",U1111-V1111)</f>
        <v/>
      </c>
      <c r="X1111" s="7">
        <f>IF($C1111="","",W1111-N1111)</f>
        <v/>
      </c>
      <c r="AA1111">
        <f>IF($C1111="","",IF($AN1111=1,0,IF($AM1111=1,Settings!$C$6,Settings!$C$7))*100)</f>
        <v/>
      </c>
      <c r="AE1111" s="7" t="n"/>
      <c r="AH1111" s="11" t="n"/>
      <c r="AJ1111">
        <f>IF($C1111="","",$C1111&amp;"|"&amp;$D1111&amp;"")</f>
        <v/>
      </c>
      <c r="AK1111">
        <f>IF($C1111="","",IF(COUNTIF($AJ$2:$AJ1111,$AJ1111)=1,1,0))</f>
        <v/>
      </c>
      <c r="AL1111">
        <f>IF($AK1111=1,SUMPRODUCT(--($AO$2:$AO$1501&lt;$AO1111))+1,"")</f>
        <v/>
      </c>
      <c r="AM1111">
        <f>IF($C1111="","",IF(OR($Q1111=TRUE(),$Q1111="TRUE"),1,0))</f>
        <v/>
      </c>
      <c r="AN1111">
        <f>IF($C1111="","",IF($Z1111="Yes",1,0))</f>
        <v/>
      </c>
      <c r="AO1111">
        <f>IF($AK1111=1,IFERROR(IF(VALUE($C1111)&lt;100000000,VALUE($C1111),1000000000),IFERROR(IF(VALUE(MID($C1111,2,20))&lt;100000000,VALUE(MID($C1111,2,20)),1000000000),1000000000))+ROW()/100000,"")</f>
        <v/>
      </c>
    </row>
    <row r="1112">
      <c r="F1112" s="11" t="n"/>
      <c r="N1112" s="7">
        <f>IF($C1112="","",M1112*U1112/100)</f>
        <v/>
      </c>
      <c r="T1112" s="7" t="n"/>
      <c r="U1112" s="7" t="n"/>
      <c r="V1112" s="7">
        <f>IF($C1112="","",U1112*AA1112/100)</f>
        <v/>
      </c>
      <c r="W1112" s="7">
        <f>IF($C1112="","",U1112-V1112)</f>
        <v/>
      </c>
      <c r="X1112" s="7">
        <f>IF($C1112="","",W1112-N1112)</f>
        <v/>
      </c>
      <c r="AA1112">
        <f>IF($C1112="","",IF($AN1112=1,0,IF($AM1112=1,Settings!$C$6,Settings!$C$7))*100)</f>
        <v/>
      </c>
      <c r="AE1112" s="7" t="n"/>
      <c r="AH1112" s="11" t="n"/>
      <c r="AJ1112">
        <f>IF($C1112="","",$C1112&amp;"|"&amp;$D1112&amp;"")</f>
        <v/>
      </c>
      <c r="AK1112">
        <f>IF($C1112="","",IF(COUNTIF($AJ$2:$AJ1112,$AJ1112)=1,1,0))</f>
        <v/>
      </c>
      <c r="AL1112">
        <f>IF($AK1112=1,SUMPRODUCT(--($AO$2:$AO$1501&lt;$AO1112))+1,"")</f>
        <v/>
      </c>
      <c r="AM1112">
        <f>IF($C1112="","",IF(OR($Q1112=TRUE(),$Q1112="TRUE"),1,0))</f>
        <v/>
      </c>
      <c r="AN1112">
        <f>IF($C1112="","",IF($Z1112="Yes",1,0))</f>
        <v/>
      </c>
      <c r="AO1112">
        <f>IF($AK1112=1,IFERROR(IF(VALUE($C1112)&lt;100000000,VALUE($C1112),1000000000),IFERROR(IF(VALUE(MID($C1112,2,20))&lt;100000000,VALUE(MID($C1112,2,20)),1000000000),1000000000))+ROW()/100000,"")</f>
        <v/>
      </c>
    </row>
    <row r="1113">
      <c r="F1113" s="11" t="n"/>
      <c r="N1113" s="7">
        <f>IF($C1113="","",M1113*U1113/100)</f>
        <v/>
      </c>
      <c r="T1113" s="7" t="n"/>
      <c r="U1113" s="7" t="n"/>
      <c r="V1113" s="7">
        <f>IF($C1113="","",U1113*AA1113/100)</f>
        <v/>
      </c>
      <c r="W1113" s="7">
        <f>IF($C1113="","",U1113-V1113)</f>
        <v/>
      </c>
      <c r="X1113" s="7">
        <f>IF($C1113="","",W1113-N1113)</f>
        <v/>
      </c>
      <c r="AA1113">
        <f>IF($C1113="","",IF($AN1113=1,0,IF($AM1113=1,Settings!$C$6,Settings!$C$7))*100)</f>
        <v/>
      </c>
      <c r="AE1113" s="7" t="n"/>
      <c r="AH1113" s="11" t="n"/>
      <c r="AJ1113">
        <f>IF($C1113="","",$C1113&amp;"|"&amp;$D1113&amp;"")</f>
        <v/>
      </c>
      <c r="AK1113">
        <f>IF($C1113="","",IF(COUNTIF($AJ$2:$AJ1113,$AJ1113)=1,1,0))</f>
        <v/>
      </c>
      <c r="AL1113">
        <f>IF($AK1113=1,SUMPRODUCT(--($AO$2:$AO$1501&lt;$AO1113))+1,"")</f>
        <v/>
      </c>
      <c r="AM1113">
        <f>IF($C1113="","",IF(OR($Q1113=TRUE(),$Q1113="TRUE"),1,0))</f>
        <v/>
      </c>
      <c r="AN1113">
        <f>IF($C1113="","",IF($Z1113="Yes",1,0))</f>
        <v/>
      </c>
      <c r="AO1113">
        <f>IF($AK1113=1,IFERROR(IF(VALUE($C1113)&lt;100000000,VALUE($C1113),1000000000),IFERROR(IF(VALUE(MID($C1113,2,20))&lt;100000000,VALUE(MID($C1113,2,20)),1000000000),1000000000))+ROW()/100000,"")</f>
        <v/>
      </c>
    </row>
    <row r="1114">
      <c r="F1114" s="11" t="n"/>
      <c r="N1114" s="7">
        <f>IF($C1114="","",M1114*U1114/100)</f>
        <v/>
      </c>
      <c r="T1114" s="7" t="n"/>
      <c r="U1114" s="7" t="n"/>
      <c r="V1114" s="7">
        <f>IF($C1114="","",U1114*AA1114/100)</f>
        <v/>
      </c>
      <c r="W1114" s="7">
        <f>IF($C1114="","",U1114-V1114)</f>
        <v/>
      </c>
      <c r="X1114" s="7">
        <f>IF($C1114="","",W1114-N1114)</f>
        <v/>
      </c>
      <c r="AA1114">
        <f>IF($C1114="","",IF($AN1114=1,0,IF($AM1114=1,Settings!$C$6,Settings!$C$7))*100)</f>
        <v/>
      </c>
      <c r="AE1114" s="7" t="n"/>
      <c r="AH1114" s="11" t="n"/>
      <c r="AJ1114">
        <f>IF($C1114="","",$C1114&amp;"|"&amp;$D1114&amp;"")</f>
        <v/>
      </c>
      <c r="AK1114">
        <f>IF($C1114="","",IF(COUNTIF($AJ$2:$AJ1114,$AJ1114)=1,1,0))</f>
        <v/>
      </c>
      <c r="AL1114">
        <f>IF($AK1114=1,SUMPRODUCT(--($AO$2:$AO$1501&lt;$AO1114))+1,"")</f>
        <v/>
      </c>
      <c r="AM1114">
        <f>IF($C1114="","",IF(OR($Q1114=TRUE(),$Q1114="TRUE"),1,0))</f>
        <v/>
      </c>
      <c r="AN1114">
        <f>IF($C1114="","",IF($Z1114="Yes",1,0))</f>
        <v/>
      </c>
      <c r="AO1114">
        <f>IF($AK1114=1,IFERROR(IF(VALUE($C1114)&lt;100000000,VALUE($C1114),1000000000),IFERROR(IF(VALUE(MID($C1114,2,20))&lt;100000000,VALUE(MID($C1114,2,20)),1000000000),1000000000))+ROW()/100000,"")</f>
        <v/>
      </c>
    </row>
    <row r="1115">
      <c r="F1115" s="11" t="n"/>
      <c r="N1115" s="7">
        <f>IF($C1115="","",M1115*U1115/100)</f>
        <v/>
      </c>
      <c r="T1115" s="7" t="n"/>
      <c r="U1115" s="7" t="n"/>
      <c r="V1115" s="7">
        <f>IF($C1115="","",U1115*AA1115/100)</f>
        <v/>
      </c>
      <c r="W1115" s="7">
        <f>IF($C1115="","",U1115-V1115)</f>
        <v/>
      </c>
      <c r="X1115" s="7">
        <f>IF($C1115="","",W1115-N1115)</f>
        <v/>
      </c>
      <c r="AA1115">
        <f>IF($C1115="","",IF($AN1115=1,0,IF($AM1115=1,Settings!$C$6,Settings!$C$7))*100)</f>
        <v/>
      </c>
      <c r="AE1115" s="7" t="n"/>
      <c r="AH1115" s="11" t="n"/>
      <c r="AJ1115">
        <f>IF($C1115="","",$C1115&amp;"|"&amp;$D1115&amp;"")</f>
        <v/>
      </c>
      <c r="AK1115">
        <f>IF($C1115="","",IF(COUNTIF($AJ$2:$AJ1115,$AJ1115)=1,1,0))</f>
        <v/>
      </c>
      <c r="AL1115">
        <f>IF($AK1115=1,SUMPRODUCT(--($AO$2:$AO$1501&lt;$AO1115))+1,"")</f>
        <v/>
      </c>
      <c r="AM1115">
        <f>IF($C1115="","",IF(OR($Q1115=TRUE(),$Q1115="TRUE"),1,0))</f>
        <v/>
      </c>
      <c r="AN1115">
        <f>IF($C1115="","",IF($Z1115="Yes",1,0))</f>
        <v/>
      </c>
      <c r="AO1115">
        <f>IF($AK1115=1,IFERROR(IF(VALUE($C1115)&lt;100000000,VALUE($C1115),1000000000),IFERROR(IF(VALUE(MID($C1115,2,20))&lt;100000000,VALUE(MID($C1115,2,20)),1000000000),1000000000))+ROW()/100000,"")</f>
        <v/>
      </c>
    </row>
    <row r="1116">
      <c r="F1116" s="11" t="n"/>
      <c r="N1116" s="7">
        <f>IF($C1116="","",M1116*U1116/100)</f>
        <v/>
      </c>
      <c r="T1116" s="7" t="n"/>
      <c r="U1116" s="7" t="n"/>
      <c r="V1116" s="7">
        <f>IF($C1116="","",U1116*AA1116/100)</f>
        <v/>
      </c>
      <c r="W1116" s="7">
        <f>IF($C1116="","",U1116-V1116)</f>
        <v/>
      </c>
      <c r="X1116" s="7">
        <f>IF($C1116="","",W1116-N1116)</f>
        <v/>
      </c>
      <c r="AA1116">
        <f>IF($C1116="","",IF($AN1116=1,0,IF($AM1116=1,Settings!$C$6,Settings!$C$7))*100)</f>
        <v/>
      </c>
      <c r="AE1116" s="7" t="n"/>
      <c r="AH1116" s="11" t="n"/>
      <c r="AJ1116">
        <f>IF($C1116="","",$C1116&amp;"|"&amp;$D1116&amp;"")</f>
        <v/>
      </c>
      <c r="AK1116">
        <f>IF($C1116="","",IF(COUNTIF($AJ$2:$AJ1116,$AJ1116)=1,1,0))</f>
        <v/>
      </c>
      <c r="AL1116">
        <f>IF($AK1116=1,SUMPRODUCT(--($AO$2:$AO$1501&lt;$AO1116))+1,"")</f>
        <v/>
      </c>
      <c r="AM1116">
        <f>IF($C1116="","",IF(OR($Q1116=TRUE(),$Q1116="TRUE"),1,0))</f>
        <v/>
      </c>
      <c r="AN1116">
        <f>IF($C1116="","",IF($Z1116="Yes",1,0))</f>
        <v/>
      </c>
      <c r="AO1116">
        <f>IF($AK1116=1,IFERROR(IF(VALUE($C1116)&lt;100000000,VALUE($C1116),1000000000),IFERROR(IF(VALUE(MID($C1116,2,20))&lt;100000000,VALUE(MID($C1116,2,20)),1000000000),1000000000))+ROW()/100000,"")</f>
        <v/>
      </c>
    </row>
    <row r="1117">
      <c r="F1117" s="11" t="n"/>
      <c r="N1117" s="7">
        <f>IF($C1117="","",M1117*U1117/100)</f>
        <v/>
      </c>
      <c r="T1117" s="7" t="n"/>
      <c r="U1117" s="7" t="n"/>
      <c r="V1117" s="7">
        <f>IF($C1117="","",U1117*AA1117/100)</f>
        <v/>
      </c>
      <c r="W1117" s="7">
        <f>IF($C1117="","",U1117-V1117)</f>
        <v/>
      </c>
      <c r="X1117" s="7">
        <f>IF($C1117="","",W1117-N1117)</f>
        <v/>
      </c>
      <c r="AA1117">
        <f>IF($C1117="","",IF($AN1117=1,0,IF($AM1117=1,Settings!$C$6,Settings!$C$7))*100)</f>
        <v/>
      </c>
      <c r="AE1117" s="7" t="n"/>
      <c r="AH1117" s="11" t="n"/>
      <c r="AJ1117">
        <f>IF($C1117="","",$C1117&amp;"|"&amp;$D1117&amp;"")</f>
        <v/>
      </c>
      <c r="AK1117">
        <f>IF($C1117="","",IF(COUNTIF($AJ$2:$AJ1117,$AJ1117)=1,1,0))</f>
        <v/>
      </c>
      <c r="AL1117">
        <f>IF($AK1117=1,SUMPRODUCT(--($AO$2:$AO$1501&lt;$AO1117))+1,"")</f>
        <v/>
      </c>
      <c r="AM1117">
        <f>IF($C1117="","",IF(OR($Q1117=TRUE(),$Q1117="TRUE"),1,0))</f>
        <v/>
      </c>
      <c r="AN1117">
        <f>IF($C1117="","",IF($Z1117="Yes",1,0))</f>
        <v/>
      </c>
      <c r="AO1117">
        <f>IF($AK1117=1,IFERROR(IF(VALUE($C1117)&lt;100000000,VALUE($C1117),1000000000),IFERROR(IF(VALUE(MID($C1117,2,20))&lt;100000000,VALUE(MID($C1117,2,20)),1000000000),1000000000))+ROW()/100000,"")</f>
        <v/>
      </c>
    </row>
    <row r="1118">
      <c r="F1118" s="11" t="n"/>
      <c r="N1118" s="7">
        <f>IF($C1118="","",M1118*U1118/100)</f>
        <v/>
      </c>
      <c r="T1118" s="7" t="n"/>
      <c r="U1118" s="7" t="n"/>
      <c r="V1118" s="7">
        <f>IF($C1118="","",U1118*AA1118/100)</f>
        <v/>
      </c>
      <c r="W1118" s="7">
        <f>IF($C1118="","",U1118-V1118)</f>
        <v/>
      </c>
      <c r="X1118" s="7">
        <f>IF($C1118="","",W1118-N1118)</f>
        <v/>
      </c>
      <c r="AA1118">
        <f>IF($C1118="","",IF($AN1118=1,0,IF($AM1118=1,Settings!$C$6,Settings!$C$7))*100)</f>
        <v/>
      </c>
      <c r="AE1118" s="7" t="n"/>
      <c r="AH1118" s="11" t="n"/>
      <c r="AJ1118">
        <f>IF($C1118="","",$C1118&amp;"|"&amp;$D1118&amp;"")</f>
        <v/>
      </c>
      <c r="AK1118">
        <f>IF($C1118="","",IF(COUNTIF($AJ$2:$AJ1118,$AJ1118)=1,1,0))</f>
        <v/>
      </c>
      <c r="AL1118">
        <f>IF($AK1118=1,SUMPRODUCT(--($AO$2:$AO$1501&lt;$AO1118))+1,"")</f>
        <v/>
      </c>
      <c r="AM1118">
        <f>IF($C1118="","",IF(OR($Q1118=TRUE(),$Q1118="TRUE"),1,0))</f>
        <v/>
      </c>
      <c r="AN1118">
        <f>IF($C1118="","",IF($Z1118="Yes",1,0))</f>
        <v/>
      </c>
      <c r="AO1118">
        <f>IF($AK1118=1,IFERROR(IF(VALUE($C1118)&lt;100000000,VALUE($C1118),1000000000),IFERROR(IF(VALUE(MID($C1118,2,20))&lt;100000000,VALUE(MID($C1118,2,20)),1000000000),1000000000))+ROW()/100000,"")</f>
        <v/>
      </c>
    </row>
    <row r="1119">
      <c r="F1119" s="11" t="n"/>
      <c r="N1119" s="7">
        <f>IF($C1119="","",M1119*U1119/100)</f>
        <v/>
      </c>
      <c r="T1119" s="7" t="n"/>
      <c r="U1119" s="7" t="n"/>
      <c r="V1119" s="7">
        <f>IF($C1119="","",U1119*AA1119/100)</f>
        <v/>
      </c>
      <c r="W1119" s="7">
        <f>IF($C1119="","",U1119-V1119)</f>
        <v/>
      </c>
      <c r="X1119" s="7">
        <f>IF($C1119="","",W1119-N1119)</f>
        <v/>
      </c>
      <c r="AA1119">
        <f>IF($C1119="","",IF($AN1119=1,0,IF($AM1119=1,Settings!$C$6,Settings!$C$7))*100)</f>
        <v/>
      </c>
      <c r="AE1119" s="7" t="n"/>
      <c r="AH1119" s="11" t="n"/>
      <c r="AJ1119">
        <f>IF($C1119="","",$C1119&amp;"|"&amp;$D1119&amp;"")</f>
        <v/>
      </c>
      <c r="AK1119">
        <f>IF($C1119="","",IF(COUNTIF($AJ$2:$AJ1119,$AJ1119)=1,1,0))</f>
        <v/>
      </c>
      <c r="AL1119">
        <f>IF($AK1119=1,SUMPRODUCT(--($AO$2:$AO$1501&lt;$AO1119))+1,"")</f>
        <v/>
      </c>
      <c r="AM1119">
        <f>IF($C1119="","",IF(OR($Q1119=TRUE(),$Q1119="TRUE"),1,0))</f>
        <v/>
      </c>
      <c r="AN1119">
        <f>IF($C1119="","",IF($Z1119="Yes",1,0))</f>
        <v/>
      </c>
      <c r="AO1119">
        <f>IF($AK1119=1,IFERROR(IF(VALUE($C1119)&lt;100000000,VALUE($C1119),1000000000),IFERROR(IF(VALUE(MID($C1119,2,20))&lt;100000000,VALUE(MID($C1119,2,20)),1000000000),1000000000))+ROW()/100000,"")</f>
        <v/>
      </c>
    </row>
    <row r="1120">
      <c r="F1120" s="11" t="n"/>
      <c r="N1120" s="7">
        <f>IF($C1120="","",M1120*U1120/100)</f>
        <v/>
      </c>
      <c r="T1120" s="7" t="n"/>
      <c r="U1120" s="7" t="n"/>
      <c r="V1120" s="7">
        <f>IF($C1120="","",U1120*AA1120/100)</f>
        <v/>
      </c>
      <c r="W1120" s="7">
        <f>IF($C1120="","",U1120-V1120)</f>
        <v/>
      </c>
      <c r="X1120" s="7">
        <f>IF($C1120="","",W1120-N1120)</f>
        <v/>
      </c>
      <c r="AA1120">
        <f>IF($C1120="","",IF($AN1120=1,0,IF($AM1120=1,Settings!$C$6,Settings!$C$7))*100)</f>
        <v/>
      </c>
      <c r="AE1120" s="7" t="n"/>
      <c r="AH1120" s="11" t="n"/>
      <c r="AJ1120">
        <f>IF($C1120="","",$C1120&amp;"|"&amp;$D1120&amp;"")</f>
        <v/>
      </c>
      <c r="AK1120">
        <f>IF($C1120="","",IF(COUNTIF($AJ$2:$AJ1120,$AJ1120)=1,1,0))</f>
        <v/>
      </c>
      <c r="AL1120">
        <f>IF($AK1120=1,SUMPRODUCT(--($AO$2:$AO$1501&lt;$AO1120))+1,"")</f>
        <v/>
      </c>
      <c r="AM1120">
        <f>IF($C1120="","",IF(OR($Q1120=TRUE(),$Q1120="TRUE"),1,0))</f>
        <v/>
      </c>
      <c r="AN1120">
        <f>IF($C1120="","",IF($Z1120="Yes",1,0))</f>
        <v/>
      </c>
      <c r="AO1120">
        <f>IF($AK1120=1,IFERROR(IF(VALUE($C1120)&lt;100000000,VALUE($C1120),1000000000),IFERROR(IF(VALUE(MID($C1120,2,20))&lt;100000000,VALUE(MID($C1120,2,20)),1000000000),1000000000))+ROW()/100000,"")</f>
        <v/>
      </c>
    </row>
    <row r="1121">
      <c r="F1121" s="11" t="n"/>
      <c r="N1121" s="7">
        <f>IF($C1121="","",M1121*U1121/100)</f>
        <v/>
      </c>
      <c r="T1121" s="7" t="n"/>
      <c r="U1121" s="7" t="n"/>
      <c r="V1121" s="7">
        <f>IF($C1121="","",U1121*AA1121/100)</f>
        <v/>
      </c>
      <c r="W1121" s="7">
        <f>IF($C1121="","",U1121-V1121)</f>
        <v/>
      </c>
      <c r="X1121" s="7">
        <f>IF($C1121="","",W1121-N1121)</f>
        <v/>
      </c>
      <c r="AA1121">
        <f>IF($C1121="","",IF($AN1121=1,0,IF($AM1121=1,Settings!$C$6,Settings!$C$7))*100)</f>
        <v/>
      </c>
      <c r="AE1121" s="7" t="n"/>
      <c r="AH1121" s="11" t="n"/>
      <c r="AJ1121">
        <f>IF($C1121="","",$C1121&amp;"|"&amp;$D1121&amp;"")</f>
        <v/>
      </c>
      <c r="AK1121">
        <f>IF($C1121="","",IF(COUNTIF($AJ$2:$AJ1121,$AJ1121)=1,1,0))</f>
        <v/>
      </c>
      <c r="AL1121">
        <f>IF($AK1121=1,SUMPRODUCT(--($AO$2:$AO$1501&lt;$AO1121))+1,"")</f>
        <v/>
      </c>
      <c r="AM1121">
        <f>IF($C1121="","",IF(OR($Q1121=TRUE(),$Q1121="TRUE"),1,0))</f>
        <v/>
      </c>
      <c r="AN1121">
        <f>IF($C1121="","",IF($Z1121="Yes",1,0))</f>
        <v/>
      </c>
      <c r="AO1121">
        <f>IF($AK1121=1,IFERROR(IF(VALUE($C1121)&lt;100000000,VALUE($C1121),1000000000),IFERROR(IF(VALUE(MID($C1121,2,20))&lt;100000000,VALUE(MID($C1121,2,20)),1000000000),1000000000))+ROW()/100000,"")</f>
        <v/>
      </c>
    </row>
    <row r="1122">
      <c r="F1122" s="11" t="n"/>
      <c r="N1122" s="7">
        <f>IF($C1122="","",M1122*U1122/100)</f>
        <v/>
      </c>
      <c r="T1122" s="7" t="n"/>
      <c r="U1122" s="7" t="n"/>
      <c r="V1122" s="7">
        <f>IF($C1122="","",U1122*AA1122/100)</f>
        <v/>
      </c>
      <c r="W1122" s="7">
        <f>IF($C1122="","",U1122-V1122)</f>
        <v/>
      </c>
      <c r="X1122" s="7">
        <f>IF($C1122="","",W1122-N1122)</f>
        <v/>
      </c>
      <c r="AA1122">
        <f>IF($C1122="","",IF($AN1122=1,0,IF($AM1122=1,Settings!$C$6,Settings!$C$7))*100)</f>
        <v/>
      </c>
      <c r="AE1122" s="7" t="n"/>
      <c r="AH1122" s="11" t="n"/>
      <c r="AJ1122">
        <f>IF($C1122="","",$C1122&amp;"|"&amp;$D1122&amp;"")</f>
        <v/>
      </c>
      <c r="AK1122">
        <f>IF($C1122="","",IF(COUNTIF($AJ$2:$AJ1122,$AJ1122)=1,1,0))</f>
        <v/>
      </c>
      <c r="AL1122">
        <f>IF($AK1122=1,SUMPRODUCT(--($AO$2:$AO$1501&lt;$AO1122))+1,"")</f>
        <v/>
      </c>
      <c r="AM1122">
        <f>IF($C1122="","",IF(OR($Q1122=TRUE(),$Q1122="TRUE"),1,0))</f>
        <v/>
      </c>
      <c r="AN1122">
        <f>IF($C1122="","",IF($Z1122="Yes",1,0))</f>
        <v/>
      </c>
      <c r="AO1122">
        <f>IF($AK1122=1,IFERROR(IF(VALUE($C1122)&lt;100000000,VALUE($C1122),1000000000),IFERROR(IF(VALUE(MID($C1122,2,20))&lt;100000000,VALUE(MID($C1122,2,20)),1000000000),1000000000))+ROW()/100000,"")</f>
        <v/>
      </c>
    </row>
    <row r="1123">
      <c r="F1123" s="11" t="n"/>
      <c r="N1123" s="7">
        <f>IF($C1123="","",M1123*U1123/100)</f>
        <v/>
      </c>
      <c r="T1123" s="7" t="n"/>
      <c r="U1123" s="7" t="n"/>
      <c r="V1123" s="7">
        <f>IF($C1123="","",U1123*AA1123/100)</f>
        <v/>
      </c>
      <c r="W1123" s="7">
        <f>IF($C1123="","",U1123-V1123)</f>
        <v/>
      </c>
      <c r="X1123" s="7">
        <f>IF($C1123="","",W1123-N1123)</f>
        <v/>
      </c>
      <c r="AA1123">
        <f>IF($C1123="","",IF($AN1123=1,0,IF($AM1123=1,Settings!$C$6,Settings!$C$7))*100)</f>
        <v/>
      </c>
      <c r="AE1123" s="7" t="n"/>
      <c r="AH1123" s="11" t="n"/>
      <c r="AJ1123">
        <f>IF($C1123="","",$C1123&amp;"|"&amp;$D1123&amp;"")</f>
        <v/>
      </c>
      <c r="AK1123">
        <f>IF($C1123="","",IF(COUNTIF($AJ$2:$AJ1123,$AJ1123)=1,1,0))</f>
        <v/>
      </c>
      <c r="AL1123">
        <f>IF($AK1123=1,SUMPRODUCT(--($AO$2:$AO$1501&lt;$AO1123))+1,"")</f>
        <v/>
      </c>
      <c r="AM1123">
        <f>IF($C1123="","",IF(OR($Q1123=TRUE(),$Q1123="TRUE"),1,0))</f>
        <v/>
      </c>
      <c r="AN1123">
        <f>IF($C1123="","",IF($Z1123="Yes",1,0))</f>
        <v/>
      </c>
      <c r="AO1123">
        <f>IF($AK1123=1,IFERROR(IF(VALUE($C1123)&lt;100000000,VALUE($C1123),1000000000),IFERROR(IF(VALUE(MID($C1123,2,20))&lt;100000000,VALUE(MID($C1123,2,20)),1000000000),1000000000))+ROW()/100000,"")</f>
        <v/>
      </c>
    </row>
    <row r="1124">
      <c r="F1124" s="11" t="n"/>
      <c r="N1124" s="7">
        <f>IF($C1124="","",M1124*U1124/100)</f>
        <v/>
      </c>
      <c r="T1124" s="7" t="n"/>
      <c r="U1124" s="7" t="n"/>
      <c r="V1124" s="7">
        <f>IF($C1124="","",U1124*AA1124/100)</f>
        <v/>
      </c>
      <c r="W1124" s="7">
        <f>IF($C1124="","",U1124-V1124)</f>
        <v/>
      </c>
      <c r="X1124" s="7">
        <f>IF($C1124="","",W1124-N1124)</f>
        <v/>
      </c>
      <c r="AA1124">
        <f>IF($C1124="","",IF($AN1124=1,0,IF($AM1124=1,Settings!$C$6,Settings!$C$7))*100)</f>
        <v/>
      </c>
      <c r="AE1124" s="7" t="n"/>
      <c r="AH1124" s="11" t="n"/>
      <c r="AJ1124">
        <f>IF($C1124="","",$C1124&amp;"|"&amp;$D1124&amp;"")</f>
        <v/>
      </c>
      <c r="AK1124">
        <f>IF($C1124="","",IF(COUNTIF($AJ$2:$AJ1124,$AJ1124)=1,1,0))</f>
        <v/>
      </c>
      <c r="AL1124">
        <f>IF($AK1124=1,SUMPRODUCT(--($AO$2:$AO$1501&lt;$AO1124))+1,"")</f>
        <v/>
      </c>
      <c r="AM1124">
        <f>IF($C1124="","",IF(OR($Q1124=TRUE(),$Q1124="TRUE"),1,0))</f>
        <v/>
      </c>
      <c r="AN1124">
        <f>IF($C1124="","",IF($Z1124="Yes",1,0))</f>
        <v/>
      </c>
      <c r="AO1124">
        <f>IF($AK1124=1,IFERROR(IF(VALUE($C1124)&lt;100000000,VALUE($C1124),1000000000),IFERROR(IF(VALUE(MID($C1124,2,20))&lt;100000000,VALUE(MID($C1124,2,20)),1000000000),1000000000))+ROW()/100000,"")</f>
        <v/>
      </c>
    </row>
    <row r="1125">
      <c r="F1125" s="11" t="n"/>
      <c r="N1125" s="7">
        <f>IF($C1125="","",M1125*U1125/100)</f>
        <v/>
      </c>
      <c r="T1125" s="7" t="n"/>
      <c r="U1125" s="7" t="n"/>
      <c r="V1125" s="7">
        <f>IF($C1125="","",U1125*AA1125/100)</f>
        <v/>
      </c>
      <c r="W1125" s="7">
        <f>IF($C1125="","",U1125-V1125)</f>
        <v/>
      </c>
      <c r="X1125" s="7">
        <f>IF($C1125="","",W1125-N1125)</f>
        <v/>
      </c>
      <c r="AA1125">
        <f>IF($C1125="","",IF($AN1125=1,0,IF($AM1125=1,Settings!$C$6,Settings!$C$7))*100)</f>
        <v/>
      </c>
      <c r="AE1125" s="7" t="n"/>
      <c r="AH1125" s="11" t="n"/>
      <c r="AJ1125">
        <f>IF($C1125="","",$C1125&amp;"|"&amp;$D1125&amp;"")</f>
        <v/>
      </c>
      <c r="AK1125">
        <f>IF($C1125="","",IF(COUNTIF($AJ$2:$AJ1125,$AJ1125)=1,1,0))</f>
        <v/>
      </c>
      <c r="AL1125">
        <f>IF($AK1125=1,SUMPRODUCT(--($AO$2:$AO$1501&lt;$AO1125))+1,"")</f>
        <v/>
      </c>
      <c r="AM1125">
        <f>IF($C1125="","",IF(OR($Q1125=TRUE(),$Q1125="TRUE"),1,0))</f>
        <v/>
      </c>
      <c r="AN1125">
        <f>IF($C1125="","",IF($Z1125="Yes",1,0))</f>
        <v/>
      </c>
      <c r="AO1125">
        <f>IF($AK1125=1,IFERROR(IF(VALUE($C1125)&lt;100000000,VALUE($C1125),1000000000),IFERROR(IF(VALUE(MID($C1125,2,20))&lt;100000000,VALUE(MID($C1125,2,20)),1000000000),1000000000))+ROW()/100000,"")</f>
        <v/>
      </c>
    </row>
    <row r="1126">
      <c r="F1126" s="11" t="n"/>
      <c r="N1126" s="7">
        <f>IF($C1126="","",M1126*U1126/100)</f>
        <v/>
      </c>
      <c r="T1126" s="7" t="n"/>
      <c r="U1126" s="7" t="n"/>
      <c r="V1126" s="7">
        <f>IF($C1126="","",U1126*AA1126/100)</f>
        <v/>
      </c>
      <c r="W1126" s="7">
        <f>IF($C1126="","",U1126-V1126)</f>
        <v/>
      </c>
      <c r="X1126" s="7">
        <f>IF($C1126="","",W1126-N1126)</f>
        <v/>
      </c>
      <c r="AA1126">
        <f>IF($C1126="","",IF($AN1126=1,0,IF($AM1126=1,Settings!$C$6,Settings!$C$7))*100)</f>
        <v/>
      </c>
      <c r="AE1126" s="7" t="n"/>
      <c r="AH1126" s="11" t="n"/>
      <c r="AJ1126">
        <f>IF($C1126="","",$C1126&amp;"|"&amp;$D1126&amp;"")</f>
        <v/>
      </c>
      <c r="AK1126">
        <f>IF($C1126="","",IF(COUNTIF($AJ$2:$AJ1126,$AJ1126)=1,1,0))</f>
        <v/>
      </c>
      <c r="AL1126">
        <f>IF($AK1126=1,SUMPRODUCT(--($AO$2:$AO$1501&lt;$AO1126))+1,"")</f>
        <v/>
      </c>
      <c r="AM1126">
        <f>IF($C1126="","",IF(OR($Q1126=TRUE(),$Q1126="TRUE"),1,0))</f>
        <v/>
      </c>
      <c r="AN1126">
        <f>IF($C1126="","",IF($Z1126="Yes",1,0))</f>
        <v/>
      </c>
      <c r="AO1126">
        <f>IF($AK1126=1,IFERROR(IF(VALUE($C1126)&lt;100000000,VALUE($C1126),1000000000),IFERROR(IF(VALUE(MID($C1126,2,20))&lt;100000000,VALUE(MID($C1126,2,20)),1000000000),1000000000))+ROW()/100000,"")</f>
        <v/>
      </c>
    </row>
    <row r="1127">
      <c r="F1127" s="11" t="n"/>
      <c r="N1127" s="7">
        <f>IF($C1127="","",M1127*U1127/100)</f>
        <v/>
      </c>
      <c r="T1127" s="7" t="n"/>
      <c r="U1127" s="7" t="n"/>
      <c r="V1127" s="7">
        <f>IF($C1127="","",U1127*AA1127/100)</f>
        <v/>
      </c>
      <c r="W1127" s="7">
        <f>IF($C1127="","",U1127-V1127)</f>
        <v/>
      </c>
      <c r="X1127" s="7">
        <f>IF($C1127="","",W1127-N1127)</f>
        <v/>
      </c>
      <c r="AA1127">
        <f>IF($C1127="","",IF($AN1127=1,0,IF($AM1127=1,Settings!$C$6,Settings!$C$7))*100)</f>
        <v/>
      </c>
      <c r="AE1127" s="7" t="n"/>
      <c r="AH1127" s="11" t="n"/>
      <c r="AJ1127">
        <f>IF($C1127="","",$C1127&amp;"|"&amp;$D1127&amp;"")</f>
        <v/>
      </c>
      <c r="AK1127">
        <f>IF($C1127="","",IF(COUNTIF($AJ$2:$AJ1127,$AJ1127)=1,1,0))</f>
        <v/>
      </c>
      <c r="AL1127">
        <f>IF($AK1127=1,SUMPRODUCT(--($AO$2:$AO$1501&lt;$AO1127))+1,"")</f>
        <v/>
      </c>
      <c r="AM1127">
        <f>IF($C1127="","",IF(OR($Q1127=TRUE(),$Q1127="TRUE"),1,0))</f>
        <v/>
      </c>
      <c r="AN1127">
        <f>IF($C1127="","",IF($Z1127="Yes",1,0))</f>
        <v/>
      </c>
      <c r="AO1127">
        <f>IF($AK1127=1,IFERROR(IF(VALUE($C1127)&lt;100000000,VALUE($C1127),1000000000),IFERROR(IF(VALUE(MID($C1127,2,20))&lt;100000000,VALUE(MID($C1127,2,20)),1000000000),1000000000))+ROW()/100000,"")</f>
        <v/>
      </c>
    </row>
    <row r="1128">
      <c r="F1128" s="11" t="n"/>
      <c r="N1128" s="7">
        <f>IF($C1128="","",M1128*U1128/100)</f>
        <v/>
      </c>
      <c r="T1128" s="7" t="n"/>
      <c r="U1128" s="7" t="n"/>
      <c r="V1128" s="7">
        <f>IF($C1128="","",U1128*AA1128/100)</f>
        <v/>
      </c>
      <c r="W1128" s="7">
        <f>IF($C1128="","",U1128-V1128)</f>
        <v/>
      </c>
      <c r="X1128" s="7">
        <f>IF($C1128="","",W1128-N1128)</f>
        <v/>
      </c>
      <c r="AA1128">
        <f>IF($C1128="","",IF($AN1128=1,0,IF($AM1128=1,Settings!$C$6,Settings!$C$7))*100)</f>
        <v/>
      </c>
      <c r="AE1128" s="7" t="n"/>
      <c r="AH1128" s="11" t="n"/>
      <c r="AJ1128">
        <f>IF($C1128="","",$C1128&amp;"|"&amp;$D1128&amp;"")</f>
        <v/>
      </c>
      <c r="AK1128">
        <f>IF($C1128="","",IF(COUNTIF($AJ$2:$AJ1128,$AJ1128)=1,1,0))</f>
        <v/>
      </c>
      <c r="AL1128">
        <f>IF($AK1128=1,SUMPRODUCT(--($AO$2:$AO$1501&lt;$AO1128))+1,"")</f>
        <v/>
      </c>
      <c r="AM1128">
        <f>IF($C1128="","",IF(OR($Q1128=TRUE(),$Q1128="TRUE"),1,0))</f>
        <v/>
      </c>
      <c r="AN1128">
        <f>IF($C1128="","",IF($Z1128="Yes",1,0))</f>
        <v/>
      </c>
      <c r="AO1128">
        <f>IF($AK1128=1,IFERROR(IF(VALUE($C1128)&lt;100000000,VALUE($C1128),1000000000),IFERROR(IF(VALUE(MID($C1128,2,20))&lt;100000000,VALUE(MID($C1128,2,20)),1000000000),1000000000))+ROW()/100000,"")</f>
        <v/>
      </c>
    </row>
    <row r="1129">
      <c r="F1129" s="11" t="n"/>
      <c r="N1129" s="7">
        <f>IF($C1129="","",M1129*U1129/100)</f>
        <v/>
      </c>
      <c r="T1129" s="7" t="n"/>
      <c r="U1129" s="7" t="n"/>
      <c r="V1129" s="7">
        <f>IF($C1129="","",U1129*AA1129/100)</f>
        <v/>
      </c>
      <c r="W1129" s="7">
        <f>IF($C1129="","",U1129-V1129)</f>
        <v/>
      </c>
      <c r="X1129" s="7">
        <f>IF($C1129="","",W1129-N1129)</f>
        <v/>
      </c>
      <c r="AA1129">
        <f>IF($C1129="","",IF($AN1129=1,0,IF($AM1129=1,Settings!$C$6,Settings!$C$7))*100)</f>
        <v/>
      </c>
      <c r="AE1129" s="7" t="n"/>
      <c r="AH1129" s="11" t="n"/>
      <c r="AJ1129">
        <f>IF($C1129="","",$C1129&amp;"|"&amp;$D1129&amp;"")</f>
        <v/>
      </c>
      <c r="AK1129">
        <f>IF($C1129="","",IF(COUNTIF($AJ$2:$AJ1129,$AJ1129)=1,1,0))</f>
        <v/>
      </c>
      <c r="AL1129">
        <f>IF($AK1129=1,SUMPRODUCT(--($AO$2:$AO$1501&lt;$AO1129))+1,"")</f>
        <v/>
      </c>
      <c r="AM1129">
        <f>IF($C1129="","",IF(OR($Q1129=TRUE(),$Q1129="TRUE"),1,0))</f>
        <v/>
      </c>
      <c r="AN1129">
        <f>IF($C1129="","",IF($Z1129="Yes",1,0))</f>
        <v/>
      </c>
      <c r="AO1129">
        <f>IF($AK1129=1,IFERROR(IF(VALUE($C1129)&lt;100000000,VALUE($C1129),1000000000),IFERROR(IF(VALUE(MID($C1129,2,20))&lt;100000000,VALUE(MID($C1129,2,20)),1000000000),1000000000))+ROW()/100000,"")</f>
        <v/>
      </c>
    </row>
    <row r="1130">
      <c r="F1130" s="11" t="n"/>
      <c r="N1130" s="7">
        <f>IF($C1130="","",M1130*U1130/100)</f>
        <v/>
      </c>
      <c r="T1130" s="7" t="n"/>
      <c r="U1130" s="7" t="n"/>
      <c r="V1130" s="7">
        <f>IF($C1130="","",U1130*AA1130/100)</f>
        <v/>
      </c>
      <c r="W1130" s="7">
        <f>IF($C1130="","",U1130-V1130)</f>
        <v/>
      </c>
      <c r="X1130" s="7">
        <f>IF($C1130="","",W1130-N1130)</f>
        <v/>
      </c>
      <c r="AA1130">
        <f>IF($C1130="","",IF($AN1130=1,0,IF($AM1130=1,Settings!$C$6,Settings!$C$7))*100)</f>
        <v/>
      </c>
      <c r="AE1130" s="7" t="n"/>
      <c r="AH1130" s="11" t="n"/>
      <c r="AJ1130">
        <f>IF($C1130="","",$C1130&amp;"|"&amp;$D1130&amp;"")</f>
        <v/>
      </c>
      <c r="AK1130">
        <f>IF($C1130="","",IF(COUNTIF($AJ$2:$AJ1130,$AJ1130)=1,1,0))</f>
        <v/>
      </c>
      <c r="AL1130">
        <f>IF($AK1130=1,SUMPRODUCT(--($AO$2:$AO$1501&lt;$AO1130))+1,"")</f>
        <v/>
      </c>
      <c r="AM1130">
        <f>IF($C1130="","",IF(OR($Q1130=TRUE(),$Q1130="TRUE"),1,0))</f>
        <v/>
      </c>
      <c r="AN1130">
        <f>IF($C1130="","",IF($Z1130="Yes",1,0))</f>
        <v/>
      </c>
      <c r="AO1130">
        <f>IF($AK1130=1,IFERROR(IF(VALUE($C1130)&lt;100000000,VALUE($C1130),1000000000),IFERROR(IF(VALUE(MID($C1130,2,20))&lt;100000000,VALUE(MID($C1130,2,20)),1000000000),1000000000))+ROW()/100000,"")</f>
        <v/>
      </c>
    </row>
    <row r="1131">
      <c r="F1131" s="11" t="n"/>
      <c r="N1131" s="7">
        <f>IF($C1131="","",M1131*U1131/100)</f>
        <v/>
      </c>
      <c r="T1131" s="7" t="n"/>
      <c r="U1131" s="7" t="n"/>
      <c r="V1131" s="7">
        <f>IF($C1131="","",U1131*AA1131/100)</f>
        <v/>
      </c>
      <c r="W1131" s="7">
        <f>IF($C1131="","",U1131-V1131)</f>
        <v/>
      </c>
      <c r="X1131" s="7">
        <f>IF($C1131="","",W1131-N1131)</f>
        <v/>
      </c>
      <c r="AA1131">
        <f>IF($C1131="","",IF($AN1131=1,0,IF($AM1131=1,Settings!$C$6,Settings!$C$7))*100)</f>
        <v/>
      </c>
      <c r="AE1131" s="7" t="n"/>
      <c r="AH1131" s="11" t="n"/>
      <c r="AJ1131">
        <f>IF($C1131="","",$C1131&amp;"|"&amp;$D1131&amp;"")</f>
        <v/>
      </c>
      <c r="AK1131">
        <f>IF($C1131="","",IF(COUNTIF($AJ$2:$AJ1131,$AJ1131)=1,1,0))</f>
        <v/>
      </c>
      <c r="AL1131">
        <f>IF($AK1131=1,SUMPRODUCT(--($AO$2:$AO$1501&lt;$AO1131))+1,"")</f>
        <v/>
      </c>
      <c r="AM1131">
        <f>IF($C1131="","",IF(OR($Q1131=TRUE(),$Q1131="TRUE"),1,0))</f>
        <v/>
      </c>
      <c r="AN1131">
        <f>IF($C1131="","",IF($Z1131="Yes",1,0))</f>
        <v/>
      </c>
      <c r="AO1131">
        <f>IF($AK1131=1,IFERROR(IF(VALUE($C1131)&lt;100000000,VALUE($C1131),1000000000),IFERROR(IF(VALUE(MID($C1131,2,20))&lt;100000000,VALUE(MID($C1131,2,20)),1000000000),1000000000))+ROW()/100000,"")</f>
        <v/>
      </c>
    </row>
    <row r="1132">
      <c r="F1132" s="11" t="n"/>
      <c r="N1132" s="7">
        <f>IF($C1132="","",M1132*U1132/100)</f>
        <v/>
      </c>
      <c r="T1132" s="7" t="n"/>
      <c r="U1132" s="7" t="n"/>
      <c r="V1132" s="7">
        <f>IF($C1132="","",U1132*AA1132/100)</f>
        <v/>
      </c>
      <c r="W1132" s="7">
        <f>IF($C1132="","",U1132-V1132)</f>
        <v/>
      </c>
      <c r="X1132" s="7">
        <f>IF($C1132="","",W1132-N1132)</f>
        <v/>
      </c>
      <c r="AA1132">
        <f>IF($C1132="","",IF($AN1132=1,0,IF($AM1132=1,Settings!$C$6,Settings!$C$7))*100)</f>
        <v/>
      </c>
      <c r="AE1132" s="7" t="n"/>
      <c r="AH1132" s="11" t="n"/>
      <c r="AJ1132">
        <f>IF($C1132="","",$C1132&amp;"|"&amp;$D1132&amp;"")</f>
        <v/>
      </c>
      <c r="AK1132">
        <f>IF($C1132="","",IF(COUNTIF($AJ$2:$AJ1132,$AJ1132)=1,1,0))</f>
        <v/>
      </c>
      <c r="AL1132">
        <f>IF($AK1132=1,SUMPRODUCT(--($AO$2:$AO$1501&lt;$AO1132))+1,"")</f>
        <v/>
      </c>
      <c r="AM1132">
        <f>IF($C1132="","",IF(OR($Q1132=TRUE(),$Q1132="TRUE"),1,0))</f>
        <v/>
      </c>
      <c r="AN1132">
        <f>IF($C1132="","",IF($Z1132="Yes",1,0))</f>
        <v/>
      </c>
      <c r="AO1132">
        <f>IF($AK1132=1,IFERROR(IF(VALUE($C1132)&lt;100000000,VALUE($C1132),1000000000),IFERROR(IF(VALUE(MID($C1132,2,20))&lt;100000000,VALUE(MID($C1132,2,20)),1000000000),1000000000))+ROW()/100000,"")</f>
        <v/>
      </c>
    </row>
    <row r="1133">
      <c r="F1133" s="11" t="n"/>
      <c r="N1133" s="7">
        <f>IF($C1133="","",M1133*U1133/100)</f>
        <v/>
      </c>
      <c r="T1133" s="7" t="n"/>
      <c r="U1133" s="7" t="n"/>
      <c r="V1133" s="7">
        <f>IF($C1133="","",U1133*AA1133/100)</f>
        <v/>
      </c>
      <c r="W1133" s="7">
        <f>IF($C1133="","",U1133-V1133)</f>
        <v/>
      </c>
      <c r="X1133" s="7">
        <f>IF($C1133="","",W1133-N1133)</f>
        <v/>
      </c>
      <c r="AA1133">
        <f>IF($C1133="","",IF($AN1133=1,0,IF($AM1133=1,Settings!$C$6,Settings!$C$7))*100)</f>
        <v/>
      </c>
      <c r="AE1133" s="7" t="n"/>
      <c r="AH1133" s="11" t="n"/>
      <c r="AJ1133">
        <f>IF($C1133="","",$C1133&amp;"|"&amp;$D1133&amp;"")</f>
        <v/>
      </c>
      <c r="AK1133">
        <f>IF($C1133="","",IF(COUNTIF($AJ$2:$AJ1133,$AJ1133)=1,1,0))</f>
        <v/>
      </c>
      <c r="AL1133">
        <f>IF($AK1133=1,SUMPRODUCT(--($AO$2:$AO$1501&lt;$AO1133))+1,"")</f>
        <v/>
      </c>
      <c r="AM1133">
        <f>IF($C1133="","",IF(OR($Q1133=TRUE(),$Q1133="TRUE"),1,0))</f>
        <v/>
      </c>
      <c r="AN1133">
        <f>IF($C1133="","",IF($Z1133="Yes",1,0))</f>
        <v/>
      </c>
      <c r="AO1133">
        <f>IF($AK1133=1,IFERROR(IF(VALUE($C1133)&lt;100000000,VALUE($C1133),1000000000),IFERROR(IF(VALUE(MID($C1133,2,20))&lt;100000000,VALUE(MID($C1133,2,20)),1000000000),1000000000))+ROW()/100000,"")</f>
        <v/>
      </c>
    </row>
    <row r="1134">
      <c r="F1134" s="11" t="n"/>
      <c r="N1134" s="7">
        <f>IF($C1134="","",M1134*U1134/100)</f>
        <v/>
      </c>
      <c r="T1134" s="7" t="n"/>
      <c r="U1134" s="7" t="n"/>
      <c r="V1134" s="7">
        <f>IF($C1134="","",U1134*AA1134/100)</f>
        <v/>
      </c>
      <c r="W1134" s="7">
        <f>IF($C1134="","",U1134-V1134)</f>
        <v/>
      </c>
      <c r="X1134" s="7">
        <f>IF($C1134="","",W1134-N1134)</f>
        <v/>
      </c>
      <c r="AA1134">
        <f>IF($C1134="","",IF($AN1134=1,0,IF($AM1134=1,Settings!$C$6,Settings!$C$7))*100)</f>
        <v/>
      </c>
      <c r="AE1134" s="7" t="n"/>
      <c r="AH1134" s="11" t="n"/>
      <c r="AJ1134">
        <f>IF($C1134="","",$C1134&amp;"|"&amp;$D1134&amp;"")</f>
        <v/>
      </c>
      <c r="AK1134">
        <f>IF($C1134="","",IF(COUNTIF($AJ$2:$AJ1134,$AJ1134)=1,1,0))</f>
        <v/>
      </c>
      <c r="AL1134">
        <f>IF($AK1134=1,SUMPRODUCT(--($AO$2:$AO$1501&lt;$AO1134))+1,"")</f>
        <v/>
      </c>
      <c r="AM1134">
        <f>IF($C1134="","",IF(OR($Q1134=TRUE(),$Q1134="TRUE"),1,0))</f>
        <v/>
      </c>
      <c r="AN1134">
        <f>IF($C1134="","",IF($Z1134="Yes",1,0))</f>
        <v/>
      </c>
      <c r="AO1134">
        <f>IF($AK1134=1,IFERROR(IF(VALUE($C1134)&lt;100000000,VALUE($C1134),1000000000),IFERROR(IF(VALUE(MID($C1134,2,20))&lt;100000000,VALUE(MID($C1134,2,20)),1000000000),1000000000))+ROW()/100000,"")</f>
        <v/>
      </c>
    </row>
    <row r="1135">
      <c r="F1135" s="11" t="n"/>
      <c r="N1135" s="7">
        <f>IF($C1135="","",M1135*U1135/100)</f>
        <v/>
      </c>
      <c r="T1135" s="7" t="n"/>
      <c r="U1135" s="7" t="n"/>
      <c r="V1135" s="7">
        <f>IF($C1135="","",U1135*AA1135/100)</f>
        <v/>
      </c>
      <c r="W1135" s="7">
        <f>IF($C1135="","",U1135-V1135)</f>
        <v/>
      </c>
      <c r="X1135" s="7">
        <f>IF($C1135="","",W1135-N1135)</f>
        <v/>
      </c>
      <c r="AA1135">
        <f>IF($C1135="","",IF($AN1135=1,0,IF($AM1135=1,Settings!$C$6,Settings!$C$7))*100)</f>
        <v/>
      </c>
      <c r="AE1135" s="7" t="n"/>
      <c r="AH1135" s="11" t="n"/>
      <c r="AJ1135">
        <f>IF($C1135="","",$C1135&amp;"|"&amp;$D1135&amp;"")</f>
        <v/>
      </c>
      <c r="AK1135">
        <f>IF($C1135="","",IF(COUNTIF($AJ$2:$AJ1135,$AJ1135)=1,1,0))</f>
        <v/>
      </c>
      <c r="AL1135">
        <f>IF($AK1135=1,SUMPRODUCT(--($AO$2:$AO$1501&lt;$AO1135))+1,"")</f>
        <v/>
      </c>
      <c r="AM1135">
        <f>IF($C1135="","",IF(OR($Q1135=TRUE(),$Q1135="TRUE"),1,0))</f>
        <v/>
      </c>
      <c r="AN1135">
        <f>IF($C1135="","",IF($Z1135="Yes",1,0))</f>
        <v/>
      </c>
      <c r="AO1135">
        <f>IF($AK1135=1,IFERROR(IF(VALUE($C1135)&lt;100000000,VALUE($C1135),1000000000),IFERROR(IF(VALUE(MID($C1135,2,20))&lt;100000000,VALUE(MID($C1135,2,20)),1000000000),1000000000))+ROW()/100000,"")</f>
        <v/>
      </c>
    </row>
    <row r="1136">
      <c r="F1136" s="11" t="n"/>
      <c r="N1136" s="7">
        <f>IF($C1136="","",M1136*U1136/100)</f>
        <v/>
      </c>
      <c r="T1136" s="7" t="n"/>
      <c r="U1136" s="7" t="n"/>
      <c r="V1136" s="7">
        <f>IF($C1136="","",U1136*AA1136/100)</f>
        <v/>
      </c>
      <c r="W1136" s="7">
        <f>IF($C1136="","",U1136-V1136)</f>
        <v/>
      </c>
      <c r="X1136" s="7">
        <f>IF($C1136="","",W1136-N1136)</f>
        <v/>
      </c>
      <c r="AA1136">
        <f>IF($C1136="","",IF($AN1136=1,0,IF($AM1136=1,Settings!$C$6,Settings!$C$7))*100)</f>
        <v/>
      </c>
      <c r="AE1136" s="7" t="n"/>
      <c r="AH1136" s="11" t="n"/>
      <c r="AJ1136">
        <f>IF($C1136="","",$C1136&amp;"|"&amp;$D1136&amp;"")</f>
        <v/>
      </c>
      <c r="AK1136">
        <f>IF($C1136="","",IF(COUNTIF($AJ$2:$AJ1136,$AJ1136)=1,1,0))</f>
        <v/>
      </c>
      <c r="AL1136">
        <f>IF($AK1136=1,SUMPRODUCT(--($AO$2:$AO$1501&lt;$AO1136))+1,"")</f>
        <v/>
      </c>
      <c r="AM1136">
        <f>IF($C1136="","",IF(OR($Q1136=TRUE(),$Q1136="TRUE"),1,0))</f>
        <v/>
      </c>
      <c r="AN1136">
        <f>IF($C1136="","",IF($Z1136="Yes",1,0))</f>
        <v/>
      </c>
      <c r="AO1136">
        <f>IF($AK1136=1,IFERROR(IF(VALUE($C1136)&lt;100000000,VALUE($C1136),1000000000),IFERROR(IF(VALUE(MID($C1136,2,20))&lt;100000000,VALUE(MID($C1136,2,20)),1000000000),1000000000))+ROW()/100000,"")</f>
        <v/>
      </c>
    </row>
    <row r="1137">
      <c r="F1137" s="11" t="n"/>
      <c r="N1137" s="7">
        <f>IF($C1137="","",M1137*U1137/100)</f>
        <v/>
      </c>
      <c r="T1137" s="7" t="n"/>
      <c r="U1137" s="7" t="n"/>
      <c r="V1137" s="7">
        <f>IF($C1137="","",U1137*AA1137/100)</f>
        <v/>
      </c>
      <c r="W1137" s="7">
        <f>IF($C1137="","",U1137-V1137)</f>
        <v/>
      </c>
      <c r="X1137" s="7">
        <f>IF($C1137="","",W1137-N1137)</f>
        <v/>
      </c>
      <c r="AA1137">
        <f>IF($C1137="","",IF($AN1137=1,0,IF($AM1137=1,Settings!$C$6,Settings!$C$7))*100)</f>
        <v/>
      </c>
      <c r="AE1137" s="7" t="n"/>
      <c r="AH1137" s="11" t="n"/>
      <c r="AJ1137">
        <f>IF($C1137="","",$C1137&amp;"|"&amp;$D1137&amp;"")</f>
        <v/>
      </c>
      <c r="AK1137">
        <f>IF($C1137="","",IF(COUNTIF($AJ$2:$AJ1137,$AJ1137)=1,1,0))</f>
        <v/>
      </c>
      <c r="AL1137">
        <f>IF($AK1137=1,SUMPRODUCT(--($AO$2:$AO$1501&lt;$AO1137))+1,"")</f>
        <v/>
      </c>
      <c r="AM1137">
        <f>IF($C1137="","",IF(OR($Q1137=TRUE(),$Q1137="TRUE"),1,0))</f>
        <v/>
      </c>
      <c r="AN1137">
        <f>IF($C1137="","",IF($Z1137="Yes",1,0))</f>
        <v/>
      </c>
      <c r="AO1137">
        <f>IF($AK1137=1,IFERROR(IF(VALUE($C1137)&lt;100000000,VALUE($C1137),1000000000),IFERROR(IF(VALUE(MID($C1137,2,20))&lt;100000000,VALUE(MID($C1137,2,20)),1000000000),1000000000))+ROW()/100000,"")</f>
        <v/>
      </c>
    </row>
    <row r="1138">
      <c r="F1138" s="11" t="n"/>
      <c r="N1138" s="7">
        <f>IF($C1138="","",M1138*U1138/100)</f>
        <v/>
      </c>
      <c r="T1138" s="7" t="n"/>
      <c r="U1138" s="7" t="n"/>
      <c r="V1138" s="7">
        <f>IF($C1138="","",U1138*AA1138/100)</f>
        <v/>
      </c>
      <c r="W1138" s="7">
        <f>IF($C1138="","",U1138-V1138)</f>
        <v/>
      </c>
      <c r="X1138" s="7">
        <f>IF($C1138="","",W1138-N1138)</f>
        <v/>
      </c>
      <c r="AA1138">
        <f>IF($C1138="","",IF($AN1138=1,0,IF($AM1138=1,Settings!$C$6,Settings!$C$7))*100)</f>
        <v/>
      </c>
      <c r="AE1138" s="7" t="n"/>
      <c r="AH1138" s="11" t="n"/>
      <c r="AJ1138">
        <f>IF($C1138="","",$C1138&amp;"|"&amp;$D1138&amp;"")</f>
        <v/>
      </c>
      <c r="AK1138">
        <f>IF($C1138="","",IF(COUNTIF($AJ$2:$AJ1138,$AJ1138)=1,1,0))</f>
        <v/>
      </c>
      <c r="AL1138">
        <f>IF($AK1138=1,SUMPRODUCT(--($AO$2:$AO$1501&lt;$AO1138))+1,"")</f>
        <v/>
      </c>
      <c r="AM1138">
        <f>IF($C1138="","",IF(OR($Q1138=TRUE(),$Q1138="TRUE"),1,0))</f>
        <v/>
      </c>
      <c r="AN1138">
        <f>IF($C1138="","",IF($Z1138="Yes",1,0))</f>
        <v/>
      </c>
      <c r="AO1138">
        <f>IF($AK1138=1,IFERROR(IF(VALUE($C1138)&lt;100000000,VALUE($C1138),1000000000),IFERROR(IF(VALUE(MID($C1138,2,20))&lt;100000000,VALUE(MID($C1138,2,20)),1000000000),1000000000))+ROW()/100000,"")</f>
        <v/>
      </c>
    </row>
    <row r="1139">
      <c r="F1139" s="11" t="n"/>
      <c r="N1139" s="7">
        <f>IF($C1139="","",M1139*U1139/100)</f>
        <v/>
      </c>
      <c r="T1139" s="7" t="n"/>
      <c r="U1139" s="7" t="n"/>
      <c r="V1139" s="7">
        <f>IF($C1139="","",U1139*AA1139/100)</f>
        <v/>
      </c>
      <c r="W1139" s="7">
        <f>IF($C1139="","",U1139-V1139)</f>
        <v/>
      </c>
      <c r="X1139" s="7">
        <f>IF($C1139="","",W1139-N1139)</f>
        <v/>
      </c>
      <c r="AA1139">
        <f>IF($C1139="","",IF($AN1139=1,0,IF($AM1139=1,Settings!$C$6,Settings!$C$7))*100)</f>
        <v/>
      </c>
      <c r="AE1139" s="7" t="n"/>
      <c r="AH1139" s="11" t="n"/>
      <c r="AJ1139">
        <f>IF($C1139="","",$C1139&amp;"|"&amp;$D1139&amp;"")</f>
        <v/>
      </c>
      <c r="AK1139">
        <f>IF($C1139="","",IF(COUNTIF($AJ$2:$AJ1139,$AJ1139)=1,1,0))</f>
        <v/>
      </c>
      <c r="AL1139">
        <f>IF($AK1139=1,SUMPRODUCT(--($AO$2:$AO$1501&lt;$AO1139))+1,"")</f>
        <v/>
      </c>
      <c r="AM1139">
        <f>IF($C1139="","",IF(OR($Q1139=TRUE(),$Q1139="TRUE"),1,0))</f>
        <v/>
      </c>
      <c r="AN1139">
        <f>IF($C1139="","",IF($Z1139="Yes",1,0))</f>
        <v/>
      </c>
      <c r="AO1139">
        <f>IF($AK1139=1,IFERROR(IF(VALUE($C1139)&lt;100000000,VALUE($C1139),1000000000),IFERROR(IF(VALUE(MID($C1139,2,20))&lt;100000000,VALUE(MID($C1139,2,20)),1000000000),1000000000))+ROW()/100000,"")</f>
        <v/>
      </c>
    </row>
    <row r="1140">
      <c r="F1140" s="11" t="n"/>
      <c r="N1140" s="7">
        <f>IF($C1140="","",M1140*U1140/100)</f>
        <v/>
      </c>
      <c r="T1140" s="7" t="n"/>
      <c r="U1140" s="7" t="n"/>
      <c r="V1140" s="7">
        <f>IF($C1140="","",U1140*AA1140/100)</f>
        <v/>
      </c>
      <c r="W1140" s="7">
        <f>IF($C1140="","",U1140-V1140)</f>
        <v/>
      </c>
      <c r="X1140" s="7">
        <f>IF($C1140="","",W1140-N1140)</f>
        <v/>
      </c>
      <c r="AA1140">
        <f>IF($C1140="","",IF($AN1140=1,0,IF($AM1140=1,Settings!$C$6,Settings!$C$7))*100)</f>
        <v/>
      </c>
      <c r="AE1140" s="7" t="n"/>
      <c r="AH1140" s="11" t="n"/>
      <c r="AJ1140">
        <f>IF($C1140="","",$C1140&amp;"|"&amp;$D1140&amp;"")</f>
        <v/>
      </c>
      <c r="AK1140">
        <f>IF($C1140="","",IF(COUNTIF($AJ$2:$AJ1140,$AJ1140)=1,1,0))</f>
        <v/>
      </c>
      <c r="AL1140">
        <f>IF($AK1140=1,SUMPRODUCT(--($AO$2:$AO$1501&lt;$AO1140))+1,"")</f>
        <v/>
      </c>
      <c r="AM1140">
        <f>IF($C1140="","",IF(OR($Q1140=TRUE(),$Q1140="TRUE"),1,0))</f>
        <v/>
      </c>
      <c r="AN1140">
        <f>IF($C1140="","",IF($Z1140="Yes",1,0))</f>
        <v/>
      </c>
      <c r="AO1140">
        <f>IF($AK1140=1,IFERROR(IF(VALUE($C1140)&lt;100000000,VALUE($C1140),1000000000),IFERROR(IF(VALUE(MID($C1140,2,20))&lt;100000000,VALUE(MID($C1140,2,20)),1000000000),1000000000))+ROW()/100000,"")</f>
        <v/>
      </c>
    </row>
    <row r="1141">
      <c r="F1141" s="11" t="n"/>
      <c r="N1141" s="7">
        <f>IF($C1141="","",M1141*U1141/100)</f>
        <v/>
      </c>
      <c r="T1141" s="7" t="n"/>
      <c r="U1141" s="7" t="n"/>
      <c r="V1141" s="7">
        <f>IF($C1141="","",U1141*AA1141/100)</f>
        <v/>
      </c>
      <c r="W1141" s="7">
        <f>IF($C1141="","",U1141-V1141)</f>
        <v/>
      </c>
      <c r="X1141" s="7">
        <f>IF($C1141="","",W1141-N1141)</f>
        <v/>
      </c>
      <c r="AA1141">
        <f>IF($C1141="","",IF($AN1141=1,0,IF($AM1141=1,Settings!$C$6,Settings!$C$7))*100)</f>
        <v/>
      </c>
      <c r="AE1141" s="7" t="n"/>
      <c r="AH1141" s="11" t="n"/>
      <c r="AJ1141">
        <f>IF($C1141="","",$C1141&amp;"|"&amp;$D1141&amp;"")</f>
        <v/>
      </c>
      <c r="AK1141">
        <f>IF($C1141="","",IF(COUNTIF($AJ$2:$AJ1141,$AJ1141)=1,1,0))</f>
        <v/>
      </c>
      <c r="AL1141">
        <f>IF($AK1141=1,SUMPRODUCT(--($AO$2:$AO$1501&lt;$AO1141))+1,"")</f>
        <v/>
      </c>
      <c r="AM1141">
        <f>IF($C1141="","",IF(OR($Q1141=TRUE(),$Q1141="TRUE"),1,0))</f>
        <v/>
      </c>
      <c r="AN1141">
        <f>IF($C1141="","",IF($Z1141="Yes",1,0))</f>
        <v/>
      </c>
      <c r="AO1141">
        <f>IF($AK1141=1,IFERROR(IF(VALUE($C1141)&lt;100000000,VALUE($C1141),1000000000),IFERROR(IF(VALUE(MID($C1141,2,20))&lt;100000000,VALUE(MID($C1141,2,20)),1000000000),1000000000))+ROW()/100000,"")</f>
        <v/>
      </c>
    </row>
    <row r="1142">
      <c r="F1142" s="11" t="n"/>
      <c r="N1142" s="7">
        <f>IF($C1142="","",M1142*U1142/100)</f>
        <v/>
      </c>
      <c r="T1142" s="7" t="n"/>
      <c r="U1142" s="7" t="n"/>
      <c r="V1142" s="7">
        <f>IF($C1142="","",U1142*AA1142/100)</f>
        <v/>
      </c>
      <c r="W1142" s="7">
        <f>IF($C1142="","",U1142-V1142)</f>
        <v/>
      </c>
      <c r="X1142" s="7">
        <f>IF($C1142="","",W1142-N1142)</f>
        <v/>
      </c>
      <c r="AA1142">
        <f>IF($C1142="","",IF($AN1142=1,0,IF($AM1142=1,Settings!$C$6,Settings!$C$7))*100)</f>
        <v/>
      </c>
      <c r="AE1142" s="7" t="n"/>
      <c r="AH1142" s="11" t="n"/>
      <c r="AJ1142">
        <f>IF($C1142="","",$C1142&amp;"|"&amp;$D1142&amp;"")</f>
        <v/>
      </c>
      <c r="AK1142">
        <f>IF($C1142="","",IF(COUNTIF($AJ$2:$AJ1142,$AJ1142)=1,1,0))</f>
        <v/>
      </c>
      <c r="AL1142">
        <f>IF($AK1142=1,SUMPRODUCT(--($AO$2:$AO$1501&lt;$AO1142))+1,"")</f>
        <v/>
      </c>
      <c r="AM1142">
        <f>IF($C1142="","",IF(OR($Q1142=TRUE(),$Q1142="TRUE"),1,0))</f>
        <v/>
      </c>
      <c r="AN1142">
        <f>IF($C1142="","",IF($Z1142="Yes",1,0))</f>
        <v/>
      </c>
      <c r="AO1142">
        <f>IF($AK1142=1,IFERROR(IF(VALUE($C1142)&lt;100000000,VALUE($C1142),1000000000),IFERROR(IF(VALUE(MID($C1142,2,20))&lt;100000000,VALUE(MID($C1142,2,20)),1000000000),1000000000))+ROW()/100000,"")</f>
        <v/>
      </c>
    </row>
    <row r="1143">
      <c r="F1143" s="11" t="n"/>
      <c r="N1143" s="7">
        <f>IF($C1143="","",M1143*U1143/100)</f>
        <v/>
      </c>
      <c r="T1143" s="7" t="n"/>
      <c r="U1143" s="7" t="n"/>
      <c r="V1143" s="7">
        <f>IF($C1143="","",U1143*AA1143/100)</f>
        <v/>
      </c>
      <c r="W1143" s="7">
        <f>IF($C1143="","",U1143-V1143)</f>
        <v/>
      </c>
      <c r="X1143" s="7">
        <f>IF($C1143="","",W1143-N1143)</f>
        <v/>
      </c>
      <c r="AA1143">
        <f>IF($C1143="","",IF($AN1143=1,0,IF($AM1143=1,Settings!$C$6,Settings!$C$7))*100)</f>
        <v/>
      </c>
      <c r="AE1143" s="7" t="n"/>
      <c r="AH1143" s="11" t="n"/>
      <c r="AJ1143">
        <f>IF($C1143="","",$C1143&amp;"|"&amp;$D1143&amp;"")</f>
        <v/>
      </c>
      <c r="AK1143">
        <f>IF($C1143="","",IF(COUNTIF($AJ$2:$AJ1143,$AJ1143)=1,1,0))</f>
        <v/>
      </c>
      <c r="AL1143">
        <f>IF($AK1143=1,SUMPRODUCT(--($AO$2:$AO$1501&lt;$AO1143))+1,"")</f>
        <v/>
      </c>
      <c r="AM1143">
        <f>IF($C1143="","",IF(OR($Q1143=TRUE(),$Q1143="TRUE"),1,0))</f>
        <v/>
      </c>
      <c r="AN1143">
        <f>IF($C1143="","",IF($Z1143="Yes",1,0))</f>
        <v/>
      </c>
      <c r="AO1143">
        <f>IF($AK1143=1,IFERROR(IF(VALUE($C1143)&lt;100000000,VALUE($C1143),1000000000),IFERROR(IF(VALUE(MID($C1143,2,20))&lt;100000000,VALUE(MID($C1143,2,20)),1000000000),1000000000))+ROW()/100000,"")</f>
        <v/>
      </c>
    </row>
    <row r="1144">
      <c r="F1144" s="11" t="n"/>
      <c r="N1144" s="7">
        <f>IF($C1144="","",M1144*U1144/100)</f>
        <v/>
      </c>
      <c r="T1144" s="7" t="n"/>
      <c r="U1144" s="7" t="n"/>
      <c r="V1144" s="7">
        <f>IF($C1144="","",U1144*AA1144/100)</f>
        <v/>
      </c>
      <c r="W1144" s="7">
        <f>IF($C1144="","",U1144-V1144)</f>
        <v/>
      </c>
      <c r="X1144" s="7">
        <f>IF($C1144="","",W1144-N1144)</f>
        <v/>
      </c>
      <c r="AA1144">
        <f>IF($C1144="","",IF($AN1144=1,0,IF($AM1144=1,Settings!$C$6,Settings!$C$7))*100)</f>
        <v/>
      </c>
      <c r="AE1144" s="7" t="n"/>
      <c r="AH1144" s="11" t="n"/>
      <c r="AJ1144">
        <f>IF($C1144="","",$C1144&amp;"|"&amp;$D1144&amp;"")</f>
        <v/>
      </c>
      <c r="AK1144">
        <f>IF($C1144="","",IF(COUNTIF($AJ$2:$AJ1144,$AJ1144)=1,1,0))</f>
        <v/>
      </c>
      <c r="AL1144">
        <f>IF($AK1144=1,SUMPRODUCT(--($AO$2:$AO$1501&lt;$AO1144))+1,"")</f>
        <v/>
      </c>
      <c r="AM1144">
        <f>IF($C1144="","",IF(OR($Q1144=TRUE(),$Q1144="TRUE"),1,0))</f>
        <v/>
      </c>
      <c r="AN1144">
        <f>IF($C1144="","",IF($Z1144="Yes",1,0))</f>
        <v/>
      </c>
      <c r="AO1144">
        <f>IF($AK1144=1,IFERROR(IF(VALUE($C1144)&lt;100000000,VALUE($C1144),1000000000),IFERROR(IF(VALUE(MID($C1144,2,20))&lt;100000000,VALUE(MID($C1144,2,20)),1000000000),1000000000))+ROW()/100000,"")</f>
        <v/>
      </c>
    </row>
    <row r="1145">
      <c r="F1145" s="11" t="n"/>
      <c r="N1145" s="7">
        <f>IF($C1145="","",M1145*U1145/100)</f>
        <v/>
      </c>
      <c r="T1145" s="7" t="n"/>
      <c r="U1145" s="7" t="n"/>
      <c r="V1145" s="7">
        <f>IF($C1145="","",U1145*AA1145/100)</f>
        <v/>
      </c>
      <c r="W1145" s="7">
        <f>IF($C1145="","",U1145-V1145)</f>
        <v/>
      </c>
      <c r="X1145" s="7">
        <f>IF($C1145="","",W1145-N1145)</f>
        <v/>
      </c>
      <c r="AA1145">
        <f>IF($C1145="","",IF($AN1145=1,0,IF($AM1145=1,Settings!$C$6,Settings!$C$7))*100)</f>
        <v/>
      </c>
      <c r="AE1145" s="7" t="n"/>
      <c r="AH1145" s="11" t="n"/>
      <c r="AJ1145">
        <f>IF($C1145="","",$C1145&amp;"|"&amp;$D1145&amp;"")</f>
        <v/>
      </c>
      <c r="AK1145">
        <f>IF($C1145="","",IF(COUNTIF($AJ$2:$AJ1145,$AJ1145)=1,1,0))</f>
        <v/>
      </c>
      <c r="AL1145">
        <f>IF($AK1145=1,SUMPRODUCT(--($AO$2:$AO$1501&lt;$AO1145))+1,"")</f>
        <v/>
      </c>
      <c r="AM1145">
        <f>IF($C1145="","",IF(OR($Q1145=TRUE(),$Q1145="TRUE"),1,0))</f>
        <v/>
      </c>
      <c r="AN1145">
        <f>IF($C1145="","",IF($Z1145="Yes",1,0))</f>
        <v/>
      </c>
      <c r="AO1145">
        <f>IF($AK1145=1,IFERROR(IF(VALUE($C1145)&lt;100000000,VALUE($C1145),1000000000),IFERROR(IF(VALUE(MID($C1145,2,20))&lt;100000000,VALUE(MID($C1145,2,20)),1000000000),1000000000))+ROW()/100000,"")</f>
        <v/>
      </c>
    </row>
    <row r="1146">
      <c r="F1146" s="11" t="n"/>
      <c r="N1146" s="7">
        <f>IF($C1146="","",M1146*U1146/100)</f>
        <v/>
      </c>
      <c r="T1146" s="7" t="n"/>
      <c r="U1146" s="7" t="n"/>
      <c r="V1146" s="7">
        <f>IF($C1146="","",U1146*AA1146/100)</f>
        <v/>
      </c>
      <c r="W1146" s="7">
        <f>IF($C1146="","",U1146-V1146)</f>
        <v/>
      </c>
      <c r="X1146" s="7">
        <f>IF($C1146="","",W1146-N1146)</f>
        <v/>
      </c>
      <c r="AA1146">
        <f>IF($C1146="","",IF($AN1146=1,0,IF($AM1146=1,Settings!$C$6,Settings!$C$7))*100)</f>
        <v/>
      </c>
      <c r="AE1146" s="7" t="n"/>
      <c r="AH1146" s="11" t="n"/>
      <c r="AJ1146">
        <f>IF($C1146="","",$C1146&amp;"|"&amp;$D1146&amp;"")</f>
        <v/>
      </c>
      <c r="AK1146">
        <f>IF($C1146="","",IF(COUNTIF($AJ$2:$AJ1146,$AJ1146)=1,1,0))</f>
        <v/>
      </c>
      <c r="AL1146">
        <f>IF($AK1146=1,SUMPRODUCT(--($AO$2:$AO$1501&lt;$AO1146))+1,"")</f>
        <v/>
      </c>
      <c r="AM1146">
        <f>IF($C1146="","",IF(OR($Q1146=TRUE(),$Q1146="TRUE"),1,0))</f>
        <v/>
      </c>
      <c r="AN1146">
        <f>IF($C1146="","",IF($Z1146="Yes",1,0))</f>
        <v/>
      </c>
      <c r="AO1146">
        <f>IF($AK1146=1,IFERROR(IF(VALUE($C1146)&lt;100000000,VALUE($C1146),1000000000),IFERROR(IF(VALUE(MID($C1146,2,20))&lt;100000000,VALUE(MID($C1146,2,20)),1000000000),1000000000))+ROW()/100000,"")</f>
        <v/>
      </c>
    </row>
    <row r="1147">
      <c r="F1147" s="11" t="n"/>
      <c r="N1147" s="7">
        <f>IF($C1147="","",M1147*U1147/100)</f>
        <v/>
      </c>
      <c r="T1147" s="7" t="n"/>
      <c r="U1147" s="7" t="n"/>
      <c r="V1147" s="7">
        <f>IF($C1147="","",U1147*AA1147/100)</f>
        <v/>
      </c>
      <c r="W1147" s="7">
        <f>IF($C1147="","",U1147-V1147)</f>
        <v/>
      </c>
      <c r="X1147" s="7">
        <f>IF($C1147="","",W1147-N1147)</f>
        <v/>
      </c>
      <c r="AA1147">
        <f>IF($C1147="","",IF($AN1147=1,0,IF($AM1147=1,Settings!$C$6,Settings!$C$7))*100)</f>
        <v/>
      </c>
      <c r="AE1147" s="7" t="n"/>
      <c r="AH1147" s="11" t="n"/>
      <c r="AJ1147">
        <f>IF($C1147="","",$C1147&amp;"|"&amp;$D1147&amp;"")</f>
        <v/>
      </c>
      <c r="AK1147">
        <f>IF($C1147="","",IF(COUNTIF($AJ$2:$AJ1147,$AJ1147)=1,1,0))</f>
        <v/>
      </c>
      <c r="AL1147">
        <f>IF($AK1147=1,SUMPRODUCT(--($AO$2:$AO$1501&lt;$AO1147))+1,"")</f>
        <v/>
      </c>
      <c r="AM1147">
        <f>IF($C1147="","",IF(OR($Q1147=TRUE(),$Q1147="TRUE"),1,0))</f>
        <v/>
      </c>
      <c r="AN1147">
        <f>IF($C1147="","",IF($Z1147="Yes",1,0))</f>
        <v/>
      </c>
      <c r="AO1147">
        <f>IF($AK1147=1,IFERROR(IF(VALUE($C1147)&lt;100000000,VALUE($C1147),1000000000),IFERROR(IF(VALUE(MID($C1147,2,20))&lt;100000000,VALUE(MID($C1147,2,20)),1000000000),1000000000))+ROW()/100000,"")</f>
        <v/>
      </c>
    </row>
    <row r="1148">
      <c r="F1148" s="11" t="n"/>
      <c r="N1148" s="7">
        <f>IF($C1148="","",M1148*U1148/100)</f>
        <v/>
      </c>
      <c r="T1148" s="7" t="n"/>
      <c r="U1148" s="7" t="n"/>
      <c r="V1148" s="7">
        <f>IF($C1148="","",U1148*AA1148/100)</f>
        <v/>
      </c>
      <c r="W1148" s="7">
        <f>IF($C1148="","",U1148-V1148)</f>
        <v/>
      </c>
      <c r="X1148" s="7">
        <f>IF($C1148="","",W1148-N1148)</f>
        <v/>
      </c>
      <c r="AA1148">
        <f>IF($C1148="","",IF($AN1148=1,0,IF($AM1148=1,Settings!$C$6,Settings!$C$7))*100)</f>
        <v/>
      </c>
      <c r="AE1148" s="7" t="n"/>
      <c r="AH1148" s="11" t="n"/>
      <c r="AJ1148">
        <f>IF($C1148="","",$C1148&amp;"|"&amp;$D1148&amp;"")</f>
        <v/>
      </c>
      <c r="AK1148">
        <f>IF($C1148="","",IF(COUNTIF($AJ$2:$AJ1148,$AJ1148)=1,1,0))</f>
        <v/>
      </c>
      <c r="AL1148">
        <f>IF($AK1148=1,SUMPRODUCT(--($AO$2:$AO$1501&lt;$AO1148))+1,"")</f>
        <v/>
      </c>
      <c r="AM1148">
        <f>IF($C1148="","",IF(OR($Q1148=TRUE(),$Q1148="TRUE"),1,0))</f>
        <v/>
      </c>
      <c r="AN1148">
        <f>IF($C1148="","",IF($Z1148="Yes",1,0))</f>
        <v/>
      </c>
      <c r="AO1148">
        <f>IF($AK1148=1,IFERROR(IF(VALUE($C1148)&lt;100000000,VALUE($C1148),1000000000),IFERROR(IF(VALUE(MID($C1148,2,20))&lt;100000000,VALUE(MID($C1148,2,20)),1000000000),1000000000))+ROW()/100000,"")</f>
        <v/>
      </c>
    </row>
    <row r="1149">
      <c r="F1149" s="11" t="n"/>
      <c r="N1149" s="7">
        <f>IF($C1149="","",M1149*U1149/100)</f>
        <v/>
      </c>
      <c r="T1149" s="7" t="n"/>
      <c r="U1149" s="7" t="n"/>
      <c r="V1149" s="7">
        <f>IF($C1149="","",U1149*AA1149/100)</f>
        <v/>
      </c>
      <c r="W1149" s="7">
        <f>IF($C1149="","",U1149-V1149)</f>
        <v/>
      </c>
      <c r="X1149" s="7">
        <f>IF($C1149="","",W1149-N1149)</f>
        <v/>
      </c>
      <c r="AA1149">
        <f>IF($C1149="","",IF($AN1149=1,0,IF($AM1149=1,Settings!$C$6,Settings!$C$7))*100)</f>
        <v/>
      </c>
      <c r="AE1149" s="7" t="n"/>
      <c r="AH1149" s="11" t="n"/>
      <c r="AJ1149">
        <f>IF($C1149="","",$C1149&amp;"|"&amp;$D1149&amp;"")</f>
        <v/>
      </c>
      <c r="AK1149">
        <f>IF($C1149="","",IF(COUNTIF($AJ$2:$AJ1149,$AJ1149)=1,1,0))</f>
        <v/>
      </c>
      <c r="AL1149">
        <f>IF($AK1149=1,SUMPRODUCT(--($AO$2:$AO$1501&lt;$AO1149))+1,"")</f>
        <v/>
      </c>
      <c r="AM1149">
        <f>IF($C1149="","",IF(OR($Q1149=TRUE(),$Q1149="TRUE"),1,0))</f>
        <v/>
      </c>
      <c r="AN1149">
        <f>IF($C1149="","",IF($Z1149="Yes",1,0))</f>
        <v/>
      </c>
      <c r="AO1149">
        <f>IF($AK1149=1,IFERROR(IF(VALUE($C1149)&lt;100000000,VALUE($C1149),1000000000),IFERROR(IF(VALUE(MID($C1149,2,20))&lt;100000000,VALUE(MID($C1149,2,20)),1000000000),1000000000))+ROW()/100000,"")</f>
        <v/>
      </c>
    </row>
    <row r="1150">
      <c r="F1150" s="11" t="n"/>
      <c r="N1150" s="7">
        <f>IF($C1150="","",M1150*U1150/100)</f>
        <v/>
      </c>
      <c r="T1150" s="7" t="n"/>
      <c r="U1150" s="7" t="n"/>
      <c r="V1150" s="7">
        <f>IF($C1150="","",U1150*AA1150/100)</f>
        <v/>
      </c>
      <c r="W1150" s="7">
        <f>IF($C1150="","",U1150-V1150)</f>
        <v/>
      </c>
      <c r="X1150" s="7">
        <f>IF($C1150="","",W1150-N1150)</f>
        <v/>
      </c>
      <c r="AA1150">
        <f>IF($C1150="","",IF($AN1150=1,0,IF($AM1150=1,Settings!$C$6,Settings!$C$7))*100)</f>
        <v/>
      </c>
      <c r="AE1150" s="7" t="n"/>
      <c r="AH1150" s="11" t="n"/>
      <c r="AJ1150">
        <f>IF($C1150="","",$C1150&amp;"|"&amp;$D1150&amp;"")</f>
        <v/>
      </c>
      <c r="AK1150">
        <f>IF($C1150="","",IF(COUNTIF($AJ$2:$AJ1150,$AJ1150)=1,1,0))</f>
        <v/>
      </c>
      <c r="AL1150">
        <f>IF($AK1150=1,SUMPRODUCT(--($AO$2:$AO$1501&lt;$AO1150))+1,"")</f>
        <v/>
      </c>
      <c r="AM1150">
        <f>IF($C1150="","",IF(OR($Q1150=TRUE(),$Q1150="TRUE"),1,0))</f>
        <v/>
      </c>
      <c r="AN1150">
        <f>IF($C1150="","",IF($Z1150="Yes",1,0))</f>
        <v/>
      </c>
      <c r="AO1150">
        <f>IF($AK1150=1,IFERROR(IF(VALUE($C1150)&lt;100000000,VALUE($C1150),1000000000),IFERROR(IF(VALUE(MID($C1150,2,20))&lt;100000000,VALUE(MID($C1150,2,20)),1000000000),1000000000))+ROW()/100000,"")</f>
        <v/>
      </c>
    </row>
    <row r="1151">
      <c r="F1151" s="11" t="n"/>
      <c r="N1151" s="7">
        <f>IF($C1151="","",M1151*U1151/100)</f>
        <v/>
      </c>
      <c r="T1151" s="7" t="n"/>
      <c r="U1151" s="7" t="n"/>
      <c r="V1151" s="7">
        <f>IF($C1151="","",U1151*AA1151/100)</f>
        <v/>
      </c>
      <c r="W1151" s="7">
        <f>IF($C1151="","",U1151-V1151)</f>
        <v/>
      </c>
      <c r="X1151" s="7">
        <f>IF($C1151="","",W1151-N1151)</f>
        <v/>
      </c>
      <c r="AA1151">
        <f>IF($C1151="","",IF($AN1151=1,0,IF($AM1151=1,Settings!$C$6,Settings!$C$7))*100)</f>
        <v/>
      </c>
      <c r="AE1151" s="7" t="n"/>
      <c r="AH1151" s="11" t="n"/>
      <c r="AJ1151">
        <f>IF($C1151="","",$C1151&amp;"|"&amp;$D1151&amp;"")</f>
        <v/>
      </c>
      <c r="AK1151">
        <f>IF($C1151="","",IF(COUNTIF($AJ$2:$AJ1151,$AJ1151)=1,1,0))</f>
        <v/>
      </c>
      <c r="AL1151">
        <f>IF($AK1151=1,SUMPRODUCT(--($AO$2:$AO$1501&lt;$AO1151))+1,"")</f>
        <v/>
      </c>
      <c r="AM1151">
        <f>IF($C1151="","",IF(OR($Q1151=TRUE(),$Q1151="TRUE"),1,0))</f>
        <v/>
      </c>
      <c r="AN1151">
        <f>IF($C1151="","",IF($Z1151="Yes",1,0))</f>
        <v/>
      </c>
      <c r="AO1151">
        <f>IF($AK1151=1,IFERROR(IF(VALUE($C1151)&lt;100000000,VALUE($C1151),1000000000),IFERROR(IF(VALUE(MID($C1151,2,20))&lt;100000000,VALUE(MID($C1151,2,20)),1000000000),1000000000))+ROW()/100000,"")</f>
        <v/>
      </c>
    </row>
    <row r="1152">
      <c r="F1152" s="11" t="n"/>
      <c r="N1152" s="7">
        <f>IF($C1152="","",M1152*U1152/100)</f>
        <v/>
      </c>
      <c r="T1152" s="7" t="n"/>
      <c r="U1152" s="7" t="n"/>
      <c r="V1152" s="7">
        <f>IF($C1152="","",U1152*AA1152/100)</f>
        <v/>
      </c>
      <c r="W1152" s="7">
        <f>IF($C1152="","",U1152-V1152)</f>
        <v/>
      </c>
      <c r="X1152" s="7">
        <f>IF($C1152="","",W1152-N1152)</f>
        <v/>
      </c>
      <c r="AA1152">
        <f>IF($C1152="","",IF($AN1152=1,0,IF($AM1152=1,Settings!$C$6,Settings!$C$7))*100)</f>
        <v/>
      </c>
      <c r="AE1152" s="7" t="n"/>
      <c r="AH1152" s="11" t="n"/>
      <c r="AJ1152">
        <f>IF($C1152="","",$C1152&amp;"|"&amp;$D1152&amp;"")</f>
        <v/>
      </c>
      <c r="AK1152">
        <f>IF($C1152="","",IF(COUNTIF($AJ$2:$AJ1152,$AJ1152)=1,1,0))</f>
        <v/>
      </c>
      <c r="AL1152">
        <f>IF($AK1152=1,SUMPRODUCT(--($AO$2:$AO$1501&lt;$AO1152))+1,"")</f>
        <v/>
      </c>
      <c r="AM1152">
        <f>IF($C1152="","",IF(OR($Q1152=TRUE(),$Q1152="TRUE"),1,0))</f>
        <v/>
      </c>
      <c r="AN1152">
        <f>IF($C1152="","",IF($Z1152="Yes",1,0))</f>
        <v/>
      </c>
      <c r="AO1152">
        <f>IF($AK1152=1,IFERROR(IF(VALUE($C1152)&lt;100000000,VALUE($C1152),1000000000),IFERROR(IF(VALUE(MID($C1152,2,20))&lt;100000000,VALUE(MID($C1152,2,20)),1000000000),1000000000))+ROW()/100000,"")</f>
        <v/>
      </c>
    </row>
    <row r="1153">
      <c r="F1153" s="11" t="n"/>
      <c r="N1153" s="7">
        <f>IF($C1153="","",M1153*U1153/100)</f>
        <v/>
      </c>
      <c r="T1153" s="7" t="n"/>
      <c r="U1153" s="7" t="n"/>
      <c r="V1153" s="7">
        <f>IF($C1153="","",U1153*AA1153/100)</f>
        <v/>
      </c>
      <c r="W1153" s="7">
        <f>IF($C1153="","",U1153-V1153)</f>
        <v/>
      </c>
      <c r="X1153" s="7">
        <f>IF($C1153="","",W1153-N1153)</f>
        <v/>
      </c>
      <c r="AA1153">
        <f>IF($C1153="","",IF($AN1153=1,0,IF($AM1153=1,Settings!$C$6,Settings!$C$7))*100)</f>
        <v/>
      </c>
      <c r="AE1153" s="7" t="n"/>
      <c r="AH1153" s="11" t="n"/>
      <c r="AJ1153">
        <f>IF($C1153="","",$C1153&amp;"|"&amp;$D1153&amp;"")</f>
        <v/>
      </c>
      <c r="AK1153">
        <f>IF($C1153="","",IF(COUNTIF($AJ$2:$AJ1153,$AJ1153)=1,1,0))</f>
        <v/>
      </c>
      <c r="AL1153">
        <f>IF($AK1153=1,SUMPRODUCT(--($AO$2:$AO$1501&lt;$AO1153))+1,"")</f>
        <v/>
      </c>
      <c r="AM1153">
        <f>IF($C1153="","",IF(OR($Q1153=TRUE(),$Q1153="TRUE"),1,0))</f>
        <v/>
      </c>
      <c r="AN1153">
        <f>IF($C1153="","",IF($Z1153="Yes",1,0))</f>
        <v/>
      </c>
      <c r="AO1153">
        <f>IF($AK1153=1,IFERROR(IF(VALUE($C1153)&lt;100000000,VALUE($C1153),1000000000),IFERROR(IF(VALUE(MID($C1153,2,20))&lt;100000000,VALUE(MID($C1153,2,20)),1000000000),1000000000))+ROW()/100000,"")</f>
        <v/>
      </c>
    </row>
    <row r="1154">
      <c r="F1154" s="11" t="n"/>
      <c r="N1154" s="7">
        <f>IF($C1154="","",M1154*U1154/100)</f>
        <v/>
      </c>
      <c r="T1154" s="7" t="n"/>
      <c r="U1154" s="7" t="n"/>
      <c r="V1154" s="7">
        <f>IF($C1154="","",U1154*AA1154/100)</f>
        <v/>
      </c>
      <c r="W1154" s="7">
        <f>IF($C1154="","",U1154-V1154)</f>
        <v/>
      </c>
      <c r="X1154" s="7">
        <f>IF($C1154="","",W1154-N1154)</f>
        <v/>
      </c>
      <c r="AA1154">
        <f>IF($C1154="","",IF($AN1154=1,0,IF($AM1154=1,Settings!$C$6,Settings!$C$7))*100)</f>
        <v/>
      </c>
      <c r="AE1154" s="7" t="n"/>
      <c r="AH1154" s="11" t="n"/>
      <c r="AJ1154">
        <f>IF($C1154="","",$C1154&amp;"|"&amp;$D1154&amp;"")</f>
        <v/>
      </c>
      <c r="AK1154">
        <f>IF($C1154="","",IF(COUNTIF($AJ$2:$AJ1154,$AJ1154)=1,1,0))</f>
        <v/>
      </c>
      <c r="AL1154">
        <f>IF($AK1154=1,SUMPRODUCT(--($AO$2:$AO$1501&lt;$AO1154))+1,"")</f>
        <v/>
      </c>
      <c r="AM1154">
        <f>IF($C1154="","",IF(OR($Q1154=TRUE(),$Q1154="TRUE"),1,0))</f>
        <v/>
      </c>
      <c r="AN1154">
        <f>IF($C1154="","",IF($Z1154="Yes",1,0))</f>
        <v/>
      </c>
      <c r="AO1154">
        <f>IF($AK1154=1,IFERROR(IF(VALUE($C1154)&lt;100000000,VALUE($C1154),1000000000),IFERROR(IF(VALUE(MID($C1154,2,20))&lt;100000000,VALUE(MID($C1154,2,20)),1000000000),1000000000))+ROW()/100000,"")</f>
        <v/>
      </c>
    </row>
    <row r="1155">
      <c r="F1155" s="11" t="n"/>
      <c r="N1155" s="7">
        <f>IF($C1155="","",M1155*U1155/100)</f>
        <v/>
      </c>
      <c r="T1155" s="7" t="n"/>
      <c r="U1155" s="7" t="n"/>
      <c r="V1155" s="7">
        <f>IF($C1155="","",U1155*AA1155/100)</f>
        <v/>
      </c>
      <c r="W1155" s="7">
        <f>IF($C1155="","",U1155-V1155)</f>
        <v/>
      </c>
      <c r="X1155" s="7">
        <f>IF($C1155="","",W1155-N1155)</f>
        <v/>
      </c>
      <c r="AA1155">
        <f>IF($C1155="","",IF($AN1155=1,0,IF($AM1155=1,Settings!$C$6,Settings!$C$7))*100)</f>
        <v/>
      </c>
      <c r="AE1155" s="7" t="n"/>
      <c r="AH1155" s="11" t="n"/>
      <c r="AJ1155">
        <f>IF($C1155="","",$C1155&amp;"|"&amp;$D1155&amp;"")</f>
        <v/>
      </c>
      <c r="AK1155">
        <f>IF($C1155="","",IF(COUNTIF($AJ$2:$AJ1155,$AJ1155)=1,1,0))</f>
        <v/>
      </c>
      <c r="AL1155">
        <f>IF($AK1155=1,SUMPRODUCT(--($AO$2:$AO$1501&lt;$AO1155))+1,"")</f>
        <v/>
      </c>
      <c r="AM1155">
        <f>IF($C1155="","",IF(OR($Q1155=TRUE(),$Q1155="TRUE"),1,0))</f>
        <v/>
      </c>
      <c r="AN1155">
        <f>IF($C1155="","",IF($Z1155="Yes",1,0))</f>
        <v/>
      </c>
      <c r="AO1155">
        <f>IF($AK1155=1,IFERROR(IF(VALUE($C1155)&lt;100000000,VALUE($C1155),1000000000),IFERROR(IF(VALUE(MID($C1155,2,20))&lt;100000000,VALUE(MID($C1155,2,20)),1000000000),1000000000))+ROW()/100000,"")</f>
        <v/>
      </c>
    </row>
    <row r="1156">
      <c r="F1156" s="11" t="n"/>
      <c r="N1156" s="7">
        <f>IF($C1156="","",M1156*U1156/100)</f>
        <v/>
      </c>
      <c r="T1156" s="7" t="n"/>
      <c r="U1156" s="7" t="n"/>
      <c r="V1156" s="7">
        <f>IF($C1156="","",U1156*AA1156/100)</f>
        <v/>
      </c>
      <c r="W1156" s="7">
        <f>IF($C1156="","",U1156-V1156)</f>
        <v/>
      </c>
      <c r="X1156" s="7">
        <f>IF($C1156="","",W1156-N1156)</f>
        <v/>
      </c>
      <c r="AA1156">
        <f>IF($C1156="","",IF($AN1156=1,0,IF($AM1156=1,Settings!$C$6,Settings!$C$7))*100)</f>
        <v/>
      </c>
      <c r="AE1156" s="7" t="n"/>
      <c r="AH1156" s="11" t="n"/>
      <c r="AJ1156">
        <f>IF($C1156="","",$C1156&amp;"|"&amp;$D1156&amp;"")</f>
        <v/>
      </c>
      <c r="AK1156">
        <f>IF($C1156="","",IF(COUNTIF($AJ$2:$AJ1156,$AJ1156)=1,1,0))</f>
        <v/>
      </c>
      <c r="AL1156">
        <f>IF($AK1156=1,SUMPRODUCT(--($AO$2:$AO$1501&lt;$AO1156))+1,"")</f>
        <v/>
      </c>
      <c r="AM1156">
        <f>IF($C1156="","",IF(OR($Q1156=TRUE(),$Q1156="TRUE"),1,0))</f>
        <v/>
      </c>
      <c r="AN1156">
        <f>IF($C1156="","",IF($Z1156="Yes",1,0))</f>
        <v/>
      </c>
      <c r="AO1156">
        <f>IF($AK1156=1,IFERROR(IF(VALUE($C1156)&lt;100000000,VALUE($C1156),1000000000),IFERROR(IF(VALUE(MID($C1156,2,20))&lt;100000000,VALUE(MID($C1156,2,20)),1000000000),1000000000))+ROW()/100000,"")</f>
        <v/>
      </c>
    </row>
    <row r="1157">
      <c r="F1157" s="11" t="n"/>
      <c r="N1157" s="7">
        <f>IF($C1157="","",M1157*U1157/100)</f>
        <v/>
      </c>
      <c r="T1157" s="7" t="n"/>
      <c r="U1157" s="7" t="n"/>
      <c r="V1157" s="7">
        <f>IF($C1157="","",U1157*AA1157/100)</f>
        <v/>
      </c>
      <c r="W1157" s="7">
        <f>IF($C1157="","",U1157-V1157)</f>
        <v/>
      </c>
      <c r="X1157" s="7">
        <f>IF($C1157="","",W1157-N1157)</f>
        <v/>
      </c>
      <c r="AA1157">
        <f>IF($C1157="","",IF($AN1157=1,0,IF($AM1157=1,Settings!$C$6,Settings!$C$7))*100)</f>
        <v/>
      </c>
      <c r="AE1157" s="7" t="n"/>
      <c r="AH1157" s="11" t="n"/>
      <c r="AJ1157">
        <f>IF($C1157="","",$C1157&amp;"|"&amp;$D1157&amp;"")</f>
        <v/>
      </c>
      <c r="AK1157">
        <f>IF($C1157="","",IF(COUNTIF($AJ$2:$AJ1157,$AJ1157)=1,1,0))</f>
        <v/>
      </c>
      <c r="AL1157">
        <f>IF($AK1157=1,SUMPRODUCT(--($AO$2:$AO$1501&lt;$AO1157))+1,"")</f>
        <v/>
      </c>
      <c r="AM1157">
        <f>IF($C1157="","",IF(OR($Q1157=TRUE(),$Q1157="TRUE"),1,0))</f>
        <v/>
      </c>
      <c r="AN1157">
        <f>IF($C1157="","",IF($Z1157="Yes",1,0))</f>
        <v/>
      </c>
      <c r="AO1157">
        <f>IF($AK1157=1,IFERROR(IF(VALUE($C1157)&lt;100000000,VALUE($C1157),1000000000),IFERROR(IF(VALUE(MID($C1157,2,20))&lt;100000000,VALUE(MID($C1157,2,20)),1000000000),1000000000))+ROW()/100000,"")</f>
        <v/>
      </c>
    </row>
    <row r="1158">
      <c r="F1158" s="11" t="n"/>
      <c r="N1158" s="7">
        <f>IF($C1158="","",M1158*U1158/100)</f>
        <v/>
      </c>
      <c r="T1158" s="7" t="n"/>
      <c r="U1158" s="7" t="n"/>
      <c r="V1158" s="7">
        <f>IF($C1158="","",U1158*AA1158/100)</f>
        <v/>
      </c>
      <c r="W1158" s="7">
        <f>IF($C1158="","",U1158-V1158)</f>
        <v/>
      </c>
      <c r="X1158" s="7">
        <f>IF($C1158="","",W1158-N1158)</f>
        <v/>
      </c>
      <c r="AA1158">
        <f>IF($C1158="","",IF($AN1158=1,0,IF($AM1158=1,Settings!$C$6,Settings!$C$7))*100)</f>
        <v/>
      </c>
      <c r="AE1158" s="7" t="n"/>
      <c r="AH1158" s="11" t="n"/>
      <c r="AJ1158">
        <f>IF($C1158="","",$C1158&amp;"|"&amp;$D1158&amp;"")</f>
        <v/>
      </c>
      <c r="AK1158">
        <f>IF($C1158="","",IF(COUNTIF($AJ$2:$AJ1158,$AJ1158)=1,1,0))</f>
        <v/>
      </c>
      <c r="AL1158">
        <f>IF($AK1158=1,SUMPRODUCT(--($AO$2:$AO$1501&lt;$AO1158))+1,"")</f>
        <v/>
      </c>
      <c r="AM1158">
        <f>IF($C1158="","",IF(OR($Q1158=TRUE(),$Q1158="TRUE"),1,0))</f>
        <v/>
      </c>
      <c r="AN1158">
        <f>IF($C1158="","",IF($Z1158="Yes",1,0))</f>
        <v/>
      </c>
      <c r="AO1158">
        <f>IF($AK1158=1,IFERROR(IF(VALUE($C1158)&lt;100000000,VALUE($C1158),1000000000),IFERROR(IF(VALUE(MID($C1158,2,20))&lt;100000000,VALUE(MID($C1158,2,20)),1000000000),1000000000))+ROW()/100000,"")</f>
        <v/>
      </c>
    </row>
    <row r="1159">
      <c r="F1159" s="11" t="n"/>
      <c r="N1159" s="7">
        <f>IF($C1159="","",M1159*U1159/100)</f>
        <v/>
      </c>
      <c r="T1159" s="7" t="n"/>
      <c r="U1159" s="7" t="n"/>
      <c r="V1159" s="7">
        <f>IF($C1159="","",U1159*AA1159/100)</f>
        <v/>
      </c>
      <c r="W1159" s="7">
        <f>IF($C1159="","",U1159-V1159)</f>
        <v/>
      </c>
      <c r="X1159" s="7">
        <f>IF($C1159="","",W1159-N1159)</f>
        <v/>
      </c>
      <c r="AA1159">
        <f>IF($C1159="","",IF($AN1159=1,0,IF($AM1159=1,Settings!$C$6,Settings!$C$7))*100)</f>
        <v/>
      </c>
      <c r="AE1159" s="7" t="n"/>
      <c r="AH1159" s="11" t="n"/>
      <c r="AJ1159">
        <f>IF($C1159="","",$C1159&amp;"|"&amp;$D1159&amp;"")</f>
        <v/>
      </c>
      <c r="AK1159">
        <f>IF($C1159="","",IF(COUNTIF($AJ$2:$AJ1159,$AJ1159)=1,1,0))</f>
        <v/>
      </c>
      <c r="AL1159">
        <f>IF($AK1159=1,SUMPRODUCT(--($AO$2:$AO$1501&lt;$AO1159))+1,"")</f>
        <v/>
      </c>
      <c r="AM1159">
        <f>IF($C1159="","",IF(OR($Q1159=TRUE(),$Q1159="TRUE"),1,0))</f>
        <v/>
      </c>
      <c r="AN1159">
        <f>IF($C1159="","",IF($Z1159="Yes",1,0))</f>
        <v/>
      </c>
      <c r="AO1159">
        <f>IF($AK1159=1,IFERROR(IF(VALUE($C1159)&lt;100000000,VALUE($C1159),1000000000),IFERROR(IF(VALUE(MID($C1159,2,20))&lt;100000000,VALUE(MID($C1159,2,20)),1000000000),1000000000))+ROW()/100000,"")</f>
        <v/>
      </c>
    </row>
    <row r="1160">
      <c r="F1160" s="11" t="n"/>
      <c r="N1160" s="7">
        <f>IF($C1160="","",M1160*U1160/100)</f>
        <v/>
      </c>
      <c r="T1160" s="7" t="n"/>
      <c r="U1160" s="7" t="n"/>
      <c r="V1160" s="7">
        <f>IF($C1160="","",U1160*AA1160/100)</f>
        <v/>
      </c>
      <c r="W1160" s="7">
        <f>IF($C1160="","",U1160-V1160)</f>
        <v/>
      </c>
      <c r="X1160" s="7">
        <f>IF($C1160="","",W1160-N1160)</f>
        <v/>
      </c>
      <c r="AA1160">
        <f>IF($C1160="","",IF($AN1160=1,0,IF($AM1160=1,Settings!$C$6,Settings!$C$7))*100)</f>
        <v/>
      </c>
      <c r="AE1160" s="7" t="n"/>
      <c r="AH1160" s="11" t="n"/>
      <c r="AJ1160">
        <f>IF($C1160="","",$C1160&amp;"|"&amp;$D1160&amp;"")</f>
        <v/>
      </c>
      <c r="AK1160">
        <f>IF($C1160="","",IF(COUNTIF($AJ$2:$AJ1160,$AJ1160)=1,1,0))</f>
        <v/>
      </c>
      <c r="AL1160">
        <f>IF($AK1160=1,SUMPRODUCT(--($AO$2:$AO$1501&lt;$AO1160))+1,"")</f>
        <v/>
      </c>
      <c r="AM1160">
        <f>IF($C1160="","",IF(OR($Q1160=TRUE(),$Q1160="TRUE"),1,0))</f>
        <v/>
      </c>
      <c r="AN1160">
        <f>IF($C1160="","",IF($Z1160="Yes",1,0))</f>
        <v/>
      </c>
      <c r="AO1160">
        <f>IF($AK1160=1,IFERROR(IF(VALUE($C1160)&lt;100000000,VALUE($C1160),1000000000),IFERROR(IF(VALUE(MID($C1160,2,20))&lt;100000000,VALUE(MID($C1160,2,20)),1000000000),1000000000))+ROW()/100000,"")</f>
        <v/>
      </c>
    </row>
    <row r="1161">
      <c r="F1161" s="11" t="n"/>
      <c r="N1161" s="7">
        <f>IF($C1161="","",M1161*U1161/100)</f>
        <v/>
      </c>
      <c r="T1161" s="7" t="n"/>
      <c r="U1161" s="7" t="n"/>
      <c r="V1161" s="7">
        <f>IF($C1161="","",U1161*AA1161/100)</f>
        <v/>
      </c>
      <c r="W1161" s="7">
        <f>IF($C1161="","",U1161-V1161)</f>
        <v/>
      </c>
      <c r="X1161" s="7">
        <f>IF($C1161="","",W1161-N1161)</f>
        <v/>
      </c>
      <c r="AA1161">
        <f>IF($C1161="","",IF($AN1161=1,0,IF($AM1161=1,Settings!$C$6,Settings!$C$7))*100)</f>
        <v/>
      </c>
      <c r="AE1161" s="7" t="n"/>
      <c r="AH1161" s="11" t="n"/>
      <c r="AJ1161">
        <f>IF($C1161="","",$C1161&amp;"|"&amp;$D1161&amp;"")</f>
        <v/>
      </c>
      <c r="AK1161">
        <f>IF($C1161="","",IF(COUNTIF($AJ$2:$AJ1161,$AJ1161)=1,1,0))</f>
        <v/>
      </c>
      <c r="AL1161">
        <f>IF($AK1161=1,SUMPRODUCT(--($AO$2:$AO$1501&lt;$AO1161))+1,"")</f>
        <v/>
      </c>
      <c r="AM1161">
        <f>IF($C1161="","",IF(OR($Q1161=TRUE(),$Q1161="TRUE"),1,0))</f>
        <v/>
      </c>
      <c r="AN1161">
        <f>IF($C1161="","",IF($Z1161="Yes",1,0))</f>
        <v/>
      </c>
      <c r="AO1161">
        <f>IF($AK1161=1,IFERROR(IF(VALUE($C1161)&lt;100000000,VALUE($C1161),1000000000),IFERROR(IF(VALUE(MID($C1161,2,20))&lt;100000000,VALUE(MID($C1161,2,20)),1000000000),1000000000))+ROW()/100000,"")</f>
        <v/>
      </c>
    </row>
    <row r="1162">
      <c r="F1162" s="11" t="n"/>
      <c r="N1162" s="7">
        <f>IF($C1162="","",M1162*U1162/100)</f>
        <v/>
      </c>
      <c r="T1162" s="7" t="n"/>
      <c r="U1162" s="7" t="n"/>
      <c r="V1162" s="7">
        <f>IF($C1162="","",U1162*AA1162/100)</f>
        <v/>
      </c>
      <c r="W1162" s="7">
        <f>IF($C1162="","",U1162-V1162)</f>
        <v/>
      </c>
      <c r="X1162" s="7">
        <f>IF($C1162="","",W1162-N1162)</f>
        <v/>
      </c>
      <c r="AA1162">
        <f>IF($C1162="","",IF($AN1162=1,0,IF($AM1162=1,Settings!$C$6,Settings!$C$7))*100)</f>
        <v/>
      </c>
      <c r="AE1162" s="7" t="n"/>
      <c r="AH1162" s="11" t="n"/>
      <c r="AJ1162">
        <f>IF($C1162="","",$C1162&amp;"|"&amp;$D1162&amp;"")</f>
        <v/>
      </c>
      <c r="AK1162">
        <f>IF($C1162="","",IF(COUNTIF($AJ$2:$AJ1162,$AJ1162)=1,1,0))</f>
        <v/>
      </c>
      <c r="AL1162">
        <f>IF($AK1162=1,SUMPRODUCT(--($AO$2:$AO$1501&lt;$AO1162))+1,"")</f>
        <v/>
      </c>
      <c r="AM1162">
        <f>IF($C1162="","",IF(OR($Q1162=TRUE(),$Q1162="TRUE"),1,0))</f>
        <v/>
      </c>
      <c r="AN1162">
        <f>IF($C1162="","",IF($Z1162="Yes",1,0))</f>
        <v/>
      </c>
      <c r="AO1162">
        <f>IF($AK1162=1,IFERROR(IF(VALUE($C1162)&lt;100000000,VALUE($C1162),1000000000),IFERROR(IF(VALUE(MID($C1162,2,20))&lt;100000000,VALUE(MID($C1162,2,20)),1000000000),1000000000))+ROW()/100000,"")</f>
        <v/>
      </c>
    </row>
    <row r="1163">
      <c r="F1163" s="11" t="n"/>
      <c r="N1163" s="7">
        <f>IF($C1163="","",M1163*U1163/100)</f>
        <v/>
      </c>
      <c r="T1163" s="7" t="n"/>
      <c r="U1163" s="7" t="n"/>
      <c r="V1163" s="7">
        <f>IF($C1163="","",U1163*AA1163/100)</f>
        <v/>
      </c>
      <c r="W1163" s="7">
        <f>IF($C1163="","",U1163-V1163)</f>
        <v/>
      </c>
      <c r="X1163" s="7">
        <f>IF($C1163="","",W1163-N1163)</f>
        <v/>
      </c>
      <c r="AA1163">
        <f>IF($C1163="","",IF($AN1163=1,0,IF($AM1163=1,Settings!$C$6,Settings!$C$7))*100)</f>
        <v/>
      </c>
      <c r="AE1163" s="7" t="n"/>
      <c r="AH1163" s="11" t="n"/>
      <c r="AJ1163">
        <f>IF($C1163="","",$C1163&amp;"|"&amp;$D1163&amp;"")</f>
        <v/>
      </c>
      <c r="AK1163">
        <f>IF($C1163="","",IF(COUNTIF($AJ$2:$AJ1163,$AJ1163)=1,1,0))</f>
        <v/>
      </c>
      <c r="AL1163">
        <f>IF($AK1163=1,SUMPRODUCT(--($AO$2:$AO$1501&lt;$AO1163))+1,"")</f>
        <v/>
      </c>
      <c r="AM1163">
        <f>IF($C1163="","",IF(OR($Q1163=TRUE(),$Q1163="TRUE"),1,0))</f>
        <v/>
      </c>
      <c r="AN1163">
        <f>IF($C1163="","",IF($Z1163="Yes",1,0))</f>
        <v/>
      </c>
      <c r="AO1163">
        <f>IF($AK1163=1,IFERROR(IF(VALUE($C1163)&lt;100000000,VALUE($C1163),1000000000),IFERROR(IF(VALUE(MID($C1163,2,20))&lt;100000000,VALUE(MID($C1163,2,20)),1000000000),1000000000))+ROW()/100000,"")</f>
        <v/>
      </c>
    </row>
    <row r="1164">
      <c r="F1164" s="11" t="n"/>
      <c r="N1164" s="7">
        <f>IF($C1164="","",M1164*U1164/100)</f>
        <v/>
      </c>
      <c r="T1164" s="7" t="n"/>
      <c r="U1164" s="7" t="n"/>
      <c r="V1164" s="7">
        <f>IF($C1164="","",U1164*AA1164/100)</f>
        <v/>
      </c>
      <c r="W1164" s="7">
        <f>IF($C1164="","",U1164-V1164)</f>
        <v/>
      </c>
      <c r="X1164" s="7">
        <f>IF($C1164="","",W1164-N1164)</f>
        <v/>
      </c>
      <c r="AA1164">
        <f>IF($C1164="","",IF($AN1164=1,0,IF($AM1164=1,Settings!$C$6,Settings!$C$7))*100)</f>
        <v/>
      </c>
      <c r="AE1164" s="7" t="n"/>
      <c r="AH1164" s="11" t="n"/>
      <c r="AJ1164">
        <f>IF($C1164="","",$C1164&amp;"|"&amp;$D1164&amp;"")</f>
        <v/>
      </c>
      <c r="AK1164">
        <f>IF($C1164="","",IF(COUNTIF($AJ$2:$AJ1164,$AJ1164)=1,1,0))</f>
        <v/>
      </c>
      <c r="AL1164">
        <f>IF($AK1164=1,SUMPRODUCT(--($AO$2:$AO$1501&lt;$AO1164))+1,"")</f>
        <v/>
      </c>
      <c r="AM1164">
        <f>IF($C1164="","",IF(OR($Q1164=TRUE(),$Q1164="TRUE"),1,0))</f>
        <v/>
      </c>
      <c r="AN1164">
        <f>IF($C1164="","",IF($Z1164="Yes",1,0))</f>
        <v/>
      </c>
      <c r="AO1164">
        <f>IF($AK1164=1,IFERROR(IF(VALUE($C1164)&lt;100000000,VALUE($C1164),1000000000),IFERROR(IF(VALUE(MID($C1164,2,20))&lt;100000000,VALUE(MID($C1164,2,20)),1000000000),1000000000))+ROW()/100000,"")</f>
        <v/>
      </c>
    </row>
    <row r="1165">
      <c r="F1165" s="11" t="n"/>
      <c r="N1165" s="7">
        <f>IF($C1165="","",M1165*U1165/100)</f>
        <v/>
      </c>
      <c r="T1165" s="7" t="n"/>
      <c r="U1165" s="7" t="n"/>
      <c r="V1165" s="7">
        <f>IF($C1165="","",U1165*AA1165/100)</f>
        <v/>
      </c>
      <c r="W1165" s="7">
        <f>IF($C1165="","",U1165-V1165)</f>
        <v/>
      </c>
      <c r="X1165" s="7">
        <f>IF($C1165="","",W1165-N1165)</f>
        <v/>
      </c>
      <c r="AA1165">
        <f>IF($C1165="","",IF($AN1165=1,0,IF($AM1165=1,Settings!$C$6,Settings!$C$7))*100)</f>
        <v/>
      </c>
      <c r="AE1165" s="7" t="n"/>
      <c r="AH1165" s="11" t="n"/>
      <c r="AJ1165">
        <f>IF($C1165="","",$C1165&amp;"|"&amp;$D1165&amp;"")</f>
        <v/>
      </c>
      <c r="AK1165">
        <f>IF($C1165="","",IF(COUNTIF($AJ$2:$AJ1165,$AJ1165)=1,1,0))</f>
        <v/>
      </c>
      <c r="AL1165">
        <f>IF($AK1165=1,SUMPRODUCT(--($AO$2:$AO$1501&lt;$AO1165))+1,"")</f>
        <v/>
      </c>
      <c r="AM1165">
        <f>IF($C1165="","",IF(OR($Q1165=TRUE(),$Q1165="TRUE"),1,0))</f>
        <v/>
      </c>
      <c r="AN1165">
        <f>IF($C1165="","",IF($Z1165="Yes",1,0))</f>
        <v/>
      </c>
      <c r="AO1165">
        <f>IF($AK1165=1,IFERROR(IF(VALUE($C1165)&lt;100000000,VALUE($C1165),1000000000),IFERROR(IF(VALUE(MID($C1165,2,20))&lt;100000000,VALUE(MID($C1165,2,20)),1000000000),1000000000))+ROW()/100000,"")</f>
        <v/>
      </c>
    </row>
    <row r="1166">
      <c r="F1166" s="11" t="n"/>
      <c r="N1166" s="7">
        <f>IF($C1166="","",M1166*U1166/100)</f>
        <v/>
      </c>
      <c r="T1166" s="7" t="n"/>
      <c r="U1166" s="7" t="n"/>
      <c r="V1166" s="7">
        <f>IF($C1166="","",U1166*AA1166/100)</f>
        <v/>
      </c>
      <c r="W1166" s="7">
        <f>IF($C1166="","",U1166-V1166)</f>
        <v/>
      </c>
      <c r="X1166" s="7">
        <f>IF($C1166="","",W1166-N1166)</f>
        <v/>
      </c>
      <c r="AA1166">
        <f>IF($C1166="","",IF($AN1166=1,0,IF($AM1166=1,Settings!$C$6,Settings!$C$7))*100)</f>
        <v/>
      </c>
      <c r="AE1166" s="7" t="n"/>
      <c r="AH1166" s="11" t="n"/>
      <c r="AJ1166">
        <f>IF($C1166="","",$C1166&amp;"|"&amp;$D1166&amp;"")</f>
        <v/>
      </c>
      <c r="AK1166">
        <f>IF($C1166="","",IF(COUNTIF($AJ$2:$AJ1166,$AJ1166)=1,1,0))</f>
        <v/>
      </c>
      <c r="AL1166">
        <f>IF($AK1166=1,SUMPRODUCT(--($AO$2:$AO$1501&lt;$AO1166))+1,"")</f>
        <v/>
      </c>
      <c r="AM1166">
        <f>IF($C1166="","",IF(OR($Q1166=TRUE(),$Q1166="TRUE"),1,0))</f>
        <v/>
      </c>
      <c r="AN1166">
        <f>IF($C1166="","",IF($Z1166="Yes",1,0))</f>
        <v/>
      </c>
      <c r="AO1166">
        <f>IF($AK1166=1,IFERROR(IF(VALUE($C1166)&lt;100000000,VALUE($C1166),1000000000),IFERROR(IF(VALUE(MID($C1166,2,20))&lt;100000000,VALUE(MID($C1166,2,20)),1000000000),1000000000))+ROW()/100000,"")</f>
        <v/>
      </c>
    </row>
    <row r="1167">
      <c r="F1167" s="11" t="n"/>
      <c r="N1167" s="7">
        <f>IF($C1167="","",M1167*U1167/100)</f>
        <v/>
      </c>
      <c r="T1167" s="7" t="n"/>
      <c r="U1167" s="7" t="n"/>
      <c r="V1167" s="7">
        <f>IF($C1167="","",U1167*AA1167/100)</f>
        <v/>
      </c>
      <c r="W1167" s="7">
        <f>IF($C1167="","",U1167-V1167)</f>
        <v/>
      </c>
      <c r="X1167" s="7">
        <f>IF($C1167="","",W1167-N1167)</f>
        <v/>
      </c>
      <c r="AA1167">
        <f>IF($C1167="","",IF($AN1167=1,0,IF($AM1167=1,Settings!$C$6,Settings!$C$7))*100)</f>
        <v/>
      </c>
      <c r="AE1167" s="7" t="n"/>
      <c r="AH1167" s="11" t="n"/>
      <c r="AJ1167">
        <f>IF($C1167="","",$C1167&amp;"|"&amp;$D1167&amp;"")</f>
        <v/>
      </c>
      <c r="AK1167">
        <f>IF($C1167="","",IF(COUNTIF($AJ$2:$AJ1167,$AJ1167)=1,1,0))</f>
        <v/>
      </c>
      <c r="AL1167">
        <f>IF($AK1167=1,SUMPRODUCT(--($AO$2:$AO$1501&lt;$AO1167))+1,"")</f>
        <v/>
      </c>
      <c r="AM1167">
        <f>IF($C1167="","",IF(OR($Q1167=TRUE(),$Q1167="TRUE"),1,0))</f>
        <v/>
      </c>
      <c r="AN1167">
        <f>IF($C1167="","",IF($Z1167="Yes",1,0))</f>
        <v/>
      </c>
      <c r="AO1167">
        <f>IF($AK1167=1,IFERROR(IF(VALUE($C1167)&lt;100000000,VALUE($C1167),1000000000),IFERROR(IF(VALUE(MID($C1167,2,20))&lt;100000000,VALUE(MID($C1167,2,20)),1000000000),1000000000))+ROW()/100000,"")</f>
        <v/>
      </c>
    </row>
    <row r="1168">
      <c r="F1168" s="11" t="n"/>
      <c r="N1168" s="7">
        <f>IF($C1168="","",M1168*U1168/100)</f>
        <v/>
      </c>
      <c r="T1168" s="7" t="n"/>
      <c r="U1168" s="7" t="n"/>
      <c r="V1168" s="7">
        <f>IF($C1168="","",U1168*AA1168/100)</f>
        <v/>
      </c>
      <c r="W1168" s="7">
        <f>IF($C1168="","",U1168-V1168)</f>
        <v/>
      </c>
      <c r="X1168" s="7">
        <f>IF($C1168="","",W1168-N1168)</f>
        <v/>
      </c>
      <c r="AA1168">
        <f>IF($C1168="","",IF($AN1168=1,0,IF($AM1168=1,Settings!$C$6,Settings!$C$7))*100)</f>
        <v/>
      </c>
      <c r="AE1168" s="7" t="n"/>
      <c r="AH1168" s="11" t="n"/>
      <c r="AJ1168">
        <f>IF($C1168="","",$C1168&amp;"|"&amp;$D1168&amp;"")</f>
        <v/>
      </c>
      <c r="AK1168">
        <f>IF($C1168="","",IF(COUNTIF($AJ$2:$AJ1168,$AJ1168)=1,1,0))</f>
        <v/>
      </c>
      <c r="AL1168">
        <f>IF($AK1168=1,SUMPRODUCT(--($AO$2:$AO$1501&lt;$AO1168))+1,"")</f>
        <v/>
      </c>
      <c r="AM1168">
        <f>IF($C1168="","",IF(OR($Q1168=TRUE(),$Q1168="TRUE"),1,0))</f>
        <v/>
      </c>
      <c r="AN1168">
        <f>IF($C1168="","",IF($Z1168="Yes",1,0))</f>
        <v/>
      </c>
      <c r="AO1168">
        <f>IF($AK1168=1,IFERROR(IF(VALUE($C1168)&lt;100000000,VALUE($C1168),1000000000),IFERROR(IF(VALUE(MID($C1168,2,20))&lt;100000000,VALUE(MID($C1168,2,20)),1000000000),1000000000))+ROW()/100000,"")</f>
        <v/>
      </c>
    </row>
    <row r="1169">
      <c r="F1169" s="11" t="n"/>
      <c r="N1169" s="7">
        <f>IF($C1169="","",M1169*U1169/100)</f>
        <v/>
      </c>
      <c r="T1169" s="7" t="n"/>
      <c r="U1169" s="7" t="n"/>
      <c r="V1169" s="7">
        <f>IF($C1169="","",U1169*AA1169/100)</f>
        <v/>
      </c>
      <c r="W1169" s="7">
        <f>IF($C1169="","",U1169-V1169)</f>
        <v/>
      </c>
      <c r="X1169" s="7">
        <f>IF($C1169="","",W1169-N1169)</f>
        <v/>
      </c>
      <c r="AA1169">
        <f>IF($C1169="","",IF($AN1169=1,0,IF($AM1169=1,Settings!$C$6,Settings!$C$7))*100)</f>
        <v/>
      </c>
      <c r="AE1169" s="7" t="n"/>
      <c r="AH1169" s="11" t="n"/>
      <c r="AJ1169">
        <f>IF($C1169="","",$C1169&amp;"|"&amp;$D1169&amp;"")</f>
        <v/>
      </c>
      <c r="AK1169">
        <f>IF($C1169="","",IF(COUNTIF($AJ$2:$AJ1169,$AJ1169)=1,1,0))</f>
        <v/>
      </c>
      <c r="AL1169">
        <f>IF($AK1169=1,SUMPRODUCT(--($AO$2:$AO$1501&lt;$AO1169))+1,"")</f>
        <v/>
      </c>
      <c r="AM1169">
        <f>IF($C1169="","",IF(OR($Q1169=TRUE(),$Q1169="TRUE"),1,0))</f>
        <v/>
      </c>
      <c r="AN1169">
        <f>IF($C1169="","",IF($Z1169="Yes",1,0))</f>
        <v/>
      </c>
      <c r="AO1169">
        <f>IF($AK1169=1,IFERROR(IF(VALUE($C1169)&lt;100000000,VALUE($C1169),1000000000),IFERROR(IF(VALUE(MID($C1169,2,20))&lt;100000000,VALUE(MID($C1169,2,20)),1000000000),1000000000))+ROW()/100000,"")</f>
        <v/>
      </c>
    </row>
    <row r="1170">
      <c r="F1170" s="11" t="n"/>
      <c r="N1170" s="7">
        <f>IF($C1170="","",M1170*U1170/100)</f>
        <v/>
      </c>
      <c r="T1170" s="7" t="n"/>
      <c r="U1170" s="7" t="n"/>
      <c r="V1170" s="7">
        <f>IF($C1170="","",U1170*AA1170/100)</f>
        <v/>
      </c>
      <c r="W1170" s="7">
        <f>IF($C1170="","",U1170-V1170)</f>
        <v/>
      </c>
      <c r="X1170" s="7">
        <f>IF($C1170="","",W1170-N1170)</f>
        <v/>
      </c>
      <c r="AA1170">
        <f>IF($C1170="","",IF($AN1170=1,0,IF($AM1170=1,Settings!$C$6,Settings!$C$7))*100)</f>
        <v/>
      </c>
      <c r="AE1170" s="7" t="n"/>
      <c r="AH1170" s="11" t="n"/>
      <c r="AJ1170">
        <f>IF($C1170="","",$C1170&amp;"|"&amp;$D1170&amp;"")</f>
        <v/>
      </c>
      <c r="AK1170">
        <f>IF($C1170="","",IF(COUNTIF($AJ$2:$AJ1170,$AJ1170)=1,1,0))</f>
        <v/>
      </c>
      <c r="AL1170">
        <f>IF($AK1170=1,SUMPRODUCT(--($AO$2:$AO$1501&lt;$AO1170))+1,"")</f>
        <v/>
      </c>
      <c r="AM1170">
        <f>IF($C1170="","",IF(OR($Q1170=TRUE(),$Q1170="TRUE"),1,0))</f>
        <v/>
      </c>
      <c r="AN1170">
        <f>IF($C1170="","",IF($Z1170="Yes",1,0))</f>
        <v/>
      </c>
      <c r="AO1170">
        <f>IF($AK1170=1,IFERROR(IF(VALUE($C1170)&lt;100000000,VALUE($C1170),1000000000),IFERROR(IF(VALUE(MID($C1170,2,20))&lt;100000000,VALUE(MID($C1170,2,20)),1000000000),1000000000))+ROW()/100000,"")</f>
        <v/>
      </c>
    </row>
    <row r="1171">
      <c r="F1171" s="11" t="n"/>
      <c r="N1171" s="7">
        <f>IF($C1171="","",M1171*U1171/100)</f>
        <v/>
      </c>
      <c r="T1171" s="7" t="n"/>
      <c r="U1171" s="7" t="n"/>
      <c r="V1171" s="7">
        <f>IF($C1171="","",U1171*AA1171/100)</f>
        <v/>
      </c>
      <c r="W1171" s="7">
        <f>IF($C1171="","",U1171-V1171)</f>
        <v/>
      </c>
      <c r="X1171" s="7">
        <f>IF($C1171="","",W1171-N1171)</f>
        <v/>
      </c>
      <c r="AA1171">
        <f>IF($C1171="","",IF($AN1171=1,0,IF($AM1171=1,Settings!$C$6,Settings!$C$7))*100)</f>
        <v/>
      </c>
      <c r="AE1171" s="7" t="n"/>
      <c r="AH1171" s="11" t="n"/>
      <c r="AJ1171">
        <f>IF($C1171="","",$C1171&amp;"|"&amp;$D1171&amp;"")</f>
        <v/>
      </c>
      <c r="AK1171">
        <f>IF($C1171="","",IF(COUNTIF($AJ$2:$AJ1171,$AJ1171)=1,1,0))</f>
        <v/>
      </c>
      <c r="AL1171">
        <f>IF($AK1171=1,SUMPRODUCT(--($AO$2:$AO$1501&lt;$AO1171))+1,"")</f>
        <v/>
      </c>
      <c r="AM1171">
        <f>IF($C1171="","",IF(OR($Q1171=TRUE(),$Q1171="TRUE"),1,0))</f>
        <v/>
      </c>
      <c r="AN1171">
        <f>IF($C1171="","",IF($Z1171="Yes",1,0))</f>
        <v/>
      </c>
      <c r="AO1171">
        <f>IF($AK1171=1,IFERROR(IF(VALUE($C1171)&lt;100000000,VALUE($C1171),1000000000),IFERROR(IF(VALUE(MID($C1171,2,20))&lt;100000000,VALUE(MID($C1171,2,20)),1000000000),1000000000))+ROW()/100000,"")</f>
        <v/>
      </c>
    </row>
    <row r="1172">
      <c r="F1172" s="11" t="n"/>
      <c r="N1172" s="7">
        <f>IF($C1172="","",M1172*U1172/100)</f>
        <v/>
      </c>
      <c r="T1172" s="7" t="n"/>
      <c r="U1172" s="7" t="n"/>
      <c r="V1172" s="7">
        <f>IF($C1172="","",U1172*AA1172/100)</f>
        <v/>
      </c>
      <c r="W1172" s="7">
        <f>IF($C1172="","",U1172-V1172)</f>
        <v/>
      </c>
      <c r="X1172" s="7">
        <f>IF($C1172="","",W1172-N1172)</f>
        <v/>
      </c>
      <c r="AA1172">
        <f>IF($C1172="","",IF($AN1172=1,0,IF($AM1172=1,Settings!$C$6,Settings!$C$7))*100)</f>
        <v/>
      </c>
      <c r="AE1172" s="7" t="n"/>
      <c r="AH1172" s="11" t="n"/>
      <c r="AJ1172">
        <f>IF($C1172="","",$C1172&amp;"|"&amp;$D1172&amp;"")</f>
        <v/>
      </c>
      <c r="AK1172">
        <f>IF($C1172="","",IF(COUNTIF($AJ$2:$AJ1172,$AJ1172)=1,1,0))</f>
        <v/>
      </c>
      <c r="AL1172">
        <f>IF($AK1172=1,SUMPRODUCT(--($AO$2:$AO$1501&lt;$AO1172))+1,"")</f>
        <v/>
      </c>
      <c r="AM1172">
        <f>IF($C1172="","",IF(OR($Q1172=TRUE(),$Q1172="TRUE"),1,0))</f>
        <v/>
      </c>
      <c r="AN1172">
        <f>IF($C1172="","",IF($Z1172="Yes",1,0))</f>
        <v/>
      </c>
      <c r="AO1172">
        <f>IF($AK1172=1,IFERROR(IF(VALUE($C1172)&lt;100000000,VALUE($C1172),1000000000),IFERROR(IF(VALUE(MID($C1172,2,20))&lt;100000000,VALUE(MID($C1172,2,20)),1000000000),1000000000))+ROW()/100000,"")</f>
        <v/>
      </c>
    </row>
    <row r="1173">
      <c r="F1173" s="11" t="n"/>
      <c r="N1173" s="7">
        <f>IF($C1173="","",M1173*U1173/100)</f>
        <v/>
      </c>
      <c r="T1173" s="7" t="n"/>
      <c r="U1173" s="7" t="n"/>
      <c r="V1173" s="7">
        <f>IF($C1173="","",U1173*AA1173/100)</f>
        <v/>
      </c>
      <c r="W1173" s="7">
        <f>IF($C1173="","",U1173-V1173)</f>
        <v/>
      </c>
      <c r="X1173" s="7">
        <f>IF($C1173="","",W1173-N1173)</f>
        <v/>
      </c>
      <c r="AA1173">
        <f>IF($C1173="","",IF($AN1173=1,0,IF($AM1173=1,Settings!$C$6,Settings!$C$7))*100)</f>
        <v/>
      </c>
      <c r="AE1173" s="7" t="n"/>
      <c r="AH1173" s="11" t="n"/>
      <c r="AJ1173">
        <f>IF($C1173="","",$C1173&amp;"|"&amp;$D1173&amp;"")</f>
        <v/>
      </c>
      <c r="AK1173">
        <f>IF($C1173="","",IF(COUNTIF($AJ$2:$AJ1173,$AJ1173)=1,1,0))</f>
        <v/>
      </c>
      <c r="AL1173">
        <f>IF($AK1173=1,SUMPRODUCT(--($AO$2:$AO$1501&lt;$AO1173))+1,"")</f>
        <v/>
      </c>
      <c r="AM1173">
        <f>IF($C1173="","",IF(OR($Q1173=TRUE(),$Q1173="TRUE"),1,0))</f>
        <v/>
      </c>
      <c r="AN1173">
        <f>IF($C1173="","",IF($Z1173="Yes",1,0))</f>
        <v/>
      </c>
      <c r="AO1173">
        <f>IF($AK1173=1,IFERROR(IF(VALUE($C1173)&lt;100000000,VALUE($C1173),1000000000),IFERROR(IF(VALUE(MID($C1173,2,20))&lt;100000000,VALUE(MID($C1173,2,20)),1000000000),1000000000))+ROW()/100000,"")</f>
        <v/>
      </c>
    </row>
    <row r="1174">
      <c r="F1174" s="11" t="n"/>
      <c r="N1174" s="7">
        <f>IF($C1174="","",M1174*U1174/100)</f>
        <v/>
      </c>
      <c r="T1174" s="7" t="n"/>
      <c r="U1174" s="7" t="n"/>
      <c r="V1174" s="7">
        <f>IF($C1174="","",U1174*AA1174/100)</f>
        <v/>
      </c>
      <c r="W1174" s="7">
        <f>IF($C1174="","",U1174-V1174)</f>
        <v/>
      </c>
      <c r="X1174" s="7">
        <f>IF($C1174="","",W1174-N1174)</f>
        <v/>
      </c>
      <c r="AA1174">
        <f>IF($C1174="","",IF($AN1174=1,0,IF($AM1174=1,Settings!$C$6,Settings!$C$7))*100)</f>
        <v/>
      </c>
      <c r="AE1174" s="7" t="n"/>
      <c r="AH1174" s="11" t="n"/>
      <c r="AJ1174">
        <f>IF($C1174="","",$C1174&amp;"|"&amp;$D1174&amp;"")</f>
        <v/>
      </c>
      <c r="AK1174">
        <f>IF($C1174="","",IF(COUNTIF($AJ$2:$AJ1174,$AJ1174)=1,1,0))</f>
        <v/>
      </c>
      <c r="AL1174">
        <f>IF($AK1174=1,SUMPRODUCT(--($AO$2:$AO$1501&lt;$AO1174))+1,"")</f>
        <v/>
      </c>
      <c r="AM1174">
        <f>IF($C1174="","",IF(OR($Q1174=TRUE(),$Q1174="TRUE"),1,0))</f>
        <v/>
      </c>
      <c r="AN1174">
        <f>IF($C1174="","",IF($Z1174="Yes",1,0))</f>
        <v/>
      </c>
      <c r="AO1174">
        <f>IF($AK1174=1,IFERROR(IF(VALUE($C1174)&lt;100000000,VALUE($C1174),1000000000),IFERROR(IF(VALUE(MID($C1174,2,20))&lt;100000000,VALUE(MID($C1174,2,20)),1000000000),1000000000))+ROW()/100000,"")</f>
        <v/>
      </c>
    </row>
    <row r="1175">
      <c r="F1175" s="11" t="n"/>
      <c r="N1175" s="7">
        <f>IF($C1175="","",M1175*U1175/100)</f>
        <v/>
      </c>
      <c r="T1175" s="7" t="n"/>
      <c r="U1175" s="7" t="n"/>
      <c r="V1175" s="7">
        <f>IF($C1175="","",U1175*AA1175/100)</f>
        <v/>
      </c>
      <c r="W1175" s="7">
        <f>IF($C1175="","",U1175-V1175)</f>
        <v/>
      </c>
      <c r="X1175" s="7">
        <f>IF($C1175="","",W1175-N1175)</f>
        <v/>
      </c>
      <c r="AA1175">
        <f>IF($C1175="","",IF($AN1175=1,0,IF($AM1175=1,Settings!$C$6,Settings!$C$7))*100)</f>
        <v/>
      </c>
      <c r="AE1175" s="7" t="n"/>
      <c r="AH1175" s="11" t="n"/>
      <c r="AJ1175">
        <f>IF($C1175="","",$C1175&amp;"|"&amp;$D1175&amp;"")</f>
        <v/>
      </c>
      <c r="AK1175">
        <f>IF($C1175="","",IF(COUNTIF($AJ$2:$AJ1175,$AJ1175)=1,1,0))</f>
        <v/>
      </c>
      <c r="AL1175">
        <f>IF($AK1175=1,SUMPRODUCT(--($AO$2:$AO$1501&lt;$AO1175))+1,"")</f>
        <v/>
      </c>
      <c r="AM1175">
        <f>IF($C1175="","",IF(OR($Q1175=TRUE(),$Q1175="TRUE"),1,0))</f>
        <v/>
      </c>
      <c r="AN1175">
        <f>IF($C1175="","",IF($Z1175="Yes",1,0))</f>
        <v/>
      </c>
      <c r="AO1175">
        <f>IF($AK1175=1,IFERROR(IF(VALUE($C1175)&lt;100000000,VALUE($C1175),1000000000),IFERROR(IF(VALUE(MID($C1175,2,20))&lt;100000000,VALUE(MID($C1175,2,20)),1000000000),1000000000))+ROW()/100000,"")</f>
        <v/>
      </c>
    </row>
    <row r="1176">
      <c r="F1176" s="11" t="n"/>
      <c r="N1176" s="7">
        <f>IF($C1176="","",M1176*U1176/100)</f>
        <v/>
      </c>
      <c r="T1176" s="7" t="n"/>
      <c r="U1176" s="7" t="n"/>
      <c r="V1176" s="7">
        <f>IF($C1176="","",U1176*AA1176/100)</f>
        <v/>
      </c>
      <c r="W1176" s="7">
        <f>IF($C1176="","",U1176-V1176)</f>
        <v/>
      </c>
      <c r="X1176" s="7">
        <f>IF($C1176="","",W1176-N1176)</f>
        <v/>
      </c>
      <c r="AA1176">
        <f>IF($C1176="","",IF($AN1176=1,0,IF($AM1176=1,Settings!$C$6,Settings!$C$7))*100)</f>
        <v/>
      </c>
      <c r="AE1176" s="7" t="n"/>
      <c r="AH1176" s="11" t="n"/>
      <c r="AJ1176">
        <f>IF($C1176="","",$C1176&amp;"|"&amp;$D1176&amp;"")</f>
        <v/>
      </c>
      <c r="AK1176">
        <f>IF($C1176="","",IF(COUNTIF($AJ$2:$AJ1176,$AJ1176)=1,1,0))</f>
        <v/>
      </c>
      <c r="AL1176">
        <f>IF($AK1176=1,SUMPRODUCT(--($AO$2:$AO$1501&lt;$AO1176))+1,"")</f>
        <v/>
      </c>
      <c r="AM1176">
        <f>IF($C1176="","",IF(OR($Q1176=TRUE(),$Q1176="TRUE"),1,0))</f>
        <v/>
      </c>
      <c r="AN1176">
        <f>IF($C1176="","",IF($Z1176="Yes",1,0))</f>
        <v/>
      </c>
      <c r="AO1176">
        <f>IF($AK1176=1,IFERROR(IF(VALUE($C1176)&lt;100000000,VALUE($C1176),1000000000),IFERROR(IF(VALUE(MID($C1176,2,20))&lt;100000000,VALUE(MID($C1176,2,20)),1000000000),1000000000))+ROW()/100000,"")</f>
        <v/>
      </c>
    </row>
    <row r="1177">
      <c r="F1177" s="11" t="n"/>
      <c r="N1177" s="7">
        <f>IF($C1177="","",M1177*U1177/100)</f>
        <v/>
      </c>
      <c r="T1177" s="7" t="n"/>
      <c r="U1177" s="7" t="n"/>
      <c r="V1177" s="7">
        <f>IF($C1177="","",U1177*AA1177/100)</f>
        <v/>
      </c>
      <c r="W1177" s="7">
        <f>IF($C1177="","",U1177-V1177)</f>
        <v/>
      </c>
      <c r="X1177" s="7">
        <f>IF($C1177="","",W1177-N1177)</f>
        <v/>
      </c>
      <c r="AA1177">
        <f>IF($C1177="","",IF($AN1177=1,0,IF($AM1177=1,Settings!$C$6,Settings!$C$7))*100)</f>
        <v/>
      </c>
      <c r="AE1177" s="7" t="n"/>
      <c r="AH1177" s="11" t="n"/>
      <c r="AJ1177">
        <f>IF($C1177="","",$C1177&amp;"|"&amp;$D1177&amp;"")</f>
        <v/>
      </c>
      <c r="AK1177">
        <f>IF($C1177="","",IF(COUNTIF($AJ$2:$AJ1177,$AJ1177)=1,1,0))</f>
        <v/>
      </c>
      <c r="AL1177">
        <f>IF($AK1177=1,SUMPRODUCT(--($AO$2:$AO$1501&lt;$AO1177))+1,"")</f>
        <v/>
      </c>
      <c r="AM1177">
        <f>IF($C1177="","",IF(OR($Q1177=TRUE(),$Q1177="TRUE"),1,0))</f>
        <v/>
      </c>
      <c r="AN1177">
        <f>IF($C1177="","",IF($Z1177="Yes",1,0))</f>
        <v/>
      </c>
      <c r="AO1177">
        <f>IF($AK1177=1,IFERROR(IF(VALUE($C1177)&lt;100000000,VALUE($C1177),1000000000),IFERROR(IF(VALUE(MID($C1177,2,20))&lt;100000000,VALUE(MID($C1177,2,20)),1000000000),1000000000))+ROW()/100000,"")</f>
        <v/>
      </c>
    </row>
    <row r="1178">
      <c r="F1178" s="11" t="n"/>
      <c r="N1178" s="7">
        <f>IF($C1178="","",M1178*U1178/100)</f>
        <v/>
      </c>
      <c r="T1178" s="7" t="n"/>
      <c r="U1178" s="7" t="n"/>
      <c r="V1178" s="7">
        <f>IF($C1178="","",U1178*AA1178/100)</f>
        <v/>
      </c>
      <c r="W1178" s="7">
        <f>IF($C1178="","",U1178-V1178)</f>
        <v/>
      </c>
      <c r="X1178" s="7">
        <f>IF($C1178="","",W1178-N1178)</f>
        <v/>
      </c>
      <c r="AA1178">
        <f>IF($C1178="","",IF($AN1178=1,0,IF($AM1178=1,Settings!$C$6,Settings!$C$7))*100)</f>
        <v/>
      </c>
      <c r="AE1178" s="7" t="n"/>
      <c r="AH1178" s="11" t="n"/>
      <c r="AJ1178">
        <f>IF($C1178="","",$C1178&amp;"|"&amp;$D1178&amp;"")</f>
        <v/>
      </c>
      <c r="AK1178">
        <f>IF($C1178="","",IF(COUNTIF($AJ$2:$AJ1178,$AJ1178)=1,1,0))</f>
        <v/>
      </c>
      <c r="AL1178">
        <f>IF($AK1178=1,SUMPRODUCT(--($AO$2:$AO$1501&lt;$AO1178))+1,"")</f>
        <v/>
      </c>
      <c r="AM1178">
        <f>IF($C1178="","",IF(OR($Q1178=TRUE(),$Q1178="TRUE"),1,0))</f>
        <v/>
      </c>
      <c r="AN1178">
        <f>IF($C1178="","",IF($Z1178="Yes",1,0))</f>
        <v/>
      </c>
      <c r="AO1178">
        <f>IF($AK1178=1,IFERROR(IF(VALUE($C1178)&lt;100000000,VALUE($C1178),1000000000),IFERROR(IF(VALUE(MID($C1178,2,20))&lt;100000000,VALUE(MID($C1178,2,20)),1000000000),1000000000))+ROW()/100000,"")</f>
        <v/>
      </c>
    </row>
    <row r="1179">
      <c r="F1179" s="11" t="n"/>
      <c r="N1179" s="7">
        <f>IF($C1179="","",M1179*U1179/100)</f>
        <v/>
      </c>
      <c r="T1179" s="7" t="n"/>
      <c r="U1179" s="7" t="n"/>
      <c r="V1179" s="7">
        <f>IF($C1179="","",U1179*AA1179/100)</f>
        <v/>
      </c>
      <c r="W1179" s="7">
        <f>IF($C1179="","",U1179-V1179)</f>
        <v/>
      </c>
      <c r="X1179" s="7">
        <f>IF($C1179="","",W1179-N1179)</f>
        <v/>
      </c>
      <c r="AA1179">
        <f>IF($C1179="","",IF($AN1179=1,0,IF($AM1179=1,Settings!$C$6,Settings!$C$7))*100)</f>
        <v/>
      </c>
      <c r="AE1179" s="7" t="n"/>
      <c r="AH1179" s="11" t="n"/>
      <c r="AJ1179">
        <f>IF($C1179="","",$C1179&amp;"|"&amp;$D1179&amp;"")</f>
        <v/>
      </c>
      <c r="AK1179">
        <f>IF($C1179="","",IF(COUNTIF($AJ$2:$AJ1179,$AJ1179)=1,1,0))</f>
        <v/>
      </c>
      <c r="AL1179">
        <f>IF($AK1179=1,SUMPRODUCT(--($AO$2:$AO$1501&lt;$AO1179))+1,"")</f>
        <v/>
      </c>
      <c r="AM1179">
        <f>IF($C1179="","",IF(OR($Q1179=TRUE(),$Q1179="TRUE"),1,0))</f>
        <v/>
      </c>
      <c r="AN1179">
        <f>IF($C1179="","",IF($Z1179="Yes",1,0))</f>
        <v/>
      </c>
      <c r="AO1179">
        <f>IF($AK1179=1,IFERROR(IF(VALUE($C1179)&lt;100000000,VALUE($C1179),1000000000),IFERROR(IF(VALUE(MID($C1179,2,20))&lt;100000000,VALUE(MID($C1179,2,20)),1000000000),1000000000))+ROW()/100000,"")</f>
        <v/>
      </c>
    </row>
    <row r="1180">
      <c r="F1180" s="11" t="n"/>
      <c r="N1180" s="7">
        <f>IF($C1180="","",M1180*U1180/100)</f>
        <v/>
      </c>
      <c r="T1180" s="7" t="n"/>
      <c r="U1180" s="7" t="n"/>
      <c r="V1180" s="7">
        <f>IF($C1180="","",U1180*AA1180/100)</f>
        <v/>
      </c>
      <c r="W1180" s="7">
        <f>IF($C1180="","",U1180-V1180)</f>
        <v/>
      </c>
      <c r="X1180" s="7">
        <f>IF($C1180="","",W1180-N1180)</f>
        <v/>
      </c>
      <c r="AA1180">
        <f>IF($C1180="","",IF($AN1180=1,0,IF($AM1180=1,Settings!$C$6,Settings!$C$7))*100)</f>
        <v/>
      </c>
      <c r="AE1180" s="7" t="n"/>
      <c r="AH1180" s="11" t="n"/>
      <c r="AJ1180">
        <f>IF($C1180="","",$C1180&amp;"|"&amp;$D1180&amp;"")</f>
        <v/>
      </c>
      <c r="AK1180">
        <f>IF($C1180="","",IF(COUNTIF($AJ$2:$AJ1180,$AJ1180)=1,1,0))</f>
        <v/>
      </c>
      <c r="AL1180">
        <f>IF($AK1180=1,SUMPRODUCT(--($AO$2:$AO$1501&lt;$AO1180))+1,"")</f>
        <v/>
      </c>
      <c r="AM1180">
        <f>IF($C1180="","",IF(OR($Q1180=TRUE(),$Q1180="TRUE"),1,0))</f>
        <v/>
      </c>
      <c r="AN1180">
        <f>IF($C1180="","",IF($Z1180="Yes",1,0))</f>
        <v/>
      </c>
      <c r="AO1180">
        <f>IF($AK1180=1,IFERROR(IF(VALUE($C1180)&lt;100000000,VALUE($C1180),1000000000),IFERROR(IF(VALUE(MID($C1180,2,20))&lt;100000000,VALUE(MID($C1180,2,20)),1000000000),1000000000))+ROW()/100000,"")</f>
        <v/>
      </c>
    </row>
    <row r="1181">
      <c r="F1181" s="11" t="n"/>
      <c r="N1181" s="7">
        <f>IF($C1181="","",M1181*U1181/100)</f>
        <v/>
      </c>
      <c r="T1181" s="7" t="n"/>
      <c r="U1181" s="7" t="n"/>
      <c r="V1181" s="7">
        <f>IF($C1181="","",U1181*AA1181/100)</f>
        <v/>
      </c>
      <c r="W1181" s="7">
        <f>IF($C1181="","",U1181-V1181)</f>
        <v/>
      </c>
      <c r="X1181" s="7">
        <f>IF($C1181="","",W1181-N1181)</f>
        <v/>
      </c>
      <c r="AA1181">
        <f>IF($C1181="","",IF($AN1181=1,0,IF($AM1181=1,Settings!$C$6,Settings!$C$7))*100)</f>
        <v/>
      </c>
      <c r="AE1181" s="7" t="n"/>
      <c r="AH1181" s="11" t="n"/>
      <c r="AJ1181">
        <f>IF($C1181="","",$C1181&amp;"|"&amp;$D1181&amp;"")</f>
        <v/>
      </c>
      <c r="AK1181">
        <f>IF($C1181="","",IF(COUNTIF($AJ$2:$AJ1181,$AJ1181)=1,1,0))</f>
        <v/>
      </c>
      <c r="AL1181">
        <f>IF($AK1181=1,SUMPRODUCT(--($AO$2:$AO$1501&lt;$AO1181))+1,"")</f>
        <v/>
      </c>
      <c r="AM1181">
        <f>IF($C1181="","",IF(OR($Q1181=TRUE(),$Q1181="TRUE"),1,0))</f>
        <v/>
      </c>
      <c r="AN1181">
        <f>IF($C1181="","",IF($Z1181="Yes",1,0))</f>
        <v/>
      </c>
      <c r="AO1181">
        <f>IF($AK1181=1,IFERROR(IF(VALUE($C1181)&lt;100000000,VALUE($C1181),1000000000),IFERROR(IF(VALUE(MID($C1181,2,20))&lt;100000000,VALUE(MID($C1181,2,20)),1000000000),1000000000))+ROW()/100000,"")</f>
        <v/>
      </c>
    </row>
    <row r="1182">
      <c r="F1182" s="11" t="n"/>
      <c r="N1182" s="7">
        <f>IF($C1182="","",M1182*U1182/100)</f>
        <v/>
      </c>
      <c r="T1182" s="7" t="n"/>
      <c r="U1182" s="7" t="n"/>
      <c r="V1182" s="7">
        <f>IF($C1182="","",U1182*AA1182/100)</f>
        <v/>
      </c>
      <c r="W1182" s="7">
        <f>IF($C1182="","",U1182-V1182)</f>
        <v/>
      </c>
      <c r="X1182" s="7">
        <f>IF($C1182="","",W1182-N1182)</f>
        <v/>
      </c>
      <c r="AA1182">
        <f>IF($C1182="","",IF($AN1182=1,0,IF($AM1182=1,Settings!$C$6,Settings!$C$7))*100)</f>
        <v/>
      </c>
      <c r="AE1182" s="7" t="n"/>
      <c r="AH1182" s="11" t="n"/>
      <c r="AJ1182">
        <f>IF($C1182="","",$C1182&amp;"|"&amp;$D1182&amp;"")</f>
        <v/>
      </c>
      <c r="AK1182">
        <f>IF($C1182="","",IF(COUNTIF($AJ$2:$AJ1182,$AJ1182)=1,1,0))</f>
        <v/>
      </c>
      <c r="AL1182">
        <f>IF($AK1182=1,SUMPRODUCT(--($AO$2:$AO$1501&lt;$AO1182))+1,"")</f>
        <v/>
      </c>
      <c r="AM1182">
        <f>IF($C1182="","",IF(OR($Q1182=TRUE(),$Q1182="TRUE"),1,0))</f>
        <v/>
      </c>
      <c r="AN1182">
        <f>IF($C1182="","",IF($Z1182="Yes",1,0))</f>
        <v/>
      </c>
      <c r="AO1182">
        <f>IF($AK1182=1,IFERROR(IF(VALUE($C1182)&lt;100000000,VALUE($C1182),1000000000),IFERROR(IF(VALUE(MID($C1182,2,20))&lt;100000000,VALUE(MID($C1182,2,20)),1000000000),1000000000))+ROW()/100000,"")</f>
        <v/>
      </c>
    </row>
    <row r="1183">
      <c r="F1183" s="11" t="n"/>
      <c r="N1183" s="7">
        <f>IF($C1183="","",M1183*U1183/100)</f>
        <v/>
      </c>
      <c r="T1183" s="7" t="n"/>
      <c r="U1183" s="7" t="n"/>
      <c r="V1183" s="7">
        <f>IF($C1183="","",U1183*AA1183/100)</f>
        <v/>
      </c>
      <c r="W1183" s="7">
        <f>IF($C1183="","",U1183-V1183)</f>
        <v/>
      </c>
      <c r="X1183" s="7">
        <f>IF($C1183="","",W1183-N1183)</f>
        <v/>
      </c>
      <c r="AA1183">
        <f>IF($C1183="","",IF($AN1183=1,0,IF($AM1183=1,Settings!$C$6,Settings!$C$7))*100)</f>
        <v/>
      </c>
      <c r="AE1183" s="7" t="n"/>
      <c r="AH1183" s="11" t="n"/>
      <c r="AJ1183">
        <f>IF($C1183="","",$C1183&amp;"|"&amp;$D1183&amp;"")</f>
        <v/>
      </c>
      <c r="AK1183">
        <f>IF($C1183="","",IF(COUNTIF($AJ$2:$AJ1183,$AJ1183)=1,1,0))</f>
        <v/>
      </c>
      <c r="AL1183">
        <f>IF($AK1183=1,SUMPRODUCT(--($AO$2:$AO$1501&lt;$AO1183))+1,"")</f>
        <v/>
      </c>
      <c r="AM1183">
        <f>IF($C1183="","",IF(OR($Q1183=TRUE(),$Q1183="TRUE"),1,0))</f>
        <v/>
      </c>
      <c r="AN1183">
        <f>IF($C1183="","",IF($Z1183="Yes",1,0))</f>
        <v/>
      </c>
      <c r="AO1183">
        <f>IF($AK1183=1,IFERROR(IF(VALUE($C1183)&lt;100000000,VALUE($C1183),1000000000),IFERROR(IF(VALUE(MID($C1183,2,20))&lt;100000000,VALUE(MID($C1183,2,20)),1000000000),1000000000))+ROW()/100000,"")</f>
        <v/>
      </c>
    </row>
    <row r="1184">
      <c r="F1184" s="11" t="n"/>
      <c r="N1184" s="7">
        <f>IF($C1184="","",M1184*U1184/100)</f>
        <v/>
      </c>
      <c r="T1184" s="7" t="n"/>
      <c r="U1184" s="7" t="n"/>
      <c r="V1184" s="7">
        <f>IF($C1184="","",U1184*AA1184/100)</f>
        <v/>
      </c>
      <c r="W1184" s="7">
        <f>IF($C1184="","",U1184-V1184)</f>
        <v/>
      </c>
      <c r="X1184" s="7">
        <f>IF($C1184="","",W1184-N1184)</f>
        <v/>
      </c>
      <c r="AA1184">
        <f>IF($C1184="","",IF($AN1184=1,0,IF($AM1184=1,Settings!$C$6,Settings!$C$7))*100)</f>
        <v/>
      </c>
      <c r="AE1184" s="7" t="n"/>
      <c r="AH1184" s="11" t="n"/>
      <c r="AJ1184">
        <f>IF($C1184="","",$C1184&amp;"|"&amp;$D1184&amp;"")</f>
        <v/>
      </c>
      <c r="AK1184">
        <f>IF($C1184="","",IF(COUNTIF($AJ$2:$AJ1184,$AJ1184)=1,1,0))</f>
        <v/>
      </c>
      <c r="AL1184">
        <f>IF($AK1184=1,SUMPRODUCT(--($AO$2:$AO$1501&lt;$AO1184))+1,"")</f>
        <v/>
      </c>
      <c r="AM1184">
        <f>IF($C1184="","",IF(OR($Q1184=TRUE(),$Q1184="TRUE"),1,0))</f>
        <v/>
      </c>
      <c r="AN1184">
        <f>IF($C1184="","",IF($Z1184="Yes",1,0))</f>
        <v/>
      </c>
      <c r="AO1184">
        <f>IF($AK1184=1,IFERROR(IF(VALUE($C1184)&lt;100000000,VALUE($C1184),1000000000),IFERROR(IF(VALUE(MID($C1184,2,20))&lt;100000000,VALUE(MID($C1184,2,20)),1000000000),1000000000))+ROW()/100000,"")</f>
        <v/>
      </c>
    </row>
    <row r="1185">
      <c r="F1185" s="11" t="n"/>
      <c r="N1185" s="7">
        <f>IF($C1185="","",M1185*U1185/100)</f>
        <v/>
      </c>
      <c r="T1185" s="7" t="n"/>
      <c r="U1185" s="7" t="n"/>
      <c r="V1185" s="7">
        <f>IF($C1185="","",U1185*AA1185/100)</f>
        <v/>
      </c>
      <c r="W1185" s="7">
        <f>IF($C1185="","",U1185-V1185)</f>
        <v/>
      </c>
      <c r="X1185" s="7">
        <f>IF($C1185="","",W1185-N1185)</f>
        <v/>
      </c>
      <c r="AA1185">
        <f>IF($C1185="","",IF($AN1185=1,0,IF($AM1185=1,Settings!$C$6,Settings!$C$7))*100)</f>
        <v/>
      </c>
      <c r="AE1185" s="7" t="n"/>
      <c r="AH1185" s="11" t="n"/>
      <c r="AJ1185">
        <f>IF($C1185="","",$C1185&amp;"|"&amp;$D1185&amp;"")</f>
        <v/>
      </c>
      <c r="AK1185">
        <f>IF($C1185="","",IF(COUNTIF($AJ$2:$AJ1185,$AJ1185)=1,1,0))</f>
        <v/>
      </c>
      <c r="AL1185">
        <f>IF($AK1185=1,SUMPRODUCT(--($AO$2:$AO$1501&lt;$AO1185))+1,"")</f>
        <v/>
      </c>
      <c r="AM1185">
        <f>IF($C1185="","",IF(OR($Q1185=TRUE(),$Q1185="TRUE"),1,0))</f>
        <v/>
      </c>
      <c r="AN1185">
        <f>IF($C1185="","",IF($Z1185="Yes",1,0))</f>
        <v/>
      </c>
      <c r="AO1185">
        <f>IF($AK1185=1,IFERROR(IF(VALUE($C1185)&lt;100000000,VALUE($C1185),1000000000),IFERROR(IF(VALUE(MID($C1185,2,20))&lt;100000000,VALUE(MID($C1185,2,20)),1000000000),1000000000))+ROW()/100000,"")</f>
        <v/>
      </c>
    </row>
    <row r="1186">
      <c r="F1186" s="11" t="n"/>
      <c r="N1186" s="7">
        <f>IF($C1186="","",M1186*U1186/100)</f>
        <v/>
      </c>
      <c r="T1186" s="7" t="n"/>
      <c r="U1186" s="7" t="n"/>
      <c r="V1186" s="7">
        <f>IF($C1186="","",U1186*AA1186/100)</f>
        <v/>
      </c>
      <c r="W1186" s="7">
        <f>IF($C1186="","",U1186-V1186)</f>
        <v/>
      </c>
      <c r="X1186" s="7">
        <f>IF($C1186="","",W1186-N1186)</f>
        <v/>
      </c>
      <c r="AA1186">
        <f>IF($C1186="","",IF($AN1186=1,0,IF($AM1186=1,Settings!$C$6,Settings!$C$7))*100)</f>
        <v/>
      </c>
      <c r="AE1186" s="7" t="n"/>
      <c r="AH1186" s="11" t="n"/>
      <c r="AJ1186">
        <f>IF($C1186="","",$C1186&amp;"|"&amp;$D1186&amp;"")</f>
        <v/>
      </c>
      <c r="AK1186">
        <f>IF($C1186="","",IF(COUNTIF($AJ$2:$AJ1186,$AJ1186)=1,1,0))</f>
        <v/>
      </c>
      <c r="AL1186">
        <f>IF($AK1186=1,SUMPRODUCT(--($AO$2:$AO$1501&lt;$AO1186))+1,"")</f>
        <v/>
      </c>
      <c r="AM1186">
        <f>IF($C1186="","",IF(OR($Q1186=TRUE(),$Q1186="TRUE"),1,0))</f>
        <v/>
      </c>
      <c r="AN1186">
        <f>IF($C1186="","",IF($Z1186="Yes",1,0))</f>
        <v/>
      </c>
      <c r="AO1186">
        <f>IF($AK1186=1,IFERROR(IF(VALUE($C1186)&lt;100000000,VALUE($C1186),1000000000),IFERROR(IF(VALUE(MID($C1186,2,20))&lt;100000000,VALUE(MID($C1186,2,20)),1000000000),1000000000))+ROW()/100000,"")</f>
        <v/>
      </c>
    </row>
    <row r="1187">
      <c r="F1187" s="11" t="n"/>
      <c r="N1187" s="7">
        <f>IF($C1187="","",M1187*U1187/100)</f>
        <v/>
      </c>
      <c r="T1187" s="7" t="n"/>
      <c r="U1187" s="7" t="n"/>
      <c r="V1187" s="7">
        <f>IF($C1187="","",U1187*AA1187/100)</f>
        <v/>
      </c>
      <c r="W1187" s="7">
        <f>IF($C1187="","",U1187-V1187)</f>
        <v/>
      </c>
      <c r="X1187" s="7">
        <f>IF($C1187="","",W1187-N1187)</f>
        <v/>
      </c>
      <c r="AA1187">
        <f>IF($C1187="","",IF($AN1187=1,0,IF($AM1187=1,Settings!$C$6,Settings!$C$7))*100)</f>
        <v/>
      </c>
      <c r="AE1187" s="7" t="n"/>
      <c r="AH1187" s="11" t="n"/>
      <c r="AJ1187">
        <f>IF($C1187="","",$C1187&amp;"|"&amp;$D1187&amp;"")</f>
        <v/>
      </c>
      <c r="AK1187">
        <f>IF($C1187="","",IF(COUNTIF($AJ$2:$AJ1187,$AJ1187)=1,1,0))</f>
        <v/>
      </c>
      <c r="AL1187">
        <f>IF($AK1187=1,SUMPRODUCT(--($AO$2:$AO$1501&lt;$AO1187))+1,"")</f>
        <v/>
      </c>
      <c r="AM1187">
        <f>IF($C1187="","",IF(OR($Q1187=TRUE(),$Q1187="TRUE"),1,0))</f>
        <v/>
      </c>
      <c r="AN1187">
        <f>IF($C1187="","",IF($Z1187="Yes",1,0))</f>
        <v/>
      </c>
      <c r="AO1187">
        <f>IF($AK1187=1,IFERROR(IF(VALUE($C1187)&lt;100000000,VALUE($C1187),1000000000),IFERROR(IF(VALUE(MID($C1187,2,20))&lt;100000000,VALUE(MID($C1187,2,20)),1000000000),1000000000))+ROW()/100000,"")</f>
        <v/>
      </c>
    </row>
    <row r="1188">
      <c r="F1188" s="11" t="n"/>
      <c r="N1188" s="7">
        <f>IF($C1188="","",M1188*U1188/100)</f>
        <v/>
      </c>
      <c r="T1188" s="7" t="n"/>
      <c r="U1188" s="7" t="n"/>
      <c r="V1188" s="7">
        <f>IF($C1188="","",U1188*AA1188/100)</f>
        <v/>
      </c>
      <c r="W1188" s="7">
        <f>IF($C1188="","",U1188-V1188)</f>
        <v/>
      </c>
      <c r="X1188" s="7">
        <f>IF($C1188="","",W1188-N1188)</f>
        <v/>
      </c>
      <c r="AA1188">
        <f>IF($C1188="","",IF($AN1188=1,0,IF($AM1188=1,Settings!$C$6,Settings!$C$7))*100)</f>
        <v/>
      </c>
      <c r="AE1188" s="7" t="n"/>
      <c r="AH1188" s="11" t="n"/>
      <c r="AJ1188">
        <f>IF($C1188="","",$C1188&amp;"|"&amp;$D1188&amp;"")</f>
        <v/>
      </c>
      <c r="AK1188">
        <f>IF($C1188="","",IF(COUNTIF($AJ$2:$AJ1188,$AJ1188)=1,1,0))</f>
        <v/>
      </c>
      <c r="AL1188">
        <f>IF($AK1188=1,SUMPRODUCT(--($AO$2:$AO$1501&lt;$AO1188))+1,"")</f>
        <v/>
      </c>
      <c r="AM1188">
        <f>IF($C1188="","",IF(OR($Q1188=TRUE(),$Q1188="TRUE"),1,0))</f>
        <v/>
      </c>
      <c r="AN1188">
        <f>IF($C1188="","",IF($Z1188="Yes",1,0))</f>
        <v/>
      </c>
      <c r="AO1188">
        <f>IF($AK1188=1,IFERROR(IF(VALUE($C1188)&lt;100000000,VALUE($C1188),1000000000),IFERROR(IF(VALUE(MID($C1188,2,20))&lt;100000000,VALUE(MID($C1188,2,20)),1000000000),1000000000))+ROW()/100000,"")</f>
        <v/>
      </c>
    </row>
    <row r="1189">
      <c r="F1189" s="11" t="n"/>
      <c r="N1189" s="7">
        <f>IF($C1189="","",M1189*U1189/100)</f>
        <v/>
      </c>
      <c r="T1189" s="7" t="n"/>
      <c r="U1189" s="7" t="n"/>
      <c r="V1189" s="7">
        <f>IF($C1189="","",U1189*AA1189/100)</f>
        <v/>
      </c>
      <c r="W1189" s="7">
        <f>IF($C1189="","",U1189-V1189)</f>
        <v/>
      </c>
      <c r="X1189" s="7">
        <f>IF($C1189="","",W1189-N1189)</f>
        <v/>
      </c>
      <c r="AA1189">
        <f>IF($C1189="","",IF($AN1189=1,0,IF($AM1189=1,Settings!$C$6,Settings!$C$7))*100)</f>
        <v/>
      </c>
      <c r="AE1189" s="7" t="n"/>
      <c r="AH1189" s="11" t="n"/>
      <c r="AJ1189">
        <f>IF($C1189="","",$C1189&amp;"|"&amp;$D1189&amp;"")</f>
        <v/>
      </c>
      <c r="AK1189">
        <f>IF($C1189="","",IF(COUNTIF($AJ$2:$AJ1189,$AJ1189)=1,1,0))</f>
        <v/>
      </c>
      <c r="AL1189">
        <f>IF($AK1189=1,SUMPRODUCT(--($AO$2:$AO$1501&lt;$AO1189))+1,"")</f>
        <v/>
      </c>
      <c r="AM1189">
        <f>IF($C1189="","",IF(OR($Q1189=TRUE(),$Q1189="TRUE"),1,0))</f>
        <v/>
      </c>
      <c r="AN1189">
        <f>IF($C1189="","",IF($Z1189="Yes",1,0))</f>
        <v/>
      </c>
      <c r="AO1189">
        <f>IF($AK1189=1,IFERROR(IF(VALUE($C1189)&lt;100000000,VALUE($C1189),1000000000),IFERROR(IF(VALUE(MID($C1189,2,20))&lt;100000000,VALUE(MID($C1189,2,20)),1000000000),1000000000))+ROW()/100000,"")</f>
        <v/>
      </c>
    </row>
    <row r="1190">
      <c r="F1190" s="11" t="n"/>
      <c r="N1190" s="7">
        <f>IF($C1190="","",M1190*U1190/100)</f>
        <v/>
      </c>
      <c r="T1190" s="7" t="n"/>
      <c r="U1190" s="7" t="n"/>
      <c r="V1190" s="7">
        <f>IF($C1190="","",U1190*AA1190/100)</f>
        <v/>
      </c>
      <c r="W1190" s="7">
        <f>IF($C1190="","",U1190-V1190)</f>
        <v/>
      </c>
      <c r="X1190" s="7">
        <f>IF($C1190="","",W1190-N1190)</f>
        <v/>
      </c>
      <c r="AA1190">
        <f>IF($C1190="","",IF($AN1190=1,0,IF($AM1190=1,Settings!$C$6,Settings!$C$7))*100)</f>
        <v/>
      </c>
      <c r="AE1190" s="7" t="n"/>
      <c r="AH1190" s="11" t="n"/>
      <c r="AJ1190">
        <f>IF($C1190="","",$C1190&amp;"|"&amp;$D1190&amp;"")</f>
        <v/>
      </c>
      <c r="AK1190">
        <f>IF($C1190="","",IF(COUNTIF($AJ$2:$AJ1190,$AJ1190)=1,1,0))</f>
        <v/>
      </c>
      <c r="AL1190">
        <f>IF($AK1190=1,SUMPRODUCT(--($AO$2:$AO$1501&lt;$AO1190))+1,"")</f>
        <v/>
      </c>
      <c r="AM1190">
        <f>IF($C1190="","",IF(OR($Q1190=TRUE(),$Q1190="TRUE"),1,0))</f>
        <v/>
      </c>
      <c r="AN1190">
        <f>IF($C1190="","",IF($Z1190="Yes",1,0))</f>
        <v/>
      </c>
      <c r="AO1190">
        <f>IF($AK1190=1,IFERROR(IF(VALUE($C1190)&lt;100000000,VALUE($C1190),1000000000),IFERROR(IF(VALUE(MID($C1190,2,20))&lt;100000000,VALUE(MID($C1190,2,20)),1000000000),1000000000))+ROW()/100000,"")</f>
        <v/>
      </c>
    </row>
    <row r="1191">
      <c r="F1191" s="11" t="n"/>
      <c r="N1191" s="7">
        <f>IF($C1191="","",M1191*U1191/100)</f>
        <v/>
      </c>
      <c r="T1191" s="7" t="n"/>
      <c r="U1191" s="7" t="n"/>
      <c r="V1191" s="7">
        <f>IF($C1191="","",U1191*AA1191/100)</f>
        <v/>
      </c>
      <c r="W1191" s="7">
        <f>IF($C1191="","",U1191-V1191)</f>
        <v/>
      </c>
      <c r="X1191" s="7">
        <f>IF($C1191="","",W1191-N1191)</f>
        <v/>
      </c>
      <c r="AA1191">
        <f>IF($C1191="","",IF($AN1191=1,0,IF($AM1191=1,Settings!$C$6,Settings!$C$7))*100)</f>
        <v/>
      </c>
      <c r="AE1191" s="7" t="n"/>
      <c r="AH1191" s="11" t="n"/>
      <c r="AJ1191">
        <f>IF($C1191="","",$C1191&amp;"|"&amp;$D1191&amp;"")</f>
        <v/>
      </c>
      <c r="AK1191">
        <f>IF($C1191="","",IF(COUNTIF($AJ$2:$AJ1191,$AJ1191)=1,1,0))</f>
        <v/>
      </c>
      <c r="AL1191">
        <f>IF($AK1191=1,SUMPRODUCT(--($AO$2:$AO$1501&lt;$AO1191))+1,"")</f>
        <v/>
      </c>
      <c r="AM1191">
        <f>IF($C1191="","",IF(OR($Q1191=TRUE(),$Q1191="TRUE"),1,0))</f>
        <v/>
      </c>
      <c r="AN1191">
        <f>IF($C1191="","",IF($Z1191="Yes",1,0))</f>
        <v/>
      </c>
      <c r="AO1191">
        <f>IF($AK1191=1,IFERROR(IF(VALUE($C1191)&lt;100000000,VALUE($C1191),1000000000),IFERROR(IF(VALUE(MID($C1191,2,20))&lt;100000000,VALUE(MID($C1191,2,20)),1000000000),1000000000))+ROW()/100000,"")</f>
        <v/>
      </c>
    </row>
    <row r="1192">
      <c r="F1192" s="11" t="n"/>
      <c r="N1192" s="7">
        <f>IF($C1192="","",M1192*U1192/100)</f>
        <v/>
      </c>
      <c r="T1192" s="7" t="n"/>
      <c r="U1192" s="7" t="n"/>
      <c r="V1192" s="7">
        <f>IF($C1192="","",U1192*AA1192/100)</f>
        <v/>
      </c>
      <c r="W1192" s="7">
        <f>IF($C1192="","",U1192-V1192)</f>
        <v/>
      </c>
      <c r="X1192" s="7">
        <f>IF($C1192="","",W1192-N1192)</f>
        <v/>
      </c>
      <c r="AA1192">
        <f>IF($C1192="","",IF($AN1192=1,0,IF($AM1192=1,Settings!$C$6,Settings!$C$7))*100)</f>
        <v/>
      </c>
      <c r="AE1192" s="7" t="n"/>
      <c r="AH1192" s="11" t="n"/>
      <c r="AJ1192">
        <f>IF($C1192="","",$C1192&amp;"|"&amp;$D1192&amp;"")</f>
        <v/>
      </c>
      <c r="AK1192">
        <f>IF($C1192="","",IF(COUNTIF($AJ$2:$AJ1192,$AJ1192)=1,1,0))</f>
        <v/>
      </c>
      <c r="AL1192">
        <f>IF($AK1192=1,SUMPRODUCT(--($AO$2:$AO$1501&lt;$AO1192))+1,"")</f>
        <v/>
      </c>
      <c r="AM1192">
        <f>IF($C1192="","",IF(OR($Q1192=TRUE(),$Q1192="TRUE"),1,0))</f>
        <v/>
      </c>
      <c r="AN1192">
        <f>IF($C1192="","",IF($Z1192="Yes",1,0))</f>
        <v/>
      </c>
      <c r="AO1192">
        <f>IF($AK1192=1,IFERROR(IF(VALUE($C1192)&lt;100000000,VALUE($C1192),1000000000),IFERROR(IF(VALUE(MID($C1192,2,20))&lt;100000000,VALUE(MID($C1192,2,20)),1000000000),1000000000))+ROW()/100000,"")</f>
        <v/>
      </c>
    </row>
    <row r="1193">
      <c r="F1193" s="11" t="n"/>
      <c r="N1193" s="7">
        <f>IF($C1193="","",M1193*U1193/100)</f>
        <v/>
      </c>
      <c r="T1193" s="7" t="n"/>
      <c r="U1193" s="7" t="n"/>
      <c r="V1193" s="7">
        <f>IF($C1193="","",U1193*AA1193/100)</f>
        <v/>
      </c>
      <c r="W1193" s="7">
        <f>IF($C1193="","",U1193-V1193)</f>
        <v/>
      </c>
      <c r="X1193" s="7">
        <f>IF($C1193="","",W1193-N1193)</f>
        <v/>
      </c>
      <c r="AA1193">
        <f>IF($C1193="","",IF($AN1193=1,0,IF($AM1193=1,Settings!$C$6,Settings!$C$7))*100)</f>
        <v/>
      </c>
      <c r="AE1193" s="7" t="n"/>
      <c r="AH1193" s="11" t="n"/>
      <c r="AJ1193">
        <f>IF($C1193="","",$C1193&amp;"|"&amp;$D1193&amp;"")</f>
        <v/>
      </c>
      <c r="AK1193">
        <f>IF($C1193="","",IF(COUNTIF($AJ$2:$AJ1193,$AJ1193)=1,1,0))</f>
        <v/>
      </c>
      <c r="AL1193">
        <f>IF($AK1193=1,SUMPRODUCT(--($AO$2:$AO$1501&lt;$AO1193))+1,"")</f>
        <v/>
      </c>
      <c r="AM1193">
        <f>IF($C1193="","",IF(OR($Q1193=TRUE(),$Q1193="TRUE"),1,0))</f>
        <v/>
      </c>
      <c r="AN1193">
        <f>IF($C1193="","",IF($Z1193="Yes",1,0))</f>
        <v/>
      </c>
      <c r="AO1193">
        <f>IF($AK1193=1,IFERROR(IF(VALUE($C1193)&lt;100000000,VALUE($C1193),1000000000),IFERROR(IF(VALUE(MID($C1193,2,20))&lt;100000000,VALUE(MID($C1193,2,20)),1000000000),1000000000))+ROW()/100000,"")</f>
        <v/>
      </c>
    </row>
    <row r="1194">
      <c r="F1194" s="11" t="n"/>
      <c r="N1194" s="7">
        <f>IF($C1194="","",M1194*U1194/100)</f>
        <v/>
      </c>
      <c r="T1194" s="7" t="n"/>
      <c r="U1194" s="7" t="n"/>
      <c r="V1194" s="7">
        <f>IF($C1194="","",U1194*AA1194/100)</f>
        <v/>
      </c>
      <c r="W1194" s="7">
        <f>IF($C1194="","",U1194-V1194)</f>
        <v/>
      </c>
      <c r="X1194" s="7">
        <f>IF($C1194="","",W1194-N1194)</f>
        <v/>
      </c>
      <c r="AA1194">
        <f>IF($C1194="","",IF($AN1194=1,0,IF($AM1194=1,Settings!$C$6,Settings!$C$7))*100)</f>
        <v/>
      </c>
      <c r="AE1194" s="7" t="n"/>
      <c r="AH1194" s="11" t="n"/>
      <c r="AJ1194">
        <f>IF($C1194="","",$C1194&amp;"|"&amp;$D1194&amp;"")</f>
        <v/>
      </c>
      <c r="AK1194">
        <f>IF($C1194="","",IF(COUNTIF($AJ$2:$AJ1194,$AJ1194)=1,1,0))</f>
        <v/>
      </c>
      <c r="AL1194">
        <f>IF($AK1194=1,SUMPRODUCT(--($AO$2:$AO$1501&lt;$AO1194))+1,"")</f>
        <v/>
      </c>
      <c r="AM1194">
        <f>IF($C1194="","",IF(OR($Q1194=TRUE(),$Q1194="TRUE"),1,0))</f>
        <v/>
      </c>
      <c r="AN1194">
        <f>IF($C1194="","",IF($Z1194="Yes",1,0))</f>
        <v/>
      </c>
      <c r="AO1194">
        <f>IF($AK1194=1,IFERROR(IF(VALUE($C1194)&lt;100000000,VALUE($C1194),1000000000),IFERROR(IF(VALUE(MID($C1194,2,20))&lt;100000000,VALUE(MID($C1194,2,20)),1000000000),1000000000))+ROW()/100000,"")</f>
        <v/>
      </c>
    </row>
    <row r="1195">
      <c r="F1195" s="11" t="n"/>
      <c r="N1195" s="7">
        <f>IF($C1195="","",M1195*U1195/100)</f>
        <v/>
      </c>
      <c r="T1195" s="7" t="n"/>
      <c r="U1195" s="7" t="n"/>
      <c r="V1195" s="7">
        <f>IF($C1195="","",U1195*AA1195/100)</f>
        <v/>
      </c>
      <c r="W1195" s="7">
        <f>IF($C1195="","",U1195-V1195)</f>
        <v/>
      </c>
      <c r="X1195" s="7">
        <f>IF($C1195="","",W1195-N1195)</f>
        <v/>
      </c>
      <c r="AA1195">
        <f>IF($C1195="","",IF($AN1195=1,0,IF($AM1195=1,Settings!$C$6,Settings!$C$7))*100)</f>
        <v/>
      </c>
      <c r="AE1195" s="7" t="n"/>
      <c r="AH1195" s="11" t="n"/>
      <c r="AJ1195">
        <f>IF($C1195="","",$C1195&amp;"|"&amp;$D1195&amp;"")</f>
        <v/>
      </c>
      <c r="AK1195">
        <f>IF($C1195="","",IF(COUNTIF($AJ$2:$AJ1195,$AJ1195)=1,1,0))</f>
        <v/>
      </c>
      <c r="AL1195">
        <f>IF($AK1195=1,SUMPRODUCT(--($AO$2:$AO$1501&lt;$AO1195))+1,"")</f>
        <v/>
      </c>
      <c r="AM1195">
        <f>IF($C1195="","",IF(OR($Q1195=TRUE(),$Q1195="TRUE"),1,0))</f>
        <v/>
      </c>
      <c r="AN1195">
        <f>IF($C1195="","",IF($Z1195="Yes",1,0))</f>
        <v/>
      </c>
      <c r="AO1195">
        <f>IF($AK1195=1,IFERROR(IF(VALUE($C1195)&lt;100000000,VALUE($C1195),1000000000),IFERROR(IF(VALUE(MID($C1195,2,20))&lt;100000000,VALUE(MID($C1195,2,20)),1000000000),1000000000))+ROW()/100000,"")</f>
        <v/>
      </c>
    </row>
    <row r="1196">
      <c r="F1196" s="11" t="n"/>
      <c r="N1196" s="7">
        <f>IF($C1196="","",M1196*U1196/100)</f>
        <v/>
      </c>
      <c r="T1196" s="7" t="n"/>
      <c r="U1196" s="7" t="n"/>
      <c r="V1196" s="7">
        <f>IF($C1196="","",U1196*AA1196/100)</f>
        <v/>
      </c>
      <c r="W1196" s="7">
        <f>IF($C1196="","",U1196-V1196)</f>
        <v/>
      </c>
      <c r="X1196" s="7">
        <f>IF($C1196="","",W1196-N1196)</f>
        <v/>
      </c>
      <c r="AA1196">
        <f>IF($C1196="","",IF($AN1196=1,0,IF($AM1196=1,Settings!$C$6,Settings!$C$7))*100)</f>
        <v/>
      </c>
      <c r="AE1196" s="7" t="n"/>
      <c r="AH1196" s="11" t="n"/>
      <c r="AJ1196">
        <f>IF($C1196="","",$C1196&amp;"|"&amp;$D1196&amp;"")</f>
        <v/>
      </c>
      <c r="AK1196">
        <f>IF($C1196="","",IF(COUNTIF($AJ$2:$AJ1196,$AJ1196)=1,1,0))</f>
        <v/>
      </c>
      <c r="AL1196">
        <f>IF($AK1196=1,SUMPRODUCT(--($AO$2:$AO$1501&lt;$AO1196))+1,"")</f>
        <v/>
      </c>
      <c r="AM1196">
        <f>IF($C1196="","",IF(OR($Q1196=TRUE(),$Q1196="TRUE"),1,0))</f>
        <v/>
      </c>
      <c r="AN1196">
        <f>IF($C1196="","",IF($Z1196="Yes",1,0))</f>
        <v/>
      </c>
      <c r="AO1196">
        <f>IF($AK1196=1,IFERROR(IF(VALUE($C1196)&lt;100000000,VALUE($C1196),1000000000),IFERROR(IF(VALUE(MID($C1196,2,20))&lt;100000000,VALUE(MID($C1196,2,20)),1000000000),1000000000))+ROW()/100000,"")</f>
        <v/>
      </c>
    </row>
    <row r="1197">
      <c r="F1197" s="11" t="n"/>
      <c r="N1197" s="7">
        <f>IF($C1197="","",M1197*U1197/100)</f>
        <v/>
      </c>
      <c r="T1197" s="7" t="n"/>
      <c r="U1197" s="7" t="n"/>
      <c r="V1197" s="7">
        <f>IF($C1197="","",U1197*AA1197/100)</f>
        <v/>
      </c>
      <c r="W1197" s="7">
        <f>IF($C1197="","",U1197-V1197)</f>
        <v/>
      </c>
      <c r="X1197" s="7">
        <f>IF($C1197="","",W1197-N1197)</f>
        <v/>
      </c>
      <c r="AA1197">
        <f>IF($C1197="","",IF($AN1197=1,0,IF($AM1197=1,Settings!$C$6,Settings!$C$7))*100)</f>
        <v/>
      </c>
      <c r="AE1197" s="7" t="n"/>
      <c r="AH1197" s="11" t="n"/>
      <c r="AJ1197">
        <f>IF($C1197="","",$C1197&amp;"|"&amp;$D1197&amp;"")</f>
        <v/>
      </c>
      <c r="AK1197">
        <f>IF($C1197="","",IF(COUNTIF($AJ$2:$AJ1197,$AJ1197)=1,1,0))</f>
        <v/>
      </c>
      <c r="AL1197">
        <f>IF($AK1197=1,SUMPRODUCT(--($AO$2:$AO$1501&lt;$AO1197))+1,"")</f>
        <v/>
      </c>
      <c r="AM1197">
        <f>IF($C1197="","",IF(OR($Q1197=TRUE(),$Q1197="TRUE"),1,0))</f>
        <v/>
      </c>
      <c r="AN1197">
        <f>IF($C1197="","",IF($Z1197="Yes",1,0))</f>
        <v/>
      </c>
      <c r="AO1197">
        <f>IF($AK1197=1,IFERROR(IF(VALUE($C1197)&lt;100000000,VALUE($C1197),1000000000),IFERROR(IF(VALUE(MID($C1197,2,20))&lt;100000000,VALUE(MID($C1197,2,20)),1000000000),1000000000))+ROW()/100000,"")</f>
        <v/>
      </c>
    </row>
    <row r="1198">
      <c r="F1198" s="11" t="n"/>
      <c r="N1198" s="7">
        <f>IF($C1198="","",M1198*U1198/100)</f>
        <v/>
      </c>
      <c r="T1198" s="7" t="n"/>
      <c r="U1198" s="7" t="n"/>
      <c r="V1198" s="7">
        <f>IF($C1198="","",U1198*AA1198/100)</f>
        <v/>
      </c>
      <c r="W1198" s="7">
        <f>IF($C1198="","",U1198-V1198)</f>
        <v/>
      </c>
      <c r="X1198" s="7">
        <f>IF($C1198="","",W1198-N1198)</f>
        <v/>
      </c>
      <c r="AA1198">
        <f>IF($C1198="","",IF($AN1198=1,0,IF($AM1198=1,Settings!$C$6,Settings!$C$7))*100)</f>
        <v/>
      </c>
      <c r="AE1198" s="7" t="n"/>
      <c r="AH1198" s="11" t="n"/>
      <c r="AJ1198">
        <f>IF($C1198="","",$C1198&amp;"|"&amp;$D1198&amp;"")</f>
        <v/>
      </c>
      <c r="AK1198">
        <f>IF($C1198="","",IF(COUNTIF($AJ$2:$AJ1198,$AJ1198)=1,1,0))</f>
        <v/>
      </c>
      <c r="AL1198">
        <f>IF($AK1198=1,SUMPRODUCT(--($AO$2:$AO$1501&lt;$AO1198))+1,"")</f>
        <v/>
      </c>
      <c r="AM1198">
        <f>IF($C1198="","",IF(OR($Q1198=TRUE(),$Q1198="TRUE"),1,0))</f>
        <v/>
      </c>
      <c r="AN1198">
        <f>IF($C1198="","",IF($Z1198="Yes",1,0))</f>
        <v/>
      </c>
      <c r="AO1198">
        <f>IF($AK1198=1,IFERROR(IF(VALUE($C1198)&lt;100000000,VALUE($C1198),1000000000),IFERROR(IF(VALUE(MID($C1198,2,20))&lt;100000000,VALUE(MID($C1198,2,20)),1000000000),1000000000))+ROW()/100000,"")</f>
        <v/>
      </c>
    </row>
    <row r="1199">
      <c r="F1199" s="11" t="n"/>
      <c r="N1199" s="7">
        <f>IF($C1199="","",M1199*U1199/100)</f>
        <v/>
      </c>
      <c r="T1199" s="7" t="n"/>
      <c r="U1199" s="7" t="n"/>
      <c r="V1199" s="7">
        <f>IF($C1199="","",U1199*AA1199/100)</f>
        <v/>
      </c>
      <c r="W1199" s="7">
        <f>IF($C1199="","",U1199-V1199)</f>
        <v/>
      </c>
      <c r="X1199" s="7">
        <f>IF($C1199="","",W1199-N1199)</f>
        <v/>
      </c>
      <c r="AA1199">
        <f>IF($C1199="","",IF($AN1199=1,0,IF($AM1199=1,Settings!$C$6,Settings!$C$7))*100)</f>
        <v/>
      </c>
      <c r="AE1199" s="7" t="n"/>
      <c r="AH1199" s="11" t="n"/>
      <c r="AJ1199">
        <f>IF($C1199="","",$C1199&amp;"|"&amp;$D1199&amp;"")</f>
        <v/>
      </c>
      <c r="AK1199">
        <f>IF($C1199="","",IF(COUNTIF($AJ$2:$AJ1199,$AJ1199)=1,1,0))</f>
        <v/>
      </c>
      <c r="AL1199">
        <f>IF($AK1199=1,SUMPRODUCT(--($AO$2:$AO$1501&lt;$AO1199))+1,"")</f>
        <v/>
      </c>
      <c r="AM1199">
        <f>IF($C1199="","",IF(OR($Q1199=TRUE(),$Q1199="TRUE"),1,0))</f>
        <v/>
      </c>
      <c r="AN1199">
        <f>IF($C1199="","",IF($Z1199="Yes",1,0))</f>
        <v/>
      </c>
      <c r="AO1199">
        <f>IF($AK1199=1,IFERROR(IF(VALUE($C1199)&lt;100000000,VALUE($C1199),1000000000),IFERROR(IF(VALUE(MID($C1199,2,20))&lt;100000000,VALUE(MID($C1199,2,20)),1000000000),1000000000))+ROW()/100000,"")</f>
        <v/>
      </c>
    </row>
    <row r="1200">
      <c r="F1200" s="11" t="n"/>
      <c r="N1200" s="7">
        <f>IF($C1200="","",M1200*U1200/100)</f>
        <v/>
      </c>
      <c r="T1200" s="7" t="n"/>
      <c r="U1200" s="7" t="n"/>
      <c r="V1200" s="7">
        <f>IF($C1200="","",U1200*AA1200/100)</f>
        <v/>
      </c>
      <c r="W1200" s="7">
        <f>IF($C1200="","",U1200-V1200)</f>
        <v/>
      </c>
      <c r="X1200" s="7">
        <f>IF($C1200="","",W1200-N1200)</f>
        <v/>
      </c>
      <c r="AA1200">
        <f>IF($C1200="","",IF($AN1200=1,0,IF($AM1200=1,Settings!$C$6,Settings!$C$7))*100)</f>
        <v/>
      </c>
      <c r="AE1200" s="7" t="n"/>
      <c r="AH1200" s="11" t="n"/>
      <c r="AJ1200">
        <f>IF($C1200="","",$C1200&amp;"|"&amp;$D1200&amp;"")</f>
        <v/>
      </c>
      <c r="AK1200">
        <f>IF($C1200="","",IF(COUNTIF($AJ$2:$AJ1200,$AJ1200)=1,1,0))</f>
        <v/>
      </c>
      <c r="AL1200">
        <f>IF($AK1200=1,SUMPRODUCT(--($AO$2:$AO$1501&lt;$AO1200))+1,"")</f>
        <v/>
      </c>
      <c r="AM1200">
        <f>IF($C1200="","",IF(OR($Q1200=TRUE(),$Q1200="TRUE"),1,0))</f>
        <v/>
      </c>
      <c r="AN1200">
        <f>IF($C1200="","",IF($Z1200="Yes",1,0))</f>
        <v/>
      </c>
      <c r="AO1200">
        <f>IF($AK1200=1,IFERROR(IF(VALUE($C1200)&lt;100000000,VALUE($C1200),1000000000),IFERROR(IF(VALUE(MID($C1200,2,20))&lt;100000000,VALUE(MID($C1200,2,20)),1000000000),1000000000))+ROW()/100000,"")</f>
        <v/>
      </c>
    </row>
    <row r="1201">
      <c r="F1201" s="11" t="n"/>
      <c r="N1201" s="7">
        <f>IF($C1201="","",M1201*U1201/100)</f>
        <v/>
      </c>
      <c r="T1201" s="7" t="n"/>
      <c r="U1201" s="7" t="n"/>
      <c r="V1201" s="7">
        <f>IF($C1201="","",U1201*AA1201/100)</f>
        <v/>
      </c>
      <c r="W1201" s="7">
        <f>IF($C1201="","",U1201-V1201)</f>
        <v/>
      </c>
      <c r="X1201" s="7">
        <f>IF($C1201="","",W1201-N1201)</f>
        <v/>
      </c>
      <c r="AA1201">
        <f>IF($C1201="","",IF($AN1201=1,0,IF($AM1201=1,Settings!$C$6,Settings!$C$7))*100)</f>
        <v/>
      </c>
      <c r="AE1201" s="7" t="n"/>
      <c r="AH1201" s="11" t="n"/>
      <c r="AJ1201">
        <f>IF($C1201="","",$C1201&amp;"|"&amp;$D1201&amp;"")</f>
        <v/>
      </c>
      <c r="AK1201">
        <f>IF($C1201="","",IF(COUNTIF($AJ$2:$AJ1201,$AJ1201)=1,1,0))</f>
        <v/>
      </c>
      <c r="AL1201">
        <f>IF($AK1201=1,SUMPRODUCT(--($AO$2:$AO$1501&lt;$AO1201))+1,"")</f>
        <v/>
      </c>
      <c r="AM1201">
        <f>IF($C1201="","",IF(OR($Q1201=TRUE(),$Q1201="TRUE"),1,0))</f>
        <v/>
      </c>
      <c r="AN1201">
        <f>IF($C1201="","",IF($Z1201="Yes",1,0))</f>
        <v/>
      </c>
      <c r="AO1201">
        <f>IF($AK1201=1,IFERROR(IF(VALUE($C1201)&lt;100000000,VALUE($C1201),1000000000),IFERROR(IF(VALUE(MID($C1201,2,20))&lt;100000000,VALUE(MID($C1201,2,20)),1000000000),1000000000))+ROW()/100000,"")</f>
        <v/>
      </c>
    </row>
    <row r="1202">
      <c r="F1202" s="11" t="n"/>
      <c r="N1202" s="7">
        <f>IF($C1202="","",M1202*U1202/100)</f>
        <v/>
      </c>
      <c r="T1202" s="7" t="n"/>
      <c r="U1202" s="7" t="n"/>
      <c r="V1202" s="7">
        <f>IF($C1202="","",U1202*AA1202/100)</f>
        <v/>
      </c>
      <c r="W1202" s="7">
        <f>IF($C1202="","",U1202-V1202)</f>
        <v/>
      </c>
      <c r="X1202" s="7">
        <f>IF($C1202="","",W1202-N1202)</f>
        <v/>
      </c>
      <c r="AA1202">
        <f>IF($C1202="","",IF($AN1202=1,0,IF($AM1202=1,Settings!$C$6,Settings!$C$7))*100)</f>
        <v/>
      </c>
      <c r="AE1202" s="7" t="n"/>
      <c r="AH1202" s="11" t="n"/>
      <c r="AJ1202">
        <f>IF($C1202="","",$C1202&amp;"|"&amp;$D1202&amp;"")</f>
        <v/>
      </c>
      <c r="AK1202">
        <f>IF($C1202="","",IF(COUNTIF($AJ$2:$AJ1202,$AJ1202)=1,1,0))</f>
        <v/>
      </c>
      <c r="AL1202">
        <f>IF($AK1202=1,SUMPRODUCT(--($AO$2:$AO$1501&lt;$AO1202))+1,"")</f>
        <v/>
      </c>
      <c r="AM1202">
        <f>IF($C1202="","",IF(OR($Q1202=TRUE(),$Q1202="TRUE"),1,0))</f>
        <v/>
      </c>
      <c r="AN1202">
        <f>IF($C1202="","",IF($Z1202="Yes",1,0))</f>
        <v/>
      </c>
      <c r="AO1202">
        <f>IF($AK1202=1,IFERROR(IF(VALUE($C1202)&lt;100000000,VALUE($C1202),1000000000),IFERROR(IF(VALUE(MID($C1202,2,20))&lt;100000000,VALUE(MID($C1202,2,20)),1000000000),1000000000))+ROW()/100000,"")</f>
        <v/>
      </c>
    </row>
    <row r="1203">
      <c r="F1203" s="11" t="n"/>
      <c r="N1203" s="7">
        <f>IF($C1203="","",M1203*U1203/100)</f>
        <v/>
      </c>
      <c r="T1203" s="7" t="n"/>
      <c r="U1203" s="7" t="n"/>
      <c r="V1203" s="7">
        <f>IF($C1203="","",U1203*AA1203/100)</f>
        <v/>
      </c>
      <c r="W1203" s="7">
        <f>IF($C1203="","",U1203-V1203)</f>
        <v/>
      </c>
      <c r="X1203" s="7">
        <f>IF($C1203="","",W1203-N1203)</f>
        <v/>
      </c>
      <c r="AA1203">
        <f>IF($C1203="","",IF($AN1203=1,0,IF($AM1203=1,Settings!$C$6,Settings!$C$7))*100)</f>
        <v/>
      </c>
      <c r="AE1203" s="7" t="n"/>
      <c r="AH1203" s="11" t="n"/>
      <c r="AJ1203">
        <f>IF($C1203="","",$C1203&amp;"|"&amp;$D1203&amp;"")</f>
        <v/>
      </c>
      <c r="AK1203">
        <f>IF($C1203="","",IF(COUNTIF($AJ$2:$AJ1203,$AJ1203)=1,1,0))</f>
        <v/>
      </c>
      <c r="AL1203">
        <f>IF($AK1203=1,SUMPRODUCT(--($AO$2:$AO$1501&lt;$AO1203))+1,"")</f>
        <v/>
      </c>
      <c r="AM1203">
        <f>IF($C1203="","",IF(OR($Q1203=TRUE(),$Q1203="TRUE"),1,0))</f>
        <v/>
      </c>
      <c r="AN1203">
        <f>IF($C1203="","",IF($Z1203="Yes",1,0))</f>
        <v/>
      </c>
      <c r="AO1203">
        <f>IF($AK1203=1,IFERROR(IF(VALUE($C1203)&lt;100000000,VALUE($C1203),1000000000),IFERROR(IF(VALUE(MID($C1203,2,20))&lt;100000000,VALUE(MID($C1203,2,20)),1000000000),1000000000))+ROW()/100000,"")</f>
        <v/>
      </c>
    </row>
    <row r="1204">
      <c r="F1204" s="11" t="n"/>
      <c r="N1204" s="7">
        <f>IF($C1204="","",M1204*U1204/100)</f>
        <v/>
      </c>
      <c r="T1204" s="7" t="n"/>
      <c r="U1204" s="7" t="n"/>
      <c r="V1204" s="7">
        <f>IF($C1204="","",U1204*AA1204/100)</f>
        <v/>
      </c>
      <c r="W1204" s="7">
        <f>IF($C1204="","",U1204-V1204)</f>
        <v/>
      </c>
      <c r="X1204" s="7">
        <f>IF($C1204="","",W1204-N1204)</f>
        <v/>
      </c>
      <c r="AA1204">
        <f>IF($C1204="","",IF($AN1204=1,0,IF($AM1204=1,Settings!$C$6,Settings!$C$7))*100)</f>
        <v/>
      </c>
      <c r="AE1204" s="7" t="n"/>
      <c r="AH1204" s="11" t="n"/>
      <c r="AJ1204">
        <f>IF($C1204="","",$C1204&amp;"|"&amp;$D1204&amp;"")</f>
        <v/>
      </c>
      <c r="AK1204">
        <f>IF($C1204="","",IF(COUNTIF($AJ$2:$AJ1204,$AJ1204)=1,1,0))</f>
        <v/>
      </c>
      <c r="AL1204">
        <f>IF($AK1204=1,SUMPRODUCT(--($AO$2:$AO$1501&lt;$AO1204))+1,"")</f>
        <v/>
      </c>
      <c r="AM1204">
        <f>IF($C1204="","",IF(OR($Q1204=TRUE(),$Q1204="TRUE"),1,0))</f>
        <v/>
      </c>
      <c r="AN1204">
        <f>IF($C1204="","",IF($Z1204="Yes",1,0))</f>
        <v/>
      </c>
      <c r="AO1204">
        <f>IF($AK1204=1,IFERROR(IF(VALUE($C1204)&lt;100000000,VALUE($C1204),1000000000),IFERROR(IF(VALUE(MID($C1204,2,20))&lt;100000000,VALUE(MID($C1204,2,20)),1000000000),1000000000))+ROW()/100000,"")</f>
        <v/>
      </c>
    </row>
    <row r="1205">
      <c r="F1205" s="11" t="n"/>
      <c r="N1205" s="7">
        <f>IF($C1205="","",M1205*U1205/100)</f>
        <v/>
      </c>
      <c r="T1205" s="7" t="n"/>
      <c r="U1205" s="7" t="n"/>
      <c r="V1205" s="7">
        <f>IF($C1205="","",U1205*AA1205/100)</f>
        <v/>
      </c>
      <c r="W1205" s="7">
        <f>IF($C1205="","",U1205-V1205)</f>
        <v/>
      </c>
      <c r="X1205" s="7">
        <f>IF($C1205="","",W1205-N1205)</f>
        <v/>
      </c>
      <c r="AA1205">
        <f>IF($C1205="","",IF($AN1205=1,0,IF($AM1205=1,Settings!$C$6,Settings!$C$7))*100)</f>
        <v/>
      </c>
      <c r="AE1205" s="7" t="n"/>
      <c r="AH1205" s="11" t="n"/>
      <c r="AJ1205">
        <f>IF($C1205="","",$C1205&amp;"|"&amp;$D1205&amp;"")</f>
        <v/>
      </c>
      <c r="AK1205">
        <f>IF($C1205="","",IF(COUNTIF($AJ$2:$AJ1205,$AJ1205)=1,1,0))</f>
        <v/>
      </c>
      <c r="AL1205">
        <f>IF($AK1205=1,SUMPRODUCT(--($AO$2:$AO$1501&lt;$AO1205))+1,"")</f>
        <v/>
      </c>
      <c r="AM1205">
        <f>IF($C1205="","",IF(OR($Q1205=TRUE(),$Q1205="TRUE"),1,0))</f>
        <v/>
      </c>
      <c r="AN1205">
        <f>IF($C1205="","",IF($Z1205="Yes",1,0))</f>
        <v/>
      </c>
      <c r="AO1205">
        <f>IF($AK1205=1,IFERROR(IF(VALUE($C1205)&lt;100000000,VALUE($C1205),1000000000),IFERROR(IF(VALUE(MID($C1205,2,20))&lt;100000000,VALUE(MID($C1205,2,20)),1000000000),1000000000))+ROW()/100000,"")</f>
        <v/>
      </c>
    </row>
    <row r="1206">
      <c r="F1206" s="11" t="n"/>
      <c r="N1206" s="7">
        <f>IF($C1206="","",M1206*U1206/100)</f>
        <v/>
      </c>
      <c r="T1206" s="7" t="n"/>
      <c r="U1206" s="7" t="n"/>
      <c r="V1206" s="7">
        <f>IF($C1206="","",U1206*AA1206/100)</f>
        <v/>
      </c>
      <c r="W1206" s="7">
        <f>IF($C1206="","",U1206-V1206)</f>
        <v/>
      </c>
      <c r="X1206" s="7">
        <f>IF($C1206="","",W1206-N1206)</f>
        <v/>
      </c>
      <c r="AA1206">
        <f>IF($C1206="","",IF($AN1206=1,0,IF($AM1206=1,Settings!$C$6,Settings!$C$7))*100)</f>
        <v/>
      </c>
      <c r="AE1206" s="7" t="n"/>
      <c r="AH1206" s="11" t="n"/>
      <c r="AJ1206">
        <f>IF($C1206="","",$C1206&amp;"|"&amp;$D1206&amp;"")</f>
        <v/>
      </c>
      <c r="AK1206">
        <f>IF($C1206="","",IF(COUNTIF($AJ$2:$AJ1206,$AJ1206)=1,1,0))</f>
        <v/>
      </c>
      <c r="AL1206">
        <f>IF($AK1206=1,SUMPRODUCT(--($AO$2:$AO$1501&lt;$AO1206))+1,"")</f>
        <v/>
      </c>
      <c r="AM1206">
        <f>IF($C1206="","",IF(OR($Q1206=TRUE(),$Q1206="TRUE"),1,0))</f>
        <v/>
      </c>
      <c r="AN1206">
        <f>IF($C1206="","",IF($Z1206="Yes",1,0))</f>
        <v/>
      </c>
      <c r="AO1206">
        <f>IF($AK1206=1,IFERROR(IF(VALUE($C1206)&lt;100000000,VALUE($C1206),1000000000),IFERROR(IF(VALUE(MID($C1206,2,20))&lt;100000000,VALUE(MID($C1206,2,20)),1000000000),1000000000))+ROW()/100000,"")</f>
        <v/>
      </c>
    </row>
    <row r="1207">
      <c r="F1207" s="11" t="n"/>
      <c r="N1207" s="7">
        <f>IF($C1207="","",M1207*U1207/100)</f>
        <v/>
      </c>
      <c r="T1207" s="7" t="n"/>
      <c r="U1207" s="7" t="n"/>
      <c r="V1207" s="7">
        <f>IF($C1207="","",U1207*AA1207/100)</f>
        <v/>
      </c>
      <c r="W1207" s="7">
        <f>IF($C1207="","",U1207-V1207)</f>
        <v/>
      </c>
      <c r="X1207" s="7">
        <f>IF($C1207="","",W1207-N1207)</f>
        <v/>
      </c>
      <c r="AA1207">
        <f>IF($C1207="","",IF($AN1207=1,0,IF($AM1207=1,Settings!$C$6,Settings!$C$7))*100)</f>
        <v/>
      </c>
      <c r="AE1207" s="7" t="n"/>
      <c r="AH1207" s="11" t="n"/>
      <c r="AJ1207">
        <f>IF($C1207="","",$C1207&amp;"|"&amp;$D1207&amp;"")</f>
        <v/>
      </c>
      <c r="AK1207">
        <f>IF($C1207="","",IF(COUNTIF($AJ$2:$AJ1207,$AJ1207)=1,1,0))</f>
        <v/>
      </c>
      <c r="AL1207">
        <f>IF($AK1207=1,SUMPRODUCT(--($AO$2:$AO$1501&lt;$AO1207))+1,"")</f>
        <v/>
      </c>
      <c r="AM1207">
        <f>IF($C1207="","",IF(OR($Q1207=TRUE(),$Q1207="TRUE"),1,0))</f>
        <v/>
      </c>
      <c r="AN1207">
        <f>IF($C1207="","",IF($Z1207="Yes",1,0))</f>
        <v/>
      </c>
      <c r="AO1207">
        <f>IF($AK1207=1,IFERROR(IF(VALUE($C1207)&lt;100000000,VALUE($C1207),1000000000),IFERROR(IF(VALUE(MID($C1207,2,20))&lt;100000000,VALUE(MID($C1207,2,20)),1000000000),1000000000))+ROW()/100000,"")</f>
        <v/>
      </c>
    </row>
    <row r="1208">
      <c r="F1208" s="11" t="n"/>
      <c r="N1208" s="7">
        <f>IF($C1208="","",M1208*U1208/100)</f>
        <v/>
      </c>
      <c r="T1208" s="7" t="n"/>
      <c r="U1208" s="7" t="n"/>
      <c r="V1208" s="7">
        <f>IF($C1208="","",U1208*AA1208/100)</f>
        <v/>
      </c>
      <c r="W1208" s="7">
        <f>IF($C1208="","",U1208-V1208)</f>
        <v/>
      </c>
      <c r="X1208" s="7">
        <f>IF($C1208="","",W1208-N1208)</f>
        <v/>
      </c>
      <c r="AA1208">
        <f>IF($C1208="","",IF($AN1208=1,0,IF($AM1208=1,Settings!$C$6,Settings!$C$7))*100)</f>
        <v/>
      </c>
      <c r="AE1208" s="7" t="n"/>
      <c r="AH1208" s="11" t="n"/>
      <c r="AJ1208">
        <f>IF($C1208="","",$C1208&amp;"|"&amp;$D1208&amp;"")</f>
        <v/>
      </c>
      <c r="AK1208">
        <f>IF($C1208="","",IF(COUNTIF($AJ$2:$AJ1208,$AJ1208)=1,1,0))</f>
        <v/>
      </c>
      <c r="AL1208">
        <f>IF($AK1208=1,SUMPRODUCT(--($AO$2:$AO$1501&lt;$AO1208))+1,"")</f>
        <v/>
      </c>
      <c r="AM1208">
        <f>IF($C1208="","",IF(OR($Q1208=TRUE(),$Q1208="TRUE"),1,0))</f>
        <v/>
      </c>
      <c r="AN1208">
        <f>IF($C1208="","",IF($Z1208="Yes",1,0))</f>
        <v/>
      </c>
      <c r="AO1208">
        <f>IF($AK1208=1,IFERROR(IF(VALUE($C1208)&lt;100000000,VALUE($C1208),1000000000),IFERROR(IF(VALUE(MID($C1208,2,20))&lt;100000000,VALUE(MID($C1208,2,20)),1000000000),1000000000))+ROW()/100000,"")</f>
        <v/>
      </c>
    </row>
    <row r="1209">
      <c r="F1209" s="11" t="n"/>
      <c r="N1209" s="7">
        <f>IF($C1209="","",M1209*U1209/100)</f>
        <v/>
      </c>
      <c r="T1209" s="7" t="n"/>
      <c r="U1209" s="7" t="n"/>
      <c r="V1209" s="7">
        <f>IF($C1209="","",U1209*AA1209/100)</f>
        <v/>
      </c>
      <c r="W1209" s="7">
        <f>IF($C1209="","",U1209-V1209)</f>
        <v/>
      </c>
      <c r="X1209" s="7">
        <f>IF($C1209="","",W1209-N1209)</f>
        <v/>
      </c>
      <c r="AA1209">
        <f>IF($C1209="","",IF($AN1209=1,0,IF($AM1209=1,Settings!$C$6,Settings!$C$7))*100)</f>
        <v/>
      </c>
      <c r="AE1209" s="7" t="n"/>
      <c r="AH1209" s="11" t="n"/>
      <c r="AJ1209">
        <f>IF($C1209="","",$C1209&amp;"|"&amp;$D1209&amp;"")</f>
        <v/>
      </c>
      <c r="AK1209">
        <f>IF($C1209="","",IF(COUNTIF($AJ$2:$AJ1209,$AJ1209)=1,1,0))</f>
        <v/>
      </c>
      <c r="AL1209">
        <f>IF($AK1209=1,SUMPRODUCT(--($AO$2:$AO$1501&lt;$AO1209))+1,"")</f>
        <v/>
      </c>
      <c r="AM1209">
        <f>IF($C1209="","",IF(OR($Q1209=TRUE(),$Q1209="TRUE"),1,0))</f>
        <v/>
      </c>
      <c r="AN1209">
        <f>IF($C1209="","",IF($Z1209="Yes",1,0))</f>
        <v/>
      </c>
      <c r="AO1209">
        <f>IF($AK1209=1,IFERROR(IF(VALUE($C1209)&lt;100000000,VALUE($C1209),1000000000),IFERROR(IF(VALUE(MID($C1209,2,20))&lt;100000000,VALUE(MID($C1209,2,20)),1000000000),1000000000))+ROW()/100000,"")</f>
        <v/>
      </c>
    </row>
    <row r="1210">
      <c r="F1210" s="11" t="n"/>
      <c r="N1210" s="7">
        <f>IF($C1210="","",M1210*U1210/100)</f>
        <v/>
      </c>
      <c r="T1210" s="7" t="n"/>
      <c r="U1210" s="7" t="n"/>
      <c r="V1210" s="7">
        <f>IF($C1210="","",U1210*AA1210/100)</f>
        <v/>
      </c>
      <c r="W1210" s="7">
        <f>IF($C1210="","",U1210-V1210)</f>
        <v/>
      </c>
      <c r="X1210" s="7">
        <f>IF($C1210="","",W1210-N1210)</f>
        <v/>
      </c>
      <c r="AA1210">
        <f>IF($C1210="","",IF($AN1210=1,0,IF($AM1210=1,Settings!$C$6,Settings!$C$7))*100)</f>
        <v/>
      </c>
      <c r="AE1210" s="7" t="n"/>
      <c r="AH1210" s="11" t="n"/>
      <c r="AJ1210">
        <f>IF($C1210="","",$C1210&amp;"|"&amp;$D1210&amp;"")</f>
        <v/>
      </c>
      <c r="AK1210">
        <f>IF($C1210="","",IF(COUNTIF($AJ$2:$AJ1210,$AJ1210)=1,1,0))</f>
        <v/>
      </c>
      <c r="AL1210">
        <f>IF($AK1210=1,SUMPRODUCT(--($AO$2:$AO$1501&lt;$AO1210))+1,"")</f>
        <v/>
      </c>
      <c r="AM1210">
        <f>IF($C1210="","",IF(OR($Q1210=TRUE(),$Q1210="TRUE"),1,0))</f>
        <v/>
      </c>
      <c r="AN1210">
        <f>IF($C1210="","",IF($Z1210="Yes",1,0))</f>
        <v/>
      </c>
      <c r="AO1210">
        <f>IF($AK1210=1,IFERROR(IF(VALUE($C1210)&lt;100000000,VALUE($C1210),1000000000),IFERROR(IF(VALUE(MID($C1210,2,20))&lt;100000000,VALUE(MID($C1210,2,20)),1000000000),1000000000))+ROW()/100000,"")</f>
        <v/>
      </c>
    </row>
    <row r="1211">
      <c r="F1211" s="11" t="n"/>
      <c r="N1211" s="7">
        <f>IF($C1211="","",M1211*U1211/100)</f>
        <v/>
      </c>
      <c r="T1211" s="7" t="n"/>
      <c r="U1211" s="7" t="n"/>
      <c r="V1211" s="7">
        <f>IF($C1211="","",U1211*AA1211/100)</f>
        <v/>
      </c>
      <c r="W1211" s="7">
        <f>IF($C1211="","",U1211-V1211)</f>
        <v/>
      </c>
      <c r="X1211" s="7">
        <f>IF($C1211="","",W1211-N1211)</f>
        <v/>
      </c>
      <c r="AA1211">
        <f>IF($C1211="","",IF($AN1211=1,0,IF($AM1211=1,Settings!$C$6,Settings!$C$7))*100)</f>
        <v/>
      </c>
      <c r="AE1211" s="7" t="n"/>
      <c r="AH1211" s="11" t="n"/>
      <c r="AJ1211">
        <f>IF($C1211="","",$C1211&amp;"|"&amp;$D1211&amp;"")</f>
        <v/>
      </c>
      <c r="AK1211">
        <f>IF($C1211="","",IF(COUNTIF($AJ$2:$AJ1211,$AJ1211)=1,1,0))</f>
        <v/>
      </c>
      <c r="AL1211">
        <f>IF($AK1211=1,SUMPRODUCT(--($AO$2:$AO$1501&lt;$AO1211))+1,"")</f>
        <v/>
      </c>
      <c r="AM1211">
        <f>IF($C1211="","",IF(OR($Q1211=TRUE(),$Q1211="TRUE"),1,0))</f>
        <v/>
      </c>
      <c r="AN1211">
        <f>IF($C1211="","",IF($Z1211="Yes",1,0))</f>
        <v/>
      </c>
      <c r="AO1211">
        <f>IF($AK1211=1,IFERROR(IF(VALUE($C1211)&lt;100000000,VALUE($C1211),1000000000),IFERROR(IF(VALUE(MID($C1211,2,20))&lt;100000000,VALUE(MID($C1211,2,20)),1000000000),1000000000))+ROW()/100000,"")</f>
        <v/>
      </c>
    </row>
    <row r="1212">
      <c r="F1212" s="11" t="n"/>
      <c r="N1212" s="7">
        <f>IF($C1212="","",M1212*U1212/100)</f>
        <v/>
      </c>
      <c r="T1212" s="7" t="n"/>
      <c r="U1212" s="7" t="n"/>
      <c r="V1212" s="7">
        <f>IF($C1212="","",U1212*AA1212/100)</f>
        <v/>
      </c>
      <c r="W1212" s="7">
        <f>IF($C1212="","",U1212-V1212)</f>
        <v/>
      </c>
      <c r="X1212" s="7">
        <f>IF($C1212="","",W1212-N1212)</f>
        <v/>
      </c>
      <c r="AA1212">
        <f>IF($C1212="","",IF($AN1212=1,0,IF($AM1212=1,Settings!$C$6,Settings!$C$7))*100)</f>
        <v/>
      </c>
      <c r="AE1212" s="7" t="n"/>
      <c r="AH1212" s="11" t="n"/>
      <c r="AJ1212">
        <f>IF($C1212="","",$C1212&amp;"|"&amp;$D1212&amp;"")</f>
        <v/>
      </c>
      <c r="AK1212">
        <f>IF($C1212="","",IF(COUNTIF($AJ$2:$AJ1212,$AJ1212)=1,1,0))</f>
        <v/>
      </c>
      <c r="AL1212">
        <f>IF($AK1212=1,SUMPRODUCT(--($AO$2:$AO$1501&lt;$AO1212))+1,"")</f>
        <v/>
      </c>
      <c r="AM1212">
        <f>IF($C1212="","",IF(OR($Q1212=TRUE(),$Q1212="TRUE"),1,0))</f>
        <v/>
      </c>
      <c r="AN1212">
        <f>IF($C1212="","",IF($Z1212="Yes",1,0))</f>
        <v/>
      </c>
      <c r="AO1212">
        <f>IF($AK1212=1,IFERROR(IF(VALUE($C1212)&lt;100000000,VALUE($C1212),1000000000),IFERROR(IF(VALUE(MID($C1212,2,20))&lt;100000000,VALUE(MID($C1212,2,20)),1000000000),1000000000))+ROW()/100000,"")</f>
        <v/>
      </c>
    </row>
    <row r="1213">
      <c r="F1213" s="11" t="n"/>
      <c r="N1213" s="7">
        <f>IF($C1213="","",M1213*U1213/100)</f>
        <v/>
      </c>
      <c r="T1213" s="7" t="n"/>
      <c r="U1213" s="7" t="n"/>
      <c r="V1213" s="7">
        <f>IF($C1213="","",U1213*AA1213/100)</f>
        <v/>
      </c>
      <c r="W1213" s="7">
        <f>IF($C1213="","",U1213-V1213)</f>
        <v/>
      </c>
      <c r="X1213" s="7">
        <f>IF($C1213="","",W1213-N1213)</f>
        <v/>
      </c>
      <c r="AA1213">
        <f>IF($C1213="","",IF($AN1213=1,0,IF($AM1213=1,Settings!$C$6,Settings!$C$7))*100)</f>
        <v/>
      </c>
      <c r="AE1213" s="7" t="n"/>
      <c r="AH1213" s="11" t="n"/>
      <c r="AJ1213">
        <f>IF($C1213="","",$C1213&amp;"|"&amp;$D1213&amp;"")</f>
        <v/>
      </c>
      <c r="AK1213">
        <f>IF($C1213="","",IF(COUNTIF($AJ$2:$AJ1213,$AJ1213)=1,1,0))</f>
        <v/>
      </c>
      <c r="AL1213">
        <f>IF($AK1213=1,SUMPRODUCT(--($AO$2:$AO$1501&lt;$AO1213))+1,"")</f>
        <v/>
      </c>
      <c r="AM1213">
        <f>IF($C1213="","",IF(OR($Q1213=TRUE(),$Q1213="TRUE"),1,0))</f>
        <v/>
      </c>
      <c r="AN1213">
        <f>IF($C1213="","",IF($Z1213="Yes",1,0))</f>
        <v/>
      </c>
      <c r="AO1213">
        <f>IF($AK1213=1,IFERROR(IF(VALUE($C1213)&lt;100000000,VALUE($C1213),1000000000),IFERROR(IF(VALUE(MID($C1213,2,20))&lt;100000000,VALUE(MID($C1213,2,20)),1000000000),1000000000))+ROW()/100000,"")</f>
        <v/>
      </c>
    </row>
    <row r="1214">
      <c r="F1214" s="11" t="n"/>
      <c r="N1214" s="7">
        <f>IF($C1214="","",M1214*U1214/100)</f>
        <v/>
      </c>
      <c r="T1214" s="7" t="n"/>
      <c r="U1214" s="7" t="n"/>
      <c r="V1214" s="7">
        <f>IF($C1214="","",U1214*AA1214/100)</f>
        <v/>
      </c>
      <c r="W1214" s="7">
        <f>IF($C1214="","",U1214-V1214)</f>
        <v/>
      </c>
      <c r="X1214" s="7">
        <f>IF($C1214="","",W1214-N1214)</f>
        <v/>
      </c>
      <c r="AA1214">
        <f>IF($C1214="","",IF($AN1214=1,0,IF($AM1214=1,Settings!$C$6,Settings!$C$7))*100)</f>
        <v/>
      </c>
      <c r="AE1214" s="7" t="n"/>
      <c r="AH1214" s="11" t="n"/>
      <c r="AJ1214">
        <f>IF($C1214="","",$C1214&amp;"|"&amp;$D1214&amp;"")</f>
        <v/>
      </c>
      <c r="AK1214">
        <f>IF($C1214="","",IF(COUNTIF($AJ$2:$AJ1214,$AJ1214)=1,1,0))</f>
        <v/>
      </c>
      <c r="AL1214">
        <f>IF($AK1214=1,SUMPRODUCT(--($AO$2:$AO$1501&lt;$AO1214))+1,"")</f>
        <v/>
      </c>
      <c r="AM1214">
        <f>IF($C1214="","",IF(OR($Q1214=TRUE(),$Q1214="TRUE"),1,0))</f>
        <v/>
      </c>
      <c r="AN1214">
        <f>IF($C1214="","",IF($Z1214="Yes",1,0))</f>
        <v/>
      </c>
      <c r="AO1214">
        <f>IF($AK1214=1,IFERROR(IF(VALUE($C1214)&lt;100000000,VALUE($C1214),1000000000),IFERROR(IF(VALUE(MID($C1214,2,20))&lt;100000000,VALUE(MID($C1214,2,20)),1000000000),1000000000))+ROW()/100000,"")</f>
        <v/>
      </c>
    </row>
    <row r="1215">
      <c r="F1215" s="11" t="n"/>
      <c r="N1215" s="7">
        <f>IF($C1215="","",M1215*U1215/100)</f>
        <v/>
      </c>
      <c r="T1215" s="7" t="n"/>
      <c r="U1215" s="7" t="n"/>
      <c r="V1215" s="7">
        <f>IF($C1215="","",U1215*AA1215/100)</f>
        <v/>
      </c>
      <c r="W1215" s="7">
        <f>IF($C1215="","",U1215-V1215)</f>
        <v/>
      </c>
      <c r="X1215" s="7">
        <f>IF($C1215="","",W1215-N1215)</f>
        <v/>
      </c>
      <c r="AA1215">
        <f>IF($C1215="","",IF($AN1215=1,0,IF($AM1215=1,Settings!$C$6,Settings!$C$7))*100)</f>
        <v/>
      </c>
      <c r="AE1215" s="7" t="n"/>
      <c r="AH1215" s="11" t="n"/>
      <c r="AJ1215">
        <f>IF($C1215="","",$C1215&amp;"|"&amp;$D1215&amp;"")</f>
        <v/>
      </c>
      <c r="AK1215">
        <f>IF($C1215="","",IF(COUNTIF($AJ$2:$AJ1215,$AJ1215)=1,1,0))</f>
        <v/>
      </c>
      <c r="AL1215">
        <f>IF($AK1215=1,SUMPRODUCT(--($AO$2:$AO$1501&lt;$AO1215))+1,"")</f>
        <v/>
      </c>
      <c r="AM1215">
        <f>IF($C1215="","",IF(OR($Q1215=TRUE(),$Q1215="TRUE"),1,0))</f>
        <v/>
      </c>
      <c r="AN1215">
        <f>IF($C1215="","",IF($Z1215="Yes",1,0))</f>
        <v/>
      </c>
      <c r="AO1215">
        <f>IF($AK1215=1,IFERROR(IF(VALUE($C1215)&lt;100000000,VALUE($C1215),1000000000),IFERROR(IF(VALUE(MID($C1215,2,20))&lt;100000000,VALUE(MID($C1215,2,20)),1000000000),1000000000))+ROW()/100000,"")</f>
        <v/>
      </c>
    </row>
    <row r="1216">
      <c r="F1216" s="11" t="n"/>
      <c r="N1216" s="7">
        <f>IF($C1216="","",M1216*U1216/100)</f>
        <v/>
      </c>
      <c r="T1216" s="7" t="n"/>
      <c r="U1216" s="7" t="n"/>
      <c r="V1216" s="7">
        <f>IF($C1216="","",U1216*AA1216/100)</f>
        <v/>
      </c>
      <c r="W1216" s="7">
        <f>IF($C1216="","",U1216-V1216)</f>
        <v/>
      </c>
      <c r="X1216" s="7">
        <f>IF($C1216="","",W1216-N1216)</f>
        <v/>
      </c>
      <c r="AA1216">
        <f>IF($C1216="","",IF($AN1216=1,0,IF($AM1216=1,Settings!$C$6,Settings!$C$7))*100)</f>
        <v/>
      </c>
      <c r="AE1216" s="7" t="n"/>
      <c r="AH1216" s="11" t="n"/>
      <c r="AJ1216">
        <f>IF($C1216="","",$C1216&amp;"|"&amp;$D1216&amp;"")</f>
        <v/>
      </c>
      <c r="AK1216">
        <f>IF($C1216="","",IF(COUNTIF($AJ$2:$AJ1216,$AJ1216)=1,1,0))</f>
        <v/>
      </c>
      <c r="AL1216">
        <f>IF($AK1216=1,SUMPRODUCT(--($AO$2:$AO$1501&lt;$AO1216))+1,"")</f>
        <v/>
      </c>
      <c r="AM1216">
        <f>IF($C1216="","",IF(OR($Q1216=TRUE(),$Q1216="TRUE"),1,0))</f>
        <v/>
      </c>
      <c r="AN1216">
        <f>IF($C1216="","",IF($Z1216="Yes",1,0))</f>
        <v/>
      </c>
      <c r="AO1216">
        <f>IF($AK1216=1,IFERROR(IF(VALUE($C1216)&lt;100000000,VALUE($C1216),1000000000),IFERROR(IF(VALUE(MID($C1216,2,20))&lt;100000000,VALUE(MID($C1216,2,20)),1000000000),1000000000))+ROW()/100000,"")</f>
        <v/>
      </c>
    </row>
    <row r="1217">
      <c r="F1217" s="11" t="n"/>
      <c r="N1217" s="7">
        <f>IF($C1217="","",M1217*U1217/100)</f>
        <v/>
      </c>
      <c r="T1217" s="7" t="n"/>
      <c r="U1217" s="7" t="n"/>
      <c r="V1217" s="7">
        <f>IF($C1217="","",U1217*AA1217/100)</f>
        <v/>
      </c>
      <c r="W1217" s="7">
        <f>IF($C1217="","",U1217-V1217)</f>
        <v/>
      </c>
      <c r="X1217" s="7">
        <f>IF($C1217="","",W1217-N1217)</f>
        <v/>
      </c>
      <c r="AA1217">
        <f>IF($C1217="","",IF($AN1217=1,0,IF($AM1217=1,Settings!$C$6,Settings!$C$7))*100)</f>
        <v/>
      </c>
      <c r="AE1217" s="7" t="n"/>
      <c r="AH1217" s="11" t="n"/>
      <c r="AJ1217">
        <f>IF($C1217="","",$C1217&amp;"|"&amp;$D1217&amp;"")</f>
        <v/>
      </c>
      <c r="AK1217">
        <f>IF($C1217="","",IF(COUNTIF($AJ$2:$AJ1217,$AJ1217)=1,1,0))</f>
        <v/>
      </c>
      <c r="AL1217">
        <f>IF($AK1217=1,SUMPRODUCT(--($AO$2:$AO$1501&lt;$AO1217))+1,"")</f>
        <v/>
      </c>
      <c r="AM1217">
        <f>IF($C1217="","",IF(OR($Q1217=TRUE(),$Q1217="TRUE"),1,0))</f>
        <v/>
      </c>
      <c r="AN1217">
        <f>IF($C1217="","",IF($Z1217="Yes",1,0))</f>
        <v/>
      </c>
      <c r="AO1217">
        <f>IF($AK1217=1,IFERROR(IF(VALUE($C1217)&lt;100000000,VALUE($C1217),1000000000),IFERROR(IF(VALUE(MID($C1217,2,20))&lt;100000000,VALUE(MID($C1217,2,20)),1000000000),1000000000))+ROW()/100000,"")</f>
        <v/>
      </c>
    </row>
    <row r="1218">
      <c r="F1218" s="11" t="n"/>
      <c r="N1218" s="7">
        <f>IF($C1218="","",M1218*U1218/100)</f>
        <v/>
      </c>
      <c r="T1218" s="7" t="n"/>
      <c r="U1218" s="7" t="n"/>
      <c r="V1218" s="7">
        <f>IF($C1218="","",U1218*AA1218/100)</f>
        <v/>
      </c>
      <c r="W1218" s="7">
        <f>IF($C1218="","",U1218-V1218)</f>
        <v/>
      </c>
      <c r="X1218" s="7">
        <f>IF($C1218="","",W1218-N1218)</f>
        <v/>
      </c>
      <c r="AA1218">
        <f>IF($C1218="","",IF($AN1218=1,0,IF($AM1218=1,Settings!$C$6,Settings!$C$7))*100)</f>
        <v/>
      </c>
      <c r="AE1218" s="7" t="n"/>
      <c r="AH1218" s="11" t="n"/>
      <c r="AJ1218">
        <f>IF($C1218="","",$C1218&amp;"|"&amp;$D1218&amp;"")</f>
        <v/>
      </c>
      <c r="AK1218">
        <f>IF($C1218="","",IF(COUNTIF($AJ$2:$AJ1218,$AJ1218)=1,1,0))</f>
        <v/>
      </c>
      <c r="AL1218">
        <f>IF($AK1218=1,SUMPRODUCT(--($AO$2:$AO$1501&lt;$AO1218))+1,"")</f>
        <v/>
      </c>
      <c r="AM1218">
        <f>IF($C1218="","",IF(OR($Q1218=TRUE(),$Q1218="TRUE"),1,0))</f>
        <v/>
      </c>
      <c r="AN1218">
        <f>IF($C1218="","",IF($Z1218="Yes",1,0))</f>
        <v/>
      </c>
      <c r="AO1218">
        <f>IF($AK1218=1,IFERROR(IF(VALUE($C1218)&lt;100000000,VALUE($C1218),1000000000),IFERROR(IF(VALUE(MID($C1218,2,20))&lt;100000000,VALUE(MID($C1218,2,20)),1000000000),1000000000))+ROW()/100000,"")</f>
        <v/>
      </c>
    </row>
    <row r="1219">
      <c r="F1219" s="11" t="n"/>
      <c r="N1219" s="7">
        <f>IF($C1219="","",M1219*U1219/100)</f>
        <v/>
      </c>
      <c r="T1219" s="7" t="n"/>
      <c r="U1219" s="7" t="n"/>
      <c r="V1219" s="7">
        <f>IF($C1219="","",U1219*AA1219/100)</f>
        <v/>
      </c>
      <c r="W1219" s="7">
        <f>IF($C1219="","",U1219-V1219)</f>
        <v/>
      </c>
      <c r="X1219" s="7">
        <f>IF($C1219="","",W1219-N1219)</f>
        <v/>
      </c>
      <c r="AA1219">
        <f>IF($C1219="","",IF($AN1219=1,0,IF($AM1219=1,Settings!$C$6,Settings!$C$7))*100)</f>
        <v/>
      </c>
      <c r="AE1219" s="7" t="n"/>
      <c r="AH1219" s="11" t="n"/>
      <c r="AJ1219">
        <f>IF($C1219="","",$C1219&amp;"|"&amp;$D1219&amp;"")</f>
        <v/>
      </c>
      <c r="AK1219">
        <f>IF($C1219="","",IF(COUNTIF($AJ$2:$AJ1219,$AJ1219)=1,1,0))</f>
        <v/>
      </c>
      <c r="AL1219">
        <f>IF($AK1219=1,SUMPRODUCT(--($AO$2:$AO$1501&lt;$AO1219))+1,"")</f>
        <v/>
      </c>
      <c r="AM1219">
        <f>IF($C1219="","",IF(OR($Q1219=TRUE(),$Q1219="TRUE"),1,0))</f>
        <v/>
      </c>
      <c r="AN1219">
        <f>IF($C1219="","",IF($Z1219="Yes",1,0))</f>
        <v/>
      </c>
      <c r="AO1219">
        <f>IF($AK1219=1,IFERROR(IF(VALUE($C1219)&lt;100000000,VALUE($C1219),1000000000),IFERROR(IF(VALUE(MID($C1219,2,20))&lt;100000000,VALUE(MID($C1219,2,20)),1000000000),1000000000))+ROW()/100000,"")</f>
        <v/>
      </c>
    </row>
    <row r="1220">
      <c r="F1220" s="11" t="n"/>
      <c r="N1220" s="7">
        <f>IF($C1220="","",M1220*U1220/100)</f>
        <v/>
      </c>
      <c r="T1220" s="7" t="n"/>
      <c r="U1220" s="7" t="n"/>
      <c r="V1220" s="7">
        <f>IF($C1220="","",U1220*AA1220/100)</f>
        <v/>
      </c>
      <c r="W1220" s="7">
        <f>IF($C1220="","",U1220-V1220)</f>
        <v/>
      </c>
      <c r="X1220" s="7">
        <f>IF($C1220="","",W1220-N1220)</f>
        <v/>
      </c>
      <c r="AA1220">
        <f>IF($C1220="","",IF($AN1220=1,0,IF($AM1220=1,Settings!$C$6,Settings!$C$7))*100)</f>
        <v/>
      </c>
      <c r="AE1220" s="7" t="n"/>
      <c r="AH1220" s="11" t="n"/>
      <c r="AJ1220">
        <f>IF($C1220="","",$C1220&amp;"|"&amp;$D1220&amp;"")</f>
        <v/>
      </c>
      <c r="AK1220">
        <f>IF($C1220="","",IF(COUNTIF($AJ$2:$AJ1220,$AJ1220)=1,1,0))</f>
        <v/>
      </c>
      <c r="AL1220">
        <f>IF($AK1220=1,SUMPRODUCT(--($AO$2:$AO$1501&lt;$AO1220))+1,"")</f>
        <v/>
      </c>
      <c r="AM1220">
        <f>IF($C1220="","",IF(OR($Q1220=TRUE(),$Q1220="TRUE"),1,0))</f>
        <v/>
      </c>
      <c r="AN1220">
        <f>IF($C1220="","",IF($Z1220="Yes",1,0))</f>
        <v/>
      </c>
      <c r="AO1220">
        <f>IF($AK1220=1,IFERROR(IF(VALUE($C1220)&lt;100000000,VALUE($C1220),1000000000),IFERROR(IF(VALUE(MID($C1220,2,20))&lt;100000000,VALUE(MID($C1220,2,20)),1000000000),1000000000))+ROW()/100000,"")</f>
        <v/>
      </c>
    </row>
    <row r="1221">
      <c r="F1221" s="11" t="n"/>
      <c r="N1221" s="7">
        <f>IF($C1221="","",M1221*U1221/100)</f>
        <v/>
      </c>
      <c r="T1221" s="7" t="n"/>
      <c r="U1221" s="7" t="n"/>
      <c r="V1221" s="7">
        <f>IF($C1221="","",U1221*AA1221/100)</f>
        <v/>
      </c>
      <c r="W1221" s="7">
        <f>IF($C1221="","",U1221-V1221)</f>
        <v/>
      </c>
      <c r="X1221" s="7">
        <f>IF($C1221="","",W1221-N1221)</f>
        <v/>
      </c>
      <c r="AA1221">
        <f>IF($C1221="","",IF($AN1221=1,0,IF($AM1221=1,Settings!$C$6,Settings!$C$7))*100)</f>
        <v/>
      </c>
      <c r="AE1221" s="7" t="n"/>
      <c r="AH1221" s="11" t="n"/>
      <c r="AJ1221">
        <f>IF($C1221="","",$C1221&amp;"|"&amp;$D1221&amp;"")</f>
        <v/>
      </c>
      <c r="AK1221">
        <f>IF($C1221="","",IF(COUNTIF($AJ$2:$AJ1221,$AJ1221)=1,1,0))</f>
        <v/>
      </c>
      <c r="AL1221">
        <f>IF($AK1221=1,SUMPRODUCT(--($AO$2:$AO$1501&lt;$AO1221))+1,"")</f>
        <v/>
      </c>
      <c r="AM1221">
        <f>IF($C1221="","",IF(OR($Q1221=TRUE(),$Q1221="TRUE"),1,0))</f>
        <v/>
      </c>
      <c r="AN1221">
        <f>IF($C1221="","",IF($Z1221="Yes",1,0))</f>
        <v/>
      </c>
      <c r="AO1221">
        <f>IF($AK1221=1,IFERROR(IF(VALUE($C1221)&lt;100000000,VALUE($C1221),1000000000),IFERROR(IF(VALUE(MID($C1221,2,20))&lt;100000000,VALUE(MID($C1221,2,20)),1000000000),1000000000))+ROW()/100000,"")</f>
        <v/>
      </c>
    </row>
    <row r="1222">
      <c r="F1222" s="11" t="n"/>
      <c r="N1222" s="7">
        <f>IF($C1222="","",M1222*U1222/100)</f>
        <v/>
      </c>
      <c r="T1222" s="7" t="n"/>
      <c r="U1222" s="7" t="n"/>
      <c r="V1222" s="7">
        <f>IF($C1222="","",U1222*AA1222/100)</f>
        <v/>
      </c>
      <c r="W1222" s="7">
        <f>IF($C1222="","",U1222-V1222)</f>
        <v/>
      </c>
      <c r="X1222" s="7">
        <f>IF($C1222="","",W1222-N1222)</f>
        <v/>
      </c>
      <c r="AA1222">
        <f>IF($C1222="","",IF($AN1222=1,0,IF($AM1222=1,Settings!$C$6,Settings!$C$7))*100)</f>
        <v/>
      </c>
      <c r="AE1222" s="7" t="n"/>
      <c r="AH1222" s="11" t="n"/>
      <c r="AJ1222">
        <f>IF($C1222="","",$C1222&amp;"|"&amp;$D1222&amp;"")</f>
        <v/>
      </c>
      <c r="AK1222">
        <f>IF($C1222="","",IF(COUNTIF($AJ$2:$AJ1222,$AJ1222)=1,1,0))</f>
        <v/>
      </c>
      <c r="AL1222">
        <f>IF($AK1222=1,SUMPRODUCT(--($AO$2:$AO$1501&lt;$AO1222))+1,"")</f>
        <v/>
      </c>
      <c r="AM1222">
        <f>IF($C1222="","",IF(OR($Q1222=TRUE(),$Q1222="TRUE"),1,0))</f>
        <v/>
      </c>
      <c r="AN1222">
        <f>IF($C1222="","",IF($Z1222="Yes",1,0))</f>
        <v/>
      </c>
      <c r="AO1222">
        <f>IF($AK1222=1,IFERROR(IF(VALUE($C1222)&lt;100000000,VALUE($C1222),1000000000),IFERROR(IF(VALUE(MID($C1222,2,20))&lt;100000000,VALUE(MID($C1222,2,20)),1000000000),1000000000))+ROW()/100000,"")</f>
        <v/>
      </c>
    </row>
    <row r="1223">
      <c r="F1223" s="11" t="n"/>
      <c r="N1223" s="7">
        <f>IF($C1223="","",M1223*U1223/100)</f>
        <v/>
      </c>
      <c r="T1223" s="7" t="n"/>
      <c r="U1223" s="7" t="n"/>
      <c r="V1223" s="7">
        <f>IF($C1223="","",U1223*AA1223/100)</f>
        <v/>
      </c>
      <c r="W1223" s="7">
        <f>IF($C1223="","",U1223-V1223)</f>
        <v/>
      </c>
      <c r="X1223" s="7">
        <f>IF($C1223="","",W1223-N1223)</f>
        <v/>
      </c>
      <c r="AA1223">
        <f>IF($C1223="","",IF($AN1223=1,0,IF($AM1223=1,Settings!$C$6,Settings!$C$7))*100)</f>
        <v/>
      </c>
      <c r="AE1223" s="7" t="n"/>
      <c r="AH1223" s="11" t="n"/>
      <c r="AJ1223">
        <f>IF($C1223="","",$C1223&amp;"|"&amp;$D1223&amp;"")</f>
        <v/>
      </c>
      <c r="AK1223">
        <f>IF($C1223="","",IF(COUNTIF($AJ$2:$AJ1223,$AJ1223)=1,1,0))</f>
        <v/>
      </c>
      <c r="AL1223">
        <f>IF($AK1223=1,SUMPRODUCT(--($AO$2:$AO$1501&lt;$AO1223))+1,"")</f>
        <v/>
      </c>
      <c r="AM1223">
        <f>IF($C1223="","",IF(OR($Q1223=TRUE(),$Q1223="TRUE"),1,0))</f>
        <v/>
      </c>
      <c r="AN1223">
        <f>IF($C1223="","",IF($Z1223="Yes",1,0))</f>
        <v/>
      </c>
      <c r="AO1223">
        <f>IF($AK1223=1,IFERROR(IF(VALUE($C1223)&lt;100000000,VALUE($C1223),1000000000),IFERROR(IF(VALUE(MID($C1223,2,20))&lt;100000000,VALUE(MID($C1223,2,20)),1000000000),1000000000))+ROW()/100000,"")</f>
        <v/>
      </c>
    </row>
    <row r="1224">
      <c r="F1224" s="11" t="n"/>
      <c r="N1224" s="7">
        <f>IF($C1224="","",M1224*U1224/100)</f>
        <v/>
      </c>
      <c r="T1224" s="7" t="n"/>
      <c r="U1224" s="7" t="n"/>
      <c r="V1224" s="7">
        <f>IF($C1224="","",U1224*AA1224/100)</f>
        <v/>
      </c>
      <c r="W1224" s="7">
        <f>IF($C1224="","",U1224-V1224)</f>
        <v/>
      </c>
      <c r="X1224" s="7">
        <f>IF($C1224="","",W1224-N1224)</f>
        <v/>
      </c>
      <c r="AA1224">
        <f>IF($C1224="","",IF($AN1224=1,0,IF($AM1224=1,Settings!$C$6,Settings!$C$7))*100)</f>
        <v/>
      </c>
      <c r="AE1224" s="7" t="n"/>
      <c r="AH1224" s="11" t="n"/>
      <c r="AJ1224">
        <f>IF($C1224="","",$C1224&amp;"|"&amp;$D1224&amp;"")</f>
        <v/>
      </c>
      <c r="AK1224">
        <f>IF($C1224="","",IF(COUNTIF($AJ$2:$AJ1224,$AJ1224)=1,1,0))</f>
        <v/>
      </c>
      <c r="AL1224">
        <f>IF($AK1224=1,SUMPRODUCT(--($AO$2:$AO$1501&lt;$AO1224))+1,"")</f>
        <v/>
      </c>
      <c r="AM1224">
        <f>IF($C1224="","",IF(OR($Q1224=TRUE(),$Q1224="TRUE"),1,0))</f>
        <v/>
      </c>
      <c r="AN1224">
        <f>IF($C1224="","",IF($Z1224="Yes",1,0))</f>
        <v/>
      </c>
      <c r="AO1224">
        <f>IF($AK1224=1,IFERROR(IF(VALUE($C1224)&lt;100000000,VALUE($C1224),1000000000),IFERROR(IF(VALUE(MID($C1224,2,20))&lt;100000000,VALUE(MID($C1224,2,20)),1000000000),1000000000))+ROW()/100000,"")</f>
        <v/>
      </c>
    </row>
    <row r="1225">
      <c r="F1225" s="11" t="n"/>
      <c r="N1225" s="7">
        <f>IF($C1225="","",M1225*U1225/100)</f>
        <v/>
      </c>
      <c r="T1225" s="7" t="n"/>
      <c r="U1225" s="7" t="n"/>
      <c r="V1225" s="7">
        <f>IF($C1225="","",U1225*AA1225/100)</f>
        <v/>
      </c>
      <c r="W1225" s="7">
        <f>IF($C1225="","",U1225-V1225)</f>
        <v/>
      </c>
      <c r="X1225" s="7">
        <f>IF($C1225="","",W1225-N1225)</f>
        <v/>
      </c>
      <c r="AA1225">
        <f>IF($C1225="","",IF($AN1225=1,0,IF($AM1225=1,Settings!$C$6,Settings!$C$7))*100)</f>
        <v/>
      </c>
      <c r="AE1225" s="7" t="n"/>
      <c r="AH1225" s="11" t="n"/>
      <c r="AJ1225">
        <f>IF($C1225="","",$C1225&amp;"|"&amp;$D1225&amp;"")</f>
        <v/>
      </c>
      <c r="AK1225">
        <f>IF($C1225="","",IF(COUNTIF($AJ$2:$AJ1225,$AJ1225)=1,1,0))</f>
        <v/>
      </c>
      <c r="AL1225">
        <f>IF($AK1225=1,SUMPRODUCT(--($AO$2:$AO$1501&lt;$AO1225))+1,"")</f>
        <v/>
      </c>
      <c r="AM1225">
        <f>IF($C1225="","",IF(OR($Q1225=TRUE(),$Q1225="TRUE"),1,0))</f>
        <v/>
      </c>
      <c r="AN1225">
        <f>IF($C1225="","",IF($Z1225="Yes",1,0))</f>
        <v/>
      </c>
      <c r="AO1225">
        <f>IF($AK1225=1,IFERROR(IF(VALUE($C1225)&lt;100000000,VALUE($C1225),1000000000),IFERROR(IF(VALUE(MID($C1225,2,20))&lt;100000000,VALUE(MID($C1225,2,20)),1000000000),1000000000))+ROW()/100000,"")</f>
        <v/>
      </c>
    </row>
    <row r="1226">
      <c r="F1226" s="11" t="n"/>
      <c r="N1226" s="7">
        <f>IF($C1226="","",M1226*U1226/100)</f>
        <v/>
      </c>
      <c r="T1226" s="7" t="n"/>
      <c r="U1226" s="7" t="n"/>
      <c r="V1226" s="7">
        <f>IF($C1226="","",U1226*AA1226/100)</f>
        <v/>
      </c>
      <c r="W1226" s="7">
        <f>IF($C1226="","",U1226-V1226)</f>
        <v/>
      </c>
      <c r="X1226" s="7">
        <f>IF($C1226="","",W1226-N1226)</f>
        <v/>
      </c>
      <c r="AA1226">
        <f>IF($C1226="","",IF($AN1226=1,0,IF($AM1226=1,Settings!$C$6,Settings!$C$7))*100)</f>
        <v/>
      </c>
      <c r="AE1226" s="7" t="n"/>
      <c r="AH1226" s="11" t="n"/>
      <c r="AJ1226">
        <f>IF($C1226="","",$C1226&amp;"|"&amp;$D1226&amp;"")</f>
        <v/>
      </c>
      <c r="AK1226">
        <f>IF($C1226="","",IF(COUNTIF($AJ$2:$AJ1226,$AJ1226)=1,1,0))</f>
        <v/>
      </c>
      <c r="AL1226">
        <f>IF($AK1226=1,SUMPRODUCT(--($AO$2:$AO$1501&lt;$AO1226))+1,"")</f>
        <v/>
      </c>
      <c r="AM1226">
        <f>IF($C1226="","",IF(OR($Q1226=TRUE(),$Q1226="TRUE"),1,0))</f>
        <v/>
      </c>
      <c r="AN1226">
        <f>IF($C1226="","",IF($Z1226="Yes",1,0))</f>
        <v/>
      </c>
      <c r="AO1226">
        <f>IF($AK1226=1,IFERROR(IF(VALUE($C1226)&lt;100000000,VALUE($C1226),1000000000),IFERROR(IF(VALUE(MID($C1226,2,20))&lt;100000000,VALUE(MID($C1226,2,20)),1000000000),1000000000))+ROW()/100000,"")</f>
        <v/>
      </c>
    </row>
    <row r="1227">
      <c r="F1227" s="11" t="n"/>
      <c r="N1227" s="7">
        <f>IF($C1227="","",M1227*U1227/100)</f>
        <v/>
      </c>
      <c r="T1227" s="7" t="n"/>
      <c r="U1227" s="7" t="n"/>
      <c r="V1227" s="7">
        <f>IF($C1227="","",U1227*AA1227/100)</f>
        <v/>
      </c>
      <c r="W1227" s="7">
        <f>IF($C1227="","",U1227-V1227)</f>
        <v/>
      </c>
      <c r="X1227" s="7">
        <f>IF($C1227="","",W1227-N1227)</f>
        <v/>
      </c>
      <c r="AA1227">
        <f>IF($C1227="","",IF($AN1227=1,0,IF($AM1227=1,Settings!$C$6,Settings!$C$7))*100)</f>
        <v/>
      </c>
      <c r="AE1227" s="7" t="n"/>
      <c r="AH1227" s="11" t="n"/>
      <c r="AJ1227">
        <f>IF($C1227="","",$C1227&amp;"|"&amp;$D1227&amp;"")</f>
        <v/>
      </c>
      <c r="AK1227">
        <f>IF($C1227="","",IF(COUNTIF($AJ$2:$AJ1227,$AJ1227)=1,1,0))</f>
        <v/>
      </c>
      <c r="AL1227">
        <f>IF($AK1227=1,SUMPRODUCT(--($AO$2:$AO$1501&lt;$AO1227))+1,"")</f>
        <v/>
      </c>
      <c r="AM1227">
        <f>IF($C1227="","",IF(OR($Q1227=TRUE(),$Q1227="TRUE"),1,0))</f>
        <v/>
      </c>
      <c r="AN1227">
        <f>IF($C1227="","",IF($Z1227="Yes",1,0))</f>
        <v/>
      </c>
      <c r="AO1227">
        <f>IF($AK1227=1,IFERROR(IF(VALUE($C1227)&lt;100000000,VALUE($C1227),1000000000),IFERROR(IF(VALUE(MID($C1227,2,20))&lt;100000000,VALUE(MID($C1227,2,20)),1000000000),1000000000))+ROW()/100000,"")</f>
        <v/>
      </c>
    </row>
    <row r="1228">
      <c r="F1228" s="11" t="n"/>
      <c r="N1228" s="7">
        <f>IF($C1228="","",M1228*U1228/100)</f>
        <v/>
      </c>
      <c r="T1228" s="7" t="n"/>
      <c r="U1228" s="7" t="n"/>
      <c r="V1228" s="7">
        <f>IF($C1228="","",U1228*AA1228/100)</f>
        <v/>
      </c>
      <c r="W1228" s="7">
        <f>IF($C1228="","",U1228-V1228)</f>
        <v/>
      </c>
      <c r="X1228" s="7">
        <f>IF($C1228="","",W1228-N1228)</f>
        <v/>
      </c>
      <c r="AA1228">
        <f>IF($C1228="","",IF($AN1228=1,0,IF($AM1228=1,Settings!$C$6,Settings!$C$7))*100)</f>
        <v/>
      </c>
      <c r="AE1228" s="7" t="n"/>
      <c r="AH1228" s="11" t="n"/>
      <c r="AJ1228">
        <f>IF($C1228="","",$C1228&amp;"|"&amp;$D1228&amp;"")</f>
        <v/>
      </c>
      <c r="AK1228">
        <f>IF($C1228="","",IF(COUNTIF($AJ$2:$AJ1228,$AJ1228)=1,1,0))</f>
        <v/>
      </c>
      <c r="AL1228">
        <f>IF($AK1228=1,SUMPRODUCT(--($AO$2:$AO$1501&lt;$AO1228))+1,"")</f>
        <v/>
      </c>
      <c r="AM1228">
        <f>IF($C1228="","",IF(OR($Q1228=TRUE(),$Q1228="TRUE"),1,0))</f>
        <v/>
      </c>
      <c r="AN1228">
        <f>IF($C1228="","",IF($Z1228="Yes",1,0))</f>
        <v/>
      </c>
      <c r="AO1228">
        <f>IF($AK1228=1,IFERROR(IF(VALUE($C1228)&lt;100000000,VALUE($C1228),1000000000),IFERROR(IF(VALUE(MID($C1228,2,20))&lt;100000000,VALUE(MID($C1228,2,20)),1000000000),1000000000))+ROW()/100000,"")</f>
        <v/>
      </c>
    </row>
    <row r="1229">
      <c r="F1229" s="11" t="n"/>
      <c r="N1229" s="7">
        <f>IF($C1229="","",M1229*U1229/100)</f>
        <v/>
      </c>
      <c r="T1229" s="7" t="n"/>
      <c r="U1229" s="7" t="n"/>
      <c r="V1229" s="7">
        <f>IF($C1229="","",U1229*AA1229/100)</f>
        <v/>
      </c>
      <c r="W1229" s="7">
        <f>IF($C1229="","",U1229-V1229)</f>
        <v/>
      </c>
      <c r="X1229" s="7">
        <f>IF($C1229="","",W1229-N1229)</f>
        <v/>
      </c>
      <c r="AA1229">
        <f>IF($C1229="","",IF($AN1229=1,0,IF($AM1229=1,Settings!$C$6,Settings!$C$7))*100)</f>
        <v/>
      </c>
      <c r="AE1229" s="7" t="n"/>
      <c r="AH1229" s="11" t="n"/>
      <c r="AJ1229">
        <f>IF($C1229="","",$C1229&amp;"|"&amp;$D1229&amp;"")</f>
        <v/>
      </c>
      <c r="AK1229">
        <f>IF($C1229="","",IF(COUNTIF($AJ$2:$AJ1229,$AJ1229)=1,1,0))</f>
        <v/>
      </c>
      <c r="AL1229">
        <f>IF($AK1229=1,SUMPRODUCT(--($AO$2:$AO$1501&lt;$AO1229))+1,"")</f>
        <v/>
      </c>
      <c r="AM1229">
        <f>IF($C1229="","",IF(OR($Q1229=TRUE(),$Q1229="TRUE"),1,0))</f>
        <v/>
      </c>
      <c r="AN1229">
        <f>IF($C1229="","",IF($Z1229="Yes",1,0))</f>
        <v/>
      </c>
      <c r="AO1229">
        <f>IF($AK1229=1,IFERROR(IF(VALUE($C1229)&lt;100000000,VALUE($C1229),1000000000),IFERROR(IF(VALUE(MID($C1229,2,20))&lt;100000000,VALUE(MID($C1229,2,20)),1000000000),1000000000))+ROW()/100000,"")</f>
        <v/>
      </c>
    </row>
    <row r="1230">
      <c r="F1230" s="11" t="n"/>
      <c r="N1230" s="7">
        <f>IF($C1230="","",M1230*U1230/100)</f>
        <v/>
      </c>
      <c r="T1230" s="7" t="n"/>
      <c r="U1230" s="7" t="n"/>
      <c r="V1230" s="7">
        <f>IF($C1230="","",U1230*AA1230/100)</f>
        <v/>
      </c>
      <c r="W1230" s="7">
        <f>IF($C1230="","",U1230-V1230)</f>
        <v/>
      </c>
      <c r="X1230" s="7">
        <f>IF($C1230="","",W1230-N1230)</f>
        <v/>
      </c>
      <c r="AA1230">
        <f>IF($C1230="","",IF($AN1230=1,0,IF($AM1230=1,Settings!$C$6,Settings!$C$7))*100)</f>
        <v/>
      </c>
      <c r="AE1230" s="7" t="n"/>
      <c r="AH1230" s="11" t="n"/>
      <c r="AJ1230">
        <f>IF($C1230="","",$C1230&amp;"|"&amp;$D1230&amp;"")</f>
        <v/>
      </c>
      <c r="AK1230">
        <f>IF($C1230="","",IF(COUNTIF($AJ$2:$AJ1230,$AJ1230)=1,1,0))</f>
        <v/>
      </c>
      <c r="AL1230">
        <f>IF($AK1230=1,SUMPRODUCT(--($AO$2:$AO$1501&lt;$AO1230))+1,"")</f>
        <v/>
      </c>
      <c r="AM1230">
        <f>IF($C1230="","",IF(OR($Q1230=TRUE(),$Q1230="TRUE"),1,0))</f>
        <v/>
      </c>
      <c r="AN1230">
        <f>IF($C1230="","",IF($Z1230="Yes",1,0))</f>
        <v/>
      </c>
      <c r="AO1230">
        <f>IF($AK1230=1,IFERROR(IF(VALUE($C1230)&lt;100000000,VALUE($C1230),1000000000),IFERROR(IF(VALUE(MID($C1230,2,20))&lt;100000000,VALUE(MID($C1230,2,20)),1000000000),1000000000))+ROW()/100000,"")</f>
        <v/>
      </c>
    </row>
    <row r="1231">
      <c r="F1231" s="11" t="n"/>
      <c r="N1231" s="7">
        <f>IF($C1231="","",M1231*U1231/100)</f>
        <v/>
      </c>
      <c r="T1231" s="7" t="n"/>
      <c r="U1231" s="7" t="n"/>
      <c r="V1231" s="7">
        <f>IF($C1231="","",U1231*AA1231/100)</f>
        <v/>
      </c>
      <c r="W1231" s="7">
        <f>IF($C1231="","",U1231-V1231)</f>
        <v/>
      </c>
      <c r="X1231" s="7">
        <f>IF($C1231="","",W1231-N1231)</f>
        <v/>
      </c>
      <c r="AA1231">
        <f>IF($C1231="","",IF($AN1231=1,0,IF($AM1231=1,Settings!$C$6,Settings!$C$7))*100)</f>
        <v/>
      </c>
      <c r="AE1231" s="7" t="n"/>
      <c r="AH1231" s="11" t="n"/>
      <c r="AJ1231">
        <f>IF($C1231="","",$C1231&amp;"|"&amp;$D1231&amp;"")</f>
        <v/>
      </c>
      <c r="AK1231">
        <f>IF($C1231="","",IF(COUNTIF($AJ$2:$AJ1231,$AJ1231)=1,1,0))</f>
        <v/>
      </c>
      <c r="AL1231">
        <f>IF($AK1231=1,SUMPRODUCT(--($AO$2:$AO$1501&lt;$AO1231))+1,"")</f>
        <v/>
      </c>
      <c r="AM1231">
        <f>IF($C1231="","",IF(OR($Q1231=TRUE(),$Q1231="TRUE"),1,0))</f>
        <v/>
      </c>
      <c r="AN1231">
        <f>IF($C1231="","",IF($Z1231="Yes",1,0))</f>
        <v/>
      </c>
      <c r="AO1231">
        <f>IF($AK1231=1,IFERROR(IF(VALUE($C1231)&lt;100000000,VALUE($C1231),1000000000),IFERROR(IF(VALUE(MID($C1231,2,20))&lt;100000000,VALUE(MID($C1231,2,20)),1000000000),1000000000))+ROW()/100000,"")</f>
        <v/>
      </c>
    </row>
    <row r="1232">
      <c r="F1232" s="11" t="n"/>
      <c r="N1232" s="7">
        <f>IF($C1232="","",M1232*U1232/100)</f>
        <v/>
      </c>
      <c r="T1232" s="7" t="n"/>
      <c r="U1232" s="7" t="n"/>
      <c r="V1232" s="7">
        <f>IF($C1232="","",U1232*AA1232/100)</f>
        <v/>
      </c>
      <c r="W1232" s="7">
        <f>IF($C1232="","",U1232-V1232)</f>
        <v/>
      </c>
      <c r="X1232" s="7">
        <f>IF($C1232="","",W1232-N1232)</f>
        <v/>
      </c>
      <c r="AA1232">
        <f>IF($C1232="","",IF($AN1232=1,0,IF($AM1232=1,Settings!$C$6,Settings!$C$7))*100)</f>
        <v/>
      </c>
      <c r="AE1232" s="7" t="n"/>
      <c r="AH1232" s="11" t="n"/>
      <c r="AJ1232">
        <f>IF($C1232="","",$C1232&amp;"|"&amp;$D1232&amp;"")</f>
        <v/>
      </c>
      <c r="AK1232">
        <f>IF($C1232="","",IF(COUNTIF($AJ$2:$AJ1232,$AJ1232)=1,1,0))</f>
        <v/>
      </c>
      <c r="AL1232">
        <f>IF($AK1232=1,SUMPRODUCT(--($AO$2:$AO$1501&lt;$AO1232))+1,"")</f>
        <v/>
      </c>
      <c r="AM1232">
        <f>IF($C1232="","",IF(OR($Q1232=TRUE(),$Q1232="TRUE"),1,0))</f>
        <v/>
      </c>
      <c r="AN1232">
        <f>IF($C1232="","",IF($Z1232="Yes",1,0))</f>
        <v/>
      </c>
      <c r="AO1232">
        <f>IF($AK1232=1,IFERROR(IF(VALUE($C1232)&lt;100000000,VALUE($C1232),1000000000),IFERROR(IF(VALUE(MID($C1232,2,20))&lt;100000000,VALUE(MID($C1232,2,20)),1000000000),1000000000))+ROW()/100000,"")</f>
        <v/>
      </c>
    </row>
    <row r="1233">
      <c r="F1233" s="11" t="n"/>
      <c r="N1233" s="7">
        <f>IF($C1233="","",M1233*U1233/100)</f>
        <v/>
      </c>
      <c r="T1233" s="7" t="n"/>
      <c r="U1233" s="7" t="n"/>
      <c r="V1233" s="7">
        <f>IF($C1233="","",U1233*AA1233/100)</f>
        <v/>
      </c>
      <c r="W1233" s="7">
        <f>IF($C1233="","",U1233-V1233)</f>
        <v/>
      </c>
      <c r="X1233" s="7">
        <f>IF($C1233="","",W1233-N1233)</f>
        <v/>
      </c>
      <c r="AA1233">
        <f>IF($C1233="","",IF($AN1233=1,0,IF($AM1233=1,Settings!$C$6,Settings!$C$7))*100)</f>
        <v/>
      </c>
      <c r="AE1233" s="7" t="n"/>
      <c r="AH1233" s="11" t="n"/>
      <c r="AJ1233">
        <f>IF($C1233="","",$C1233&amp;"|"&amp;$D1233&amp;"")</f>
        <v/>
      </c>
      <c r="AK1233">
        <f>IF($C1233="","",IF(COUNTIF($AJ$2:$AJ1233,$AJ1233)=1,1,0))</f>
        <v/>
      </c>
      <c r="AL1233">
        <f>IF($AK1233=1,SUMPRODUCT(--($AO$2:$AO$1501&lt;$AO1233))+1,"")</f>
        <v/>
      </c>
      <c r="AM1233">
        <f>IF($C1233="","",IF(OR($Q1233=TRUE(),$Q1233="TRUE"),1,0))</f>
        <v/>
      </c>
      <c r="AN1233">
        <f>IF($C1233="","",IF($Z1233="Yes",1,0))</f>
        <v/>
      </c>
      <c r="AO1233">
        <f>IF($AK1233=1,IFERROR(IF(VALUE($C1233)&lt;100000000,VALUE($C1233),1000000000),IFERROR(IF(VALUE(MID($C1233,2,20))&lt;100000000,VALUE(MID($C1233,2,20)),1000000000),1000000000))+ROW()/100000,"")</f>
        <v/>
      </c>
    </row>
    <row r="1234">
      <c r="F1234" s="11" t="n"/>
      <c r="N1234" s="7">
        <f>IF($C1234="","",M1234*U1234/100)</f>
        <v/>
      </c>
      <c r="T1234" s="7" t="n"/>
      <c r="U1234" s="7" t="n"/>
      <c r="V1234" s="7">
        <f>IF($C1234="","",U1234*AA1234/100)</f>
        <v/>
      </c>
      <c r="W1234" s="7">
        <f>IF($C1234="","",U1234-V1234)</f>
        <v/>
      </c>
      <c r="X1234" s="7">
        <f>IF($C1234="","",W1234-N1234)</f>
        <v/>
      </c>
      <c r="AA1234">
        <f>IF($C1234="","",IF($AN1234=1,0,IF($AM1234=1,Settings!$C$6,Settings!$C$7))*100)</f>
        <v/>
      </c>
      <c r="AE1234" s="7" t="n"/>
      <c r="AH1234" s="11" t="n"/>
      <c r="AJ1234">
        <f>IF($C1234="","",$C1234&amp;"|"&amp;$D1234&amp;"")</f>
        <v/>
      </c>
      <c r="AK1234">
        <f>IF($C1234="","",IF(COUNTIF($AJ$2:$AJ1234,$AJ1234)=1,1,0))</f>
        <v/>
      </c>
      <c r="AL1234">
        <f>IF($AK1234=1,SUMPRODUCT(--($AO$2:$AO$1501&lt;$AO1234))+1,"")</f>
        <v/>
      </c>
      <c r="AM1234">
        <f>IF($C1234="","",IF(OR($Q1234=TRUE(),$Q1234="TRUE"),1,0))</f>
        <v/>
      </c>
      <c r="AN1234">
        <f>IF($C1234="","",IF($Z1234="Yes",1,0))</f>
        <v/>
      </c>
      <c r="AO1234">
        <f>IF($AK1234=1,IFERROR(IF(VALUE($C1234)&lt;100000000,VALUE($C1234),1000000000),IFERROR(IF(VALUE(MID($C1234,2,20))&lt;100000000,VALUE(MID($C1234,2,20)),1000000000),1000000000))+ROW()/100000,"")</f>
        <v/>
      </c>
    </row>
    <row r="1235">
      <c r="F1235" s="11" t="n"/>
      <c r="N1235" s="7">
        <f>IF($C1235="","",M1235*U1235/100)</f>
        <v/>
      </c>
      <c r="T1235" s="7" t="n"/>
      <c r="U1235" s="7" t="n"/>
      <c r="V1235" s="7">
        <f>IF($C1235="","",U1235*AA1235/100)</f>
        <v/>
      </c>
      <c r="W1235" s="7">
        <f>IF($C1235="","",U1235-V1235)</f>
        <v/>
      </c>
      <c r="X1235" s="7">
        <f>IF($C1235="","",W1235-N1235)</f>
        <v/>
      </c>
      <c r="AA1235">
        <f>IF($C1235="","",IF($AN1235=1,0,IF($AM1235=1,Settings!$C$6,Settings!$C$7))*100)</f>
        <v/>
      </c>
      <c r="AE1235" s="7" t="n"/>
      <c r="AH1235" s="11" t="n"/>
      <c r="AJ1235">
        <f>IF($C1235="","",$C1235&amp;"|"&amp;$D1235&amp;"")</f>
        <v/>
      </c>
      <c r="AK1235">
        <f>IF($C1235="","",IF(COUNTIF($AJ$2:$AJ1235,$AJ1235)=1,1,0))</f>
        <v/>
      </c>
      <c r="AL1235">
        <f>IF($AK1235=1,SUMPRODUCT(--($AO$2:$AO$1501&lt;$AO1235))+1,"")</f>
        <v/>
      </c>
      <c r="AM1235">
        <f>IF($C1235="","",IF(OR($Q1235=TRUE(),$Q1235="TRUE"),1,0))</f>
        <v/>
      </c>
      <c r="AN1235">
        <f>IF($C1235="","",IF($Z1235="Yes",1,0))</f>
        <v/>
      </c>
      <c r="AO1235">
        <f>IF($AK1235=1,IFERROR(IF(VALUE($C1235)&lt;100000000,VALUE($C1235),1000000000),IFERROR(IF(VALUE(MID($C1235,2,20))&lt;100000000,VALUE(MID($C1235,2,20)),1000000000),1000000000))+ROW()/100000,"")</f>
        <v/>
      </c>
    </row>
    <row r="1236">
      <c r="F1236" s="11" t="n"/>
      <c r="N1236" s="7">
        <f>IF($C1236="","",M1236*U1236/100)</f>
        <v/>
      </c>
      <c r="T1236" s="7" t="n"/>
      <c r="U1236" s="7" t="n"/>
      <c r="V1236" s="7">
        <f>IF($C1236="","",U1236*AA1236/100)</f>
        <v/>
      </c>
      <c r="W1236" s="7">
        <f>IF($C1236="","",U1236-V1236)</f>
        <v/>
      </c>
      <c r="X1236" s="7">
        <f>IF($C1236="","",W1236-N1236)</f>
        <v/>
      </c>
      <c r="AA1236">
        <f>IF($C1236="","",IF($AN1236=1,0,IF($AM1236=1,Settings!$C$6,Settings!$C$7))*100)</f>
        <v/>
      </c>
      <c r="AE1236" s="7" t="n"/>
      <c r="AH1236" s="11" t="n"/>
      <c r="AJ1236">
        <f>IF($C1236="","",$C1236&amp;"|"&amp;$D1236&amp;"")</f>
        <v/>
      </c>
      <c r="AK1236">
        <f>IF($C1236="","",IF(COUNTIF($AJ$2:$AJ1236,$AJ1236)=1,1,0))</f>
        <v/>
      </c>
      <c r="AL1236">
        <f>IF($AK1236=1,SUMPRODUCT(--($AO$2:$AO$1501&lt;$AO1236))+1,"")</f>
        <v/>
      </c>
      <c r="AM1236">
        <f>IF($C1236="","",IF(OR($Q1236=TRUE(),$Q1236="TRUE"),1,0))</f>
        <v/>
      </c>
      <c r="AN1236">
        <f>IF($C1236="","",IF($Z1236="Yes",1,0))</f>
        <v/>
      </c>
      <c r="AO1236">
        <f>IF($AK1236=1,IFERROR(IF(VALUE($C1236)&lt;100000000,VALUE($C1236),1000000000),IFERROR(IF(VALUE(MID($C1236,2,20))&lt;100000000,VALUE(MID($C1236,2,20)),1000000000),1000000000))+ROW()/100000,"")</f>
        <v/>
      </c>
    </row>
    <row r="1237">
      <c r="F1237" s="11" t="n"/>
      <c r="N1237" s="7">
        <f>IF($C1237="","",M1237*U1237/100)</f>
        <v/>
      </c>
      <c r="T1237" s="7" t="n"/>
      <c r="U1237" s="7" t="n"/>
      <c r="V1237" s="7">
        <f>IF($C1237="","",U1237*AA1237/100)</f>
        <v/>
      </c>
      <c r="W1237" s="7">
        <f>IF($C1237="","",U1237-V1237)</f>
        <v/>
      </c>
      <c r="X1237" s="7">
        <f>IF($C1237="","",W1237-N1237)</f>
        <v/>
      </c>
      <c r="AA1237">
        <f>IF($C1237="","",IF($AN1237=1,0,IF($AM1237=1,Settings!$C$6,Settings!$C$7))*100)</f>
        <v/>
      </c>
      <c r="AE1237" s="7" t="n"/>
      <c r="AH1237" s="11" t="n"/>
      <c r="AJ1237">
        <f>IF($C1237="","",$C1237&amp;"|"&amp;$D1237&amp;"")</f>
        <v/>
      </c>
      <c r="AK1237">
        <f>IF($C1237="","",IF(COUNTIF($AJ$2:$AJ1237,$AJ1237)=1,1,0))</f>
        <v/>
      </c>
      <c r="AL1237">
        <f>IF($AK1237=1,SUMPRODUCT(--($AO$2:$AO$1501&lt;$AO1237))+1,"")</f>
        <v/>
      </c>
      <c r="AM1237">
        <f>IF($C1237="","",IF(OR($Q1237=TRUE(),$Q1237="TRUE"),1,0))</f>
        <v/>
      </c>
      <c r="AN1237">
        <f>IF($C1237="","",IF($Z1237="Yes",1,0))</f>
        <v/>
      </c>
      <c r="AO1237">
        <f>IF($AK1237=1,IFERROR(IF(VALUE($C1237)&lt;100000000,VALUE($C1237),1000000000),IFERROR(IF(VALUE(MID($C1237,2,20))&lt;100000000,VALUE(MID($C1237,2,20)),1000000000),1000000000))+ROW()/100000,"")</f>
        <v/>
      </c>
    </row>
    <row r="1238">
      <c r="F1238" s="11" t="n"/>
      <c r="N1238" s="7">
        <f>IF($C1238="","",M1238*U1238/100)</f>
        <v/>
      </c>
      <c r="T1238" s="7" t="n"/>
      <c r="U1238" s="7" t="n"/>
      <c r="V1238" s="7">
        <f>IF($C1238="","",U1238*AA1238/100)</f>
        <v/>
      </c>
      <c r="W1238" s="7">
        <f>IF($C1238="","",U1238-V1238)</f>
        <v/>
      </c>
      <c r="X1238" s="7">
        <f>IF($C1238="","",W1238-N1238)</f>
        <v/>
      </c>
      <c r="AA1238">
        <f>IF($C1238="","",IF($AN1238=1,0,IF($AM1238=1,Settings!$C$6,Settings!$C$7))*100)</f>
        <v/>
      </c>
      <c r="AE1238" s="7" t="n"/>
      <c r="AH1238" s="11" t="n"/>
      <c r="AJ1238">
        <f>IF($C1238="","",$C1238&amp;"|"&amp;$D1238&amp;"")</f>
        <v/>
      </c>
      <c r="AK1238">
        <f>IF($C1238="","",IF(COUNTIF($AJ$2:$AJ1238,$AJ1238)=1,1,0))</f>
        <v/>
      </c>
      <c r="AL1238">
        <f>IF($AK1238=1,SUMPRODUCT(--($AO$2:$AO$1501&lt;$AO1238))+1,"")</f>
        <v/>
      </c>
      <c r="AM1238">
        <f>IF($C1238="","",IF(OR($Q1238=TRUE(),$Q1238="TRUE"),1,0))</f>
        <v/>
      </c>
      <c r="AN1238">
        <f>IF($C1238="","",IF($Z1238="Yes",1,0))</f>
        <v/>
      </c>
      <c r="AO1238">
        <f>IF($AK1238=1,IFERROR(IF(VALUE($C1238)&lt;100000000,VALUE($C1238),1000000000),IFERROR(IF(VALUE(MID($C1238,2,20))&lt;100000000,VALUE(MID($C1238,2,20)),1000000000),1000000000))+ROW()/100000,"")</f>
        <v/>
      </c>
    </row>
    <row r="1239">
      <c r="F1239" s="11" t="n"/>
      <c r="N1239" s="7">
        <f>IF($C1239="","",M1239*U1239/100)</f>
        <v/>
      </c>
      <c r="T1239" s="7" t="n"/>
      <c r="U1239" s="7" t="n"/>
      <c r="V1239" s="7">
        <f>IF($C1239="","",U1239*AA1239/100)</f>
        <v/>
      </c>
      <c r="W1239" s="7">
        <f>IF($C1239="","",U1239-V1239)</f>
        <v/>
      </c>
      <c r="X1239" s="7">
        <f>IF($C1239="","",W1239-N1239)</f>
        <v/>
      </c>
      <c r="AA1239">
        <f>IF($C1239="","",IF($AN1239=1,0,IF($AM1239=1,Settings!$C$6,Settings!$C$7))*100)</f>
        <v/>
      </c>
      <c r="AE1239" s="7" t="n"/>
      <c r="AH1239" s="11" t="n"/>
      <c r="AJ1239">
        <f>IF($C1239="","",$C1239&amp;"|"&amp;$D1239&amp;"")</f>
        <v/>
      </c>
      <c r="AK1239">
        <f>IF($C1239="","",IF(COUNTIF($AJ$2:$AJ1239,$AJ1239)=1,1,0))</f>
        <v/>
      </c>
      <c r="AL1239">
        <f>IF($AK1239=1,SUMPRODUCT(--($AO$2:$AO$1501&lt;$AO1239))+1,"")</f>
        <v/>
      </c>
      <c r="AM1239">
        <f>IF($C1239="","",IF(OR($Q1239=TRUE(),$Q1239="TRUE"),1,0))</f>
        <v/>
      </c>
      <c r="AN1239">
        <f>IF($C1239="","",IF($Z1239="Yes",1,0))</f>
        <v/>
      </c>
      <c r="AO1239">
        <f>IF($AK1239=1,IFERROR(IF(VALUE($C1239)&lt;100000000,VALUE($C1239),1000000000),IFERROR(IF(VALUE(MID($C1239,2,20))&lt;100000000,VALUE(MID($C1239,2,20)),1000000000),1000000000))+ROW()/100000,"")</f>
        <v/>
      </c>
    </row>
    <row r="1240">
      <c r="F1240" s="11" t="n"/>
      <c r="N1240" s="7">
        <f>IF($C1240="","",M1240*U1240/100)</f>
        <v/>
      </c>
      <c r="T1240" s="7" t="n"/>
      <c r="U1240" s="7" t="n"/>
      <c r="V1240" s="7">
        <f>IF($C1240="","",U1240*AA1240/100)</f>
        <v/>
      </c>
      <c r="W1240" s="7">
        <f>IF($C1240="","",U1240-V1240)</f>
        <v/>
      </c>
      <c r="X1240" s="7">
        <f>IF($C1240="","",W1240-N1240)</f>
        <v/>
      </c>
      <c r="AA1240">
        <f>IF($C1240="","",IF($AN1240=1,0,IF($AM1240=1,Settings!$C$6,Settings!$C$7))*100)</f>
        <v/>
      </c>
      <c r="AE1240" s="7" t="n"/>
      <c r="AH1240" s="11" t="n"/>
      <c r="AJ1240">
        <f>IF($C1240="","",$C1240&amp;"|"&amp;$D1240&amp;"")</f>
        <v/>
      </c>
      <c r="AK1240">
        <f>IF($C1240="","",IF(COUNTIF($AJ$2:$AJ1240,$AJ1240)=1,1,0))</f>
        <v/>
      </c>
      <c r="AL1240">
        <f>IF($AK1240=1,SUMPRODUCT(--($AO$2:$AO$1501&lt;$AO1240))+1,"")</f>
        <v/>
      </c>
      <c r="AM1240">
        <f>IF($C1240="","",IF(OR($Q1240=TRUE(),$Q1240="TRUE"),1,0))</f>
        <v/>
      </c>
      <c r="AN1240">
        <f>IF($C1240="","",IF($Z1240="Yes",1,0))</f>
        <v/>
      </c>
      <c r="AO1240">
        <f>IF($AK1240=1,IFERROR(IF(VALUE($C1240)&lt;100000000,VALUE($C1240),1000000000),IFERROR(IF(VALUE(MID($C1240,2,20))&lt;100000000,VALUE(MID($C1240,2,20)),1000000000),1000000000))+ROW()/100000,"")</f>
        <v/>
      </c>
    </row>
    <row r="1241">
      <c r="F1241" s="11" t="n"/>
      <c r="N1241" s="7">
        <f>IF($C1241="","",M1241*U1241/100)</f>
        <v/>
      </c>
      <c r="T1241" s="7" t="n"/>
      <c r="U1241" s="7" t="n"/>
      <c r="V1241" s="7">
        <f>IF($C1241="","",U1241*AA1241/100)</f>
        <v/>
      </c>
      <c r="W1241" s="7">
        <f>IF($C1241="","",U1241-V1241)</f>
        <v/>
      </c>
      <c r="X1241" s="7">
        <f>IF($C1241="","",W1241-N1241)</f>
        <v/>
      </c>
      <c r="AA1241">
        <f>IF($C1241="","",IF($AN1241=1,0,IF($AM1241=1,Settings!$C$6,Settings!$C$7))*100)</f>
        <v/>
      </c>
      <c r="AE1241" s="7" t="n"/>
      <c r="AH1241" s="11" t="n"/>
      <c r="AJ1241">
        <f>IF($C1241="","",$C1241&amp;"|"&amp;$D1241&amp;"")</f>
        <v/>
      </c>
      <c r="AK1241">
        <f>IF($C1241="","",IF(COUNTIF($AJ$2:$AJ1241,$AJ1241)=1,1,0))</f>
        <v/>
      </c>
      <c r="AL1241">
        <f>IF($AK1241=1,SUMPRODUCT(--($AO$2:$AO$1501&lt;$AO1241))+1,"")</f>
        <v/>
      </c>
      <c r="AM1241">
        <f>IF($C1241="","",IF(OR($Q1241=TRUE(),$Q1241="TRUE"),1,0))</f>
        <v/>
      </c>
      <c r="AN1241">
        <f>IF($C1241="","",IF($Z1241="Yes",1,0))</f>
        <v/>
      </c>
      <c r="AO1241">
        <f>IF($AK1241=1,IFERROR(IF(VALUE($C1241)&lt;100000000,VALUE($C1241),1000000000),IFERROR(IF(VALUE(MID($C1241,2,20))&lt;100000000,VALUE(MID($C1241,2,20)),1000000000),1000000000))+ROW()/100000,"")</f>
        <v/>
      </c>
    </row>
    <row r="1242">
      <c r="F1242" s="11" t="n"/>
      <c r="N1242" s="7">
        <f>IF($C1242="","",M1242*U1242/100)</f>
        <v/>
      </c>
      <c r="T1242" s="7" t="n"/>
      <c r="U1242" s="7" t="n"/>
      <c r="V1242" s="7">
        <f>IF($C1242="","",U1242*AA1242/100)</f>
        <v/>
      </c>
      <c r="W1242" s="7">
        <f>IF($C1242="","",U1242-V1242)</f>
        <v/>
      </c>
      <c r="X1242" s="7">
        <f>IF($C1242="","",W1242-N1242)</f>
        <v/>
      </c>
      <c r="AA1242">
        <f>IF($C1242="","",IF($AN1242=1,0,IF($AM1242=1,Settings!$C$6,Settings!$C$7))*100)</f>
        <v/>
      </c>
      <c r="AE1242" s="7" t="n"/>
      <c r="AH1242" s="11" t="n"/>
      <c r="AJ1242">
        <f>IF($C1242="","",$C1242&amp;"|"&amp;$D1242&amp;"")</f>
        <v/>
      </c>
      <c r="AK1242">
        <f>IF($C1242="","",IF(COUNTIF($AJ$2:$AJ1242,$AJ1242)=1,1,0))</f>
        <v/>
      </c>
      <c r="AL1242">
        <f>IF($AK1242=1,SUMPRODUCT(--($AO$2:$AO$1501&lt;$AO1242))+1,"")</f>
        <v/>
      </c>
      <c r="AM1242">
        <f>IF($C1242="","",IF(OR($Q1242=TRUE(),$Q1242="TRUE"),1,0))</f>
        <v/>
      </c>
      <c r="AN1242">
        <f>IF($C1242="","",IF($Z1242="Yes",1,0))</f>
        <v/>
      </c>
      <c r="AO1242">
        <f>IF($AK1242=1,IFERROR(IF(VALUE($C1242)&lt;100000000,VALUE($C1242),1000000000),IFERROR(IF(VALUE(MID($C1242,2,20))&lt;100000000,VALUE(MID($C1242,2,20)),1000000000),1000000000))+ROW()/100000,"")</f>
        <v/>
      </c>
    </row>
    <row r="1243">
      <c r="F1243" s="11" t="n"/>
      <c r="N1243" s="7">
        <f>IF($C1243="","",M1243*U1243/100)</f>
        <v/>
      </c>
      <c r="T1243" s="7" t="n"/>
      <c r="U1243" s="7" t="n"/>
      <c r="V1243" s="7">
        <f>IF($C1243="","",U1243*AA1243/100)</f>
        <v/>
      </c>
      <c r="W1243" s="7">
        <f>IF($C1243="","",U1243-V1243)</f>
        <v/>
      </c>
      <c r="X1243" s="7">
        <f>IF($C1243="","",W1243-N1243)</f>
        <v/>
      </c>
      <c r="AA1243">
        <f>IF($C1243="","",IF($AN1243=1,0,IF($AM1243=1,Settings!$C$6,Settings!$C$7))*100)</f>
        <v/>
      </c>
      <c r="AE1243" s="7" t="n"/>
      <c r="AH1243" s="11" t="n"/>
      <c r="AJ1243">
        <f>IF($C1243="","",$C1243&amp;"|"&amp;$D1243&amp;"")</f>
        <v/>
      </c>
      <c r="AK1243">
        <f>IF($C1243="","",IF(COUNTIF($AJ$2:$AJ1243,$AJ1243)=1,1,0))</f>
        <v/>
      </c>
      <c r="AL1243">
        <f>IF($AK1243=1,SUMPRODUCT(--($AO$2:$AO$1501&lt;$AO1243))+1,"")</f>
        <v/>
      </c>
      <c r="AM1243">
        <f>IF($C1243="","",IF(OR($Q1243=TRUE(),$Q1243="TRUE"),1,0))</f>
        <v/>
      </c>
      <c r="AN1243">
        <f>IF($C1243="","",IF($Z1243="Yes",1,0))</f>
        <v/>
      </c>
      <c r="AO1243">
        <f>IF($AK1243=1,IFERROR(IF(VALUE($C1243)&lt;100000000,VALUE($C1243),1000000000),IFERROR(IF(VALUE(MID($C1243,2,20))&lt;100000000,VALUE(MID($C1243,2,20)),1000000000),1000000000))+ROW()/100000,"")</f>
        <v/>
      </c>
    </row>
    <row r="1244">
      <c r="F1244" s="11" t="n"/>
      <c r="N1244" s="7">
        <f>IF($C1244="","",M1244*U1244/100)</f>
        <v/>
      </c>
      <c r="T1244" s="7" t="n"/>
      <c r="U1244" s="7" t="n"/>
      <c r="V1244" s="7">
        <f>IF($C1244="","",U1244*AA1244/100)</f>
        <v/>
      </c>
      <c r="W1244" s="7">
        <f>IF($C1244="","",U1244-V1244)</f>
        <v/>
      </c>
      <c r="X1244" s="7">
        <f>IF($C1244="","",W1244-N1244)</f>
        <v/>
      </c>
      <c r="AA1244">
        <f>IF($C1244="","",IF($AN1244=1,0,IF($AM1244=1,Settings!$C$6,Settings!$C$7))*100)</f>
        <v/>
      </c>
      <c r="AE1244" s="7" t="n"/>
      <c r="AH1244" s="11" t="n"/>
      <c r="AJ1244">
        <f>IF($C1244="","",$C1244&amp;"|"&amp;$D1244&amp;"")</f>
        <v/>
      </c>
      <c r="AK1244">
        <f>IF($C1244="","",IF(COUNTIF($AJ$2:$AJ1244,$AJ1244)=1,1,0))</f>
        <v/>
      </c>
      <c r="AL1244">
        <f>IF($AK1244=1,SUMPRODUCT(--($AO$2:$AO$1501&lt;$AO1244))+1,"")</f>
        <v/>
      </c>
      <c r="AM1244">
        <f>IF($C1244="","",IF(OR($Q1244=TRUE(),$Q1244="TRUE"),1,0))</f>
        <v/>
      </c>
      <c r="AN1244">
        <f>IF($C1244="","",IF($Z1244="Yes",1,0))</f>
        <v/>
      </c>
      <c r="AO1244">
        <f>IF($AK1244=1,IFERROR(IF(VALUE($C1244)&lt;100000000,VALUE($C1244),1000000000),IFERROR(IF(VALUE(MID($C1244,2,20))&lt;100000000,VALUE(MID($C1244,2,20)),1000000000),1000000000))+ROW()/100000,"")</f>
        <v/>
      </c>
    </row>
    <row r="1245">
      <c r="F1245" s="11" t="n"/>
      <c r="N1245" s="7">
        <f>IF($C1245="","",M1245*U1245/100)</f>
        <v/>
      </c>
      <c r="T1245" s="7" t="n"/>
      <c r="U1245" s="7" t="n"/>
      <c r="V1245" s="7">
        <f>IF($C1245="","",U1245*AA1245/100)</f>
        <v/>
      </c>
      <c r="W1245" s="7">
        <f>IF($C1245="","",U1245-V1245)</f>
        <v/>
      </c>
      <c r="X1245" s="7">
        <f>IF($C1245="","",W1245-N1245)</f>
        <v/>
      </c>
      <c r="AA1245">
        <f>IF($C1245="","",IF($AN1245=1,0,IF($AM1245=1,Settings!$C$6,Settings!$C$7))*100)</f>
        <v/>
      </c>
      <c r="AE1245" s="7" t="n"/>
      <c r="AH1245" s="11" t="n"/>
      <c r="AJ1245">
        <f>IF($C1245="","",$C1245&amp;"|"&amp;$D1245&amp;"")</f>
        <v/>
      </c>
      <c r="AK1245">
        <f>IF($C1245="","",IF(COUNTIF($AJ$2:$AJ1245,$AJ1245)=1,1,0))</f>
        <v/>
      </c>
      <c r="AL1245">
        <f>IF($AK1245=1,SUMPRODUCT(--($AO$2:$AO$1501&lt;$AO1245))+1,"")</f>
        <v/>
      </c>
      <c r="AM1245">
        <f>IF($C1245="","",IF(OR($Q1245=TRUE(),$Q1245="TRUE"),1,0))</f>
        <v/>
      </c>
      <c r="AN1245">
        <f>IF($C1245="","",IF($Z1245="Yes",1,0))</f>
        <v/>
      </c>
      <c r="AO1245">
        <f>IF($AK1245=1,IFERROR(IF(VALUE($C1245)&lt;100000000,VALUE($C1245),1000000000),IFERROR(IF(VALUE(MID($C1245,2,20))&lt;100000000,VALUE(MID($C1245,2,20)),1000000000),1000000000))+ROW()/100000,"")</f>
        <v/>
      </c>
    </row>
    <row r="1246">
      <c r="F1246" s="11" t="n"/>
      <c r="N1246" s="7">
        <f>IF($C1246="","",M1246*U1246/100)</f>
        <v/>
      </c>
      <c r="T1246" s="7" t="n"/>
      <c r="U1246" s="7" t="n"/>
      <c r="V1246" s="7">
        <f>IF($C1246="","",U1246*AA1246/100)</f>
        <v/>
      </c>
      <c r="W1246" s="7">
        <f>IF($C1246="","",U1246-V1246)</f>
        <v/>
      </c>
      <c r="X1246" s="7">
        <f>IF($C1246="","",W1246-N1246)</f>
        <v/>
      </c>
      <c r="AA1246">
        <f>IF($C1246="","",IF($AN1246=1,0,IF($AM1246=1,Settings!$C$6,Settings!$C$7))*100)</f>
        <v/>
      </c>
      <c r="AE1246" s="7" t="n"/>
      <c r="AH1246" s="11" t="n"/>
      <c r="AJ1246">
        <f>IF($C1246="","",$C1246&amp;"|"&amp;$D1246&amp;"")</f>
        <v/>
      </c>
      <c r="AK1246">
        <f>IF($C1246="","",IF(COUNTIF($AJ$2:$AJ1246,$AJ1246)=1,1,0))</f>
        <v/>
      </c>
      <c r="AL1246">
        <f>IF($AK1246=1,SUMPRODUCT(--($AO$2:$AO$1501&lt;$AO1246))+1,"")</f>
        <v/>
      </c>
      <c r="AM1246">
        <f>IF($C1246="","",IF(OR($Q1246=TRUE(),$Q1246="TRUE"),1,0))</f>
        <v/>
      </c>
      <c r="AN1246">
        <f>IF($C1246="","",IF($Z1246="Yes",1,0))</f>
        <v/>
      </c>
      <c r="AO1246">
        <f>IF($AK1246=1,IFERROR(IF(VALUE($C1246)&lt;100000000,VALUE($C1246),1000000000),IFERROR(IF(VALUE(MID($C1246,2,20))&lt;100000000,VALUE(MID($C1246,2,20)),1000000000),1000000000))+ROW()/100000,"")</f>
        <v/>
      </c>
    </row>
    <row r="1247">
      <c r="F1247" s="11" t="n"/>
      <c r="N1247" s="7">
        <f>IF($C1247="","",M1247*U1247/100)</f>
        <v/>
      </c>
      <c r="T1247" s="7" t="n"/>
      <c r="U1247" s="7" t="n"/>
      <c r="V1247" s="7">
        <f>IF($C1247="","",U1247*AA1247/100)</f>
        <v/>
      </c>
      <c r="W1247" s="7">
        <f>IF($C1247="","",U1247-V1247)</f>
        <v/>
      </c>
      <c r="X1247" s="7">
        <f>IF($C1247="","",W1247-N1247)</f>
        <v/>
      </c>
      <c r="AA1247">
        <f>IF($C1247="","",IF($AN1247=1,0,IF($AM1247=1,Settings!$C$6,Settings!$C$7))*100)</f>
        <v/>
      </c>
      <c r="AE1247" s="7" t="n"/>
      <c r="AH1247" s="11" t="n"/>
      <c r="AJ1247">
        <f>IF($C1247="","",$C1247&amp;"|"&amp;$D1247&amp;"")</f>
        <v/>
      </c>
      <c r="AK1247">
        <f>IF($C1247="","",IF(COUNTIF($AJ$2:$AJ1247,$AJ1247)=1,1,0))</f>
        <v/>
      </c>
      <c r="AL1247">
        <f>IF($AK1247=1,SUMPRODUCT(--($AO$2:$AO$1501&lt;$AO1247))+1,"")</f>
        <v/>
      </c>
      <c r="AM1247">
        <f>IF($C1247="","",IF(OR($Q1247=TRUE(),$Q1247="TRUE"),1,0))</f>
        <v/>
      </c>
      <c r="AN1247">
        <f>IF($C1247="","",IF($Z1247="Yes",1,0))</f>
        <v/>
      </c>
      <c r="AO1247">
        <f>IF($AK1247=1,IFERROR(IF(VALUE($C1247)&lt;100000000,VALUE($C1247),1000000000),IFERROR(IF(VALUE(MID($C1247,2,20))&lt;100000000,VALUE(MID($C1247,2,20)),1000000000),1000000000))+ROW()/100000,"")</f>
        <v/>
      </c>
    </row>
    <row r="1248">
      <c r="F1248" s="11" t="n"/>
      <c r="N1248" s="7">
        <f>IF($C1248="","",M1248*U1248/100)</f>
        <v/>
      </c>
      <c r="T1248" s="7" t="n"/>
      <c r="U1248" s="7" t="n"/>
      <c r="V1248" s="7">
        <f>IF($C1248="","",U1248*AA1248/100)</f>
        <v/>
      </c>
      <c r="W1248" s="7">
        <f>IF($C1248="","",U1248-V1248)</f>
        <v/>
      </c>
      <c r="X1248" s="7">
        <f>IF($C1248="","",W1248-N1248)</f>
        <v/>
      </c>
      <c r="AA1248">
        <f>IF($C1248="","",IF($AN1248=1,0,IF($AM1248=1,Settings!$C$6,Settings!$C$7))*100)</f>
        <v/>
      </c>
      <c r="AE1248" s="7" t="n"/>
      <c r="AH1248" s="11" t="n"/>
      <c r="AJ1248">
        <f>IF($C1248="","",$C1248&amp;"|"&amp;$D1248&amp;"")</f>
        <v/>
      </c>
      <c r="AK1248">
        <f>IF($C1248="","",IF(COUNTIF($AJ$2:$AJ1248,$AJ1248)=1,1,0))</f>
        <v/>
      </c>
      <c r="AL1248">
        <f>IF($AK1248=1,SUMPRODUCT(--($AO$2:$AO$1501&lt;$AO1248))+1,"")</f>
        <v/>
      </c>
      <c r="AM1248">
        <f>IF($C1248="","",IF(OR($Q1248=TRUE(),$Q1248="TRUE"),1,0))</f>
        <v/>
      </c>
      <c r="AN1248">
        <f>IF($C1248="","",IF($Z1248="Yes",1,0))</f>
        <v/>
      </c>
      <c r="AO1248">
        <f>IF($AK1248=1,IFERROR(IF(VALUE($C1248)&lt;100000000,VALUE($C1248),1000000000),IFERROR(IF(VALUE(MID($C1248,2,20))&lt;100000000,VALUE(MID($C1248,2,20)),1000000000),1000000000))+ROW()/100000,"")</f>
        <v/>
      </c>
    </row>
    <row r="1249">
      <c r="F1249" s="11" t="n"/>
      <c r="N1249" s="7">
        <f>IF($C1249="","",M1249*U1249/100)</f>
        <v/>
      </c>
      <c r="T1249" s="7" t="n"/>
      <c r="U1249" s="7" t="n"/>
      <c r="V1249" s="7">
        <f>IF($C1249="","",U1249*AA1249/100)</f>
        <v/>
      </c>
      <c r="W1249" s="7">
        <f>IF($C1249="","",U1249-V1249)</f>
        <v/>
      </c>
      <c r="X1249" s="7">
        <f>IF($C1249="","",W1249-N1249)</f>
        <v/>
      </c>
      <c r="AA1249">
        <f>IF($C1249="","",IF($AN1249=1,0,IF($AM1249=1,Settings!$C$6,Settings!$C$7))*100)</f>
        <v/>
      </c>
      <c r="AE1249" s="7" t="n"/>
      <c r="AH1249" s="11" t="n"/>
      <c r="AJ1249">
        <f>IF($C1249="","",$C1249&amp;"|"&amp;$D1249&amp;"")</f>
        <v/>
      </c>
      <c r="AK1249">
        <f>IF($C1249="","",IF(COUNTIF($AJ$2:$AJ1249,$AJ1249)=1,1,0))</f>
        <v/>
      </c>
      <c r="AL1249">
        <f>IF($AK1249=1,SUMPRODUCT(--($AO$2:$AO$1501&lt;$AO1249))+1,"")</f>
        <v/>
      </c>
      <c r="AM1249">
        <f>IF($C1249="","",IF(OR($Q1249=TRUE(),$Q1249="TRUE"),1,0))</f>
        <v/>
      </c>
      <c r="AN1249">
        <f>IF($C1249="","",IF($Z1249="Yes",1,0))</f>
        <v/>
      </c>
      <c r="AO1249">
        <f>IF($AK1249=1,IFERROR(IF(VALUE($C1249)&lt;100000000,VALUE($C1249),1000000000),IFERROR(IF(VALUE(MID($C1249,2,20))&lt;100000000,VALUE(MID($C1249,2,20)),1000000000),1000000000))+ROW()/100000,"")</f>
        <v/>
      </c>
    </row>
    <row r="1250">
      <c r="F1250" s="11" t="n"/>
      <c r="N1250" s="7">
        <f>IF($C1250="","",M1250*U1250/100)</f>
        <v/>
      </c>
      <c r="T1250" s="7" t="n"/>
      <c r="U1250" s="7" t="n"/>
      <c r="V1250" s="7">
        <f>IF($C1250="","",U1250*AA1250/100)</f>
        <v/>
      </c>
      <c r="W1250" s="7">
        <f>IF($C1250="","",U1250-V1250)</f>
        <v/>
      </c>
      <c r="X1250" s="7">
        <f>IF($C1250="","",W1250-N1250)</f>
        <v/>
      </c>
      <c r="AA1250">
        <f>IF($C1250="","",IF($AN1250=1,0,IF($AM1250=1,Settings!$C$6,Settings!$C$7))*100)</f>
        <v/>
      </c>
      <c r="AE1250" s="7" t="n"/>
      <c r="AH1250" s="11" t="n"/>
      <c r="AJ1250">
        <f>IF($C1250="","",$C1250&amp;"|"&amp;$D1250&amp;"")</f>
        <v/>
      </c>
      <c r="AK1250">
        <f>IF($C1250="","",IF(COUNTIF($AJ$2:$AJ1250,$AJ1250)=1,1,0))</f>
        <v/>
      </c>
      <c r="AL1250">
        <f>IF($AK1250=1,SUMPRODUCT(--($AO$2:$AO$1501&lt;$AO1250))+1,"")</f>
        <v/>
      </c>
      <c r="AM1250">
        <f>IF($C1250="","",IF(OR($Q1250=TRUE(),$Q1250="TRUE"),1,0))</f>
        <v/>
      </c>
      <c r="AN1250">
        <f>IF($C1250="","",IF($Z1250="Yes",1,0))</f>
        <v/>
      </c>
      <c r="AO1250">
        <f>IF($AK1250=1,IFERROR(IF(VALUE($C1250)&lt;100000000,VALUE($C1250),1000000000),IFERROR(IF(VALUE(MID($C1250,2,20))&lt;100000000,VALUE(MID($C1250,2,20)),1000000000),1000000000))+ROW()/100000,"")</f>
        <v/>
      </c>
    </row>
    <row r="1251">
      <c r="F1251" s="11" t="n"/>
      <c r="N1251" s="7">
        <f>IF($C1251="","",M1251*U1251/100)</f>
        <v/>
      </c>
      <c r="T1251" s="7" t="n"/>
      <c r="U1251" s="7" t="n"/>
      <c r="V1251" s="7">
        <f>IF($C1251="","",U1251*AA1251/100)</f>
        <v/>
      </c>
      <c r="W1251" s="7">
        <f>IF($C1251="","",U1251-V1251)</f>
        <v/>
      </c>
      <c r="X1251" s="7">
        <f>IF($C1251="","",W1251-N1251)</f>
        <v/>
      </c>
      <c r="AA1251">
        <f>IF($C1251="","",IF($AN1251=1,0,IF($AM1251=1,Settings!$C$6,Settings!$C$7))*100)</f>
        <v/>
      </c>
      <c r="AE1251" s="7" t="n"/>
      <c r="AH1251" s="11" t="n"/>
      <c r="AJ1251">
        <f>IF($C1251="","",$C1251&amp;"|"&amp;$D1251&amp;"")</f>
        <v/>
      </c>
      <c r="AK1251">
        <f>IF($C1251="","",IF(COUNTIF($AJ$2:$AJ1251,$AJ1251)=1,1,0))</f>
        <v/>
      </c>
      <c r="AL1251">
        <f>IF($AK1251=1,SUMPRODUCT(--($AO$2:$AO$1501&lt;$AO1251))+1,"")</f>
        <v/>
      </c>
      <c r="AM1251">
        <f>IF($C1251="","",IF(OR($Q1251=TRUE(),$Q1251="TRUE"),1,0))</f>
        <v/>
      </c>
      <c r="AN1251">
        <f>IF($C1251="","",IF($Z1251="Yes",1,0))</f>
        <v/>
      </c>
      <c r="AO1251">
        <f>IF($AK1251=1,IFERROR(IF(VALUE($C1251)&lt;100000000,VALUE($C1251),1000000000),IFERROR(IF(VALUE(MID($C1251,2,20))&lt;100000000,VALUE(MID($C1251,2,20)),1000000000),1000000000))+ROW()/100000,"")</f>
        <v/>
      </c>
    </row>
    <row r="1252">
      <c r="F1252" s="11" t="n"/>
      <c r="N1252" s="7">
        <f>IF($C1252="","",M1252*U1252/100)</f>
        <v/>
      </c>
      <c r="T1252" s="7" t="n"/>
      <c r="U1252" s="7" t="n"/>
      <c r="V1252" s="7">
        <f>IF($C1252="","",U1252*AA1252/100)</f>
        <v/>
      </c>
      <c r="W1252" s="7">
        <f>IF($C1252="","",U1252-V1252)</f>
        <v/>
      </c>
      <c r="X1252" s="7">
        <f>IF($C1252="","",W1252-N1252)</f>
        <v/>
      </c>
      <c r="AA1252">
        <f>IF($C1252="","",IF($AN1252=1,0,IF($AM1252=1,Settings!$C$6,Settings!$C$7))*100)</f>
        <v/>
      </c>
      <c r="AE1252" s="7" t="n"/>
      <c r="AH1252" s="11" t="n"/>
      <c r="AJ1252">
        <f>IF($C1252="","",$C1252&amp;"|"&amp;$D1252&amp;"")</f>
        <v/>
      </c>
      <c r="AK1252">
        <f>IF($C1252="","",IF(COUNTIF($AJ$2:$AJ1252,$AJ1252)=1,1,0))</f>
        <v/>
      </c>
      <c r="AL1252">
        <f>IF($AK1252=1,SUMPRODUCT(--($AO$2:$AO$1501&lt;$AO1252))+1,"")</f>
        <v/>
      </c>
      <c r="AM1252">
        <f>IF($C1252="","",IF(OR($Q1252=TRUE(),$Q1252="TRUE"),1,0))</f>
        <v/>
      </c>
      <c r="AN1252">
        <f>IF($C1252="","",IF($Z1252="Yes",1,0))</f>
        <v/>
      </c>
      <c r="AO1252">
        <f>IF($AK1252=1,IFERROR(IF(VALUE($C1252)&lt;100000000,VALUE($C1252),1000000000),IFERROR(IF(VALUE(MID($C1252,2,20))&lt;100000000,VALUE(MID($C1252,2,20)),1000000000),1000000000))+ROW()/100000,"")</f>
        <v/>
      </c>
    </row>
    <row r="1253">
      <c r="F1253" s="11" t="n"/>
      <c r="N1253" s="7">
        <f>IF($C1253="","",M1253*U1253/100)</f>
        <v/>
      </c>
      <c r="T1253" s="7" t="n"/>
      <c r="U1253" s="7" t="n"/>
      <c r="V1253" s="7">
        <f>IF($C1253="","",U1253*AA1253/100)</f>
        <v/>
      </c>
      <c r="W1253" s="7">
        <f>IF($C1253="","",U1253-V1253)</f>
        <v/>
      </c>
      <c r="X1253" s="7">
        <f>IF($C1253="","",W1253-N1253)</f>
        <v/>
      </c>
      <c r="AA1253">
        <f>IF($C1253="","",IF($AN1253=1,0,IF($AM1253=1,Settings!$C$6,Settings!$C$7))*100)</f>
        <v/>
      </c>
      <c r="AE1253" s="7" t="n"/>
      <c r="AH1253" s="11" t="n"/>
      <c r="AJ1253">
        <f>IF($C1253="","",$C1253&amp;"|"&amp;$D1253&amp;"")</f>
        <v/>
      </c>
      <c r="AK1253">
        <f>IF($C1253="","",IF(COUNTIF($AJ$2:$AJ1253,$AJ1253)=1,1,0))</f>
        <v/>
      </c>
      <c r="AL1253">
        <f>IF($AK1253=1,SUMPRODUCT(--($AO$2:$AO$1501&lt;$AO1253))+1,"")</f>
        <v/>
      </c>
      <c r="AM1253">
        <f>IF($C1253="","",IF(OR($Q1253=TRUE(),$Q1253="TRUE"),1,0))</f>
        <v/>
      </c>
      <c r="AN1253">
        <f>IF($C1253="","",IF($Z1253="Yes",1,0))</f>
        <v/>
      </c>
      <c r="AO1253">
        <f>IF($AK1253=1,IFERROR(IF(VALUE($C1253)&lt;100000000,VALUE($C1253),1000000000),IFERROR(IF(VALUE(MID($C1253,2,20))&lt;100000000,VALUE(MID($C1253,2,20)),1000000000),1000000000))+ROW()/100000,"")</f>
        <v/>
      </c>
    </row>
    <row r="1254">
      <c r="F1254" s="11" t="n"/>
      <c r="N1254" s="7">
        <f>IF($C1254="","",M1254*U1254/100)</f>
        <v/>
      </c>
      <c r="T1254" s="7" t="n"/>
      <c r="U1254" s="7" t="n"/>
      <c r="V1254" s="7">
        <f>IF($C1254="","",U1254*AA1254/100)</f>
        <v/>
      </c>
      <c r="W1254" s="7">
        <f>IF($C1254="","",U1254-V1254)</f>
        <v/>
      </c>
      <c r="X1254" s="7">
        <f>IF($C1254="","",W1254-N1254)</f>
        <v/>
      </c>
      <c r="AA1254">
        <f>IF($C1254="","",IF($AN1254=1,0,IF($AM1254=1,Settings!$C$6,Settings!$C$7))*100)</f>
        <v/>
      </c>
      <c r="AE1254" s="7" t="n"/>
      <c r="AH1254" s="11" t="n"/>
      <c r="AJ1254">
        <f>IF($C1254="","",$C1254&amp;"|"&amp;$D1254&amp;"")</f>
        <v/>
      </c>
      <c r="AK1254">
        <f>IF($C1254="","",IF(COUNTIF($AJ$2:$AJ1254,$AJ1254)=1,1,0))</f>
        <v/>
      </c>
      <c r="AL1254">
        <f>IF($AK1254=1,SUMPRODUCT(--($AO$2:$AO$1501&lt;$AO1254))+1,"")</f>
        <v/>
      </c>
      <c r="AM1254">
        <f>IF($C1254="","",IF(OR($Q1254=TRUE(),$Q1254="TRUE"),1,0))</f>
        <v/>
      </c>
      <c r="AN1254">
        <f>IF($C1254="","",IF($Z1254="Yes",1,0))</f>
        <v/>
      </c>
      <c r="AO1254">
        <f>IF($AK1254=1,IFERROR(IF(VALUE($C1254)&lt;100000000,VALUE($C1254),1000000000),IFERROR(IF(VALUE(MID($C1254,2,20))&lt;100000000,VALUE(MID($C1254,2,20)),1000000000),1000000000))+ROW()/100000,"")</f>
        <v/>
      </c>
    </row>
    <row r="1255">
      <c r="F1255" s="11" t="n"/>
      <c r="N1255" s="7">
        <f>IF($C1255="","",M1255*U1255/100)</f>
        <v/>
      </c>
      <c r="T1255" s="7" t="n"/>
      <c r="U1255" s="7" t="n"/>
      <c r="V1255" s="7">
        <f>IF($C1255="","",U1255*AA1255/100)</f>
        <v/>
      </c>
      <c r="W1255" s="7">
        <f>IF($C1255="","",U1255-V1255)</f>
        <v/>
      </c>
      <c r="X1255" s="7">
        <f>IF($C1255="","",W1255-N1255)</f>
        <v/>
      </c>
      <c r="AA1255">
        <f>IF($C1255="","",IF($AN1255=1,0,IF($AM1255=1,Settings!$C$6,Settings!$C$7))*100)</f>
        <v/>
      </c>
      <c r="AE1255" s="7" t="n"/>
      <c r="AH1255" s="11" t="n"/>
      <c r="AJ1255">
        <f>IF($C1255="","",$C1255&amp;"|"&amp;$D1255&amp;"")</f>
        <v/>
      </c>
      <c r="AK1255">
        <f>IF($C1255="","",IF(COUNTIF($AJ$2:$AJ1255,$AJ1255)=1,1,0))</f>
        <v/>
      </c>
      <c r="AL1255">
        <f>IF($AK1255=1,SUMPRODUCT(--($AO$2:$AO$1501&lt;$AO1255))+1,"")</f>
        <v/>
      </c>
      <c r="AM1255">
        <f>IF($C1255="","",IF(OR($Q1255=TRUE(),$Q1255="TRUE"),1,0))</f>
        <v/>
      </c>
      <c r="AN1255">
        <f>IF($C1255="","",IF($Z1255="Yes",1,0))</f>
        <v/>
      </c>
      <c r="AO1255">
        <f>IF($AK1255=1,IFERROR(IF(VALUE($C1255)&lt;100000000,VALUE($C1255),1000000000),IFERROR(IF(VALUE(MID($C1255,2,20))&lt;100000000,VALUE(MID($C1255,2,20)),1000000000),1000000000))+ROW()/100000,"")</f>
        <v/>
      </c>
    </row>
    <row r="1256">
      <c r="F1256" s="11" t="n"/>
      <c r="N1256" s="7">
        <f>IF($C1256="","",M1256*U1256/100)</f>
        <v/>
      </c>
      <c r="T1256" s="7" t="n"/>
      <c r="U1256" s="7" t="n"/>
      <c r="V1256" s="7">
        <f>IF($C1256="","",U1256*AA1256/100)</f>
        <v/>
      </c>
      <c r="W1256" s="7">
        <f>IF($C1256="","",U1256-V1256)</f>
        <v/>
      </c>
      <c r="X1256" s="7">
        <f>IF($C1256="","",W1256-N1256)</f>
        <v/>
      </c>
      <c r="AA1256">
        <f>IF($C1256="","",IF($AN1256=1,0,IF($AM1256=1,Settings!$C$6,Settings!$C$7))*100)</f>
        <v/>
      </c>
      <c r="AE1256" s="7" t="n"/>
      <c r="AH1256" s="11" t="n"/>
      <c r="AJ1256">
        <f>IF($C1256="","",$C1256&amp;"|"&amp;$D1256&amp;"")</f>
        <v/>
      </c>
      <c r="AK1256">
        <f>IF($C1256="","",IF(COUNTIF($AJ$2:$AJ1256,$AJ1256)=1,1,0))</f>
        <v/>
      </c>
      <c r="AL1256">
        <f>IF($AK1256=1,SUMPRODUCT(--($AO$2:$AO$1501&lt;$AO1256))+1,"")</f>
        <v/>
      </c>
      <c r="AM1256">
        <f>IF($C1256="","",IF(OR($Q1256=TRUE(),$Q1256="TRUE"),1,0))</f>
        <v/>
      </c>
      <c r="AN1256">
        <f>IF($C1256="","",IF($Z1256="Yes",1,0))</f>
        <v/>
      </c>
      <c r="AO1256">
        <f>IF($AK1256=1,IFERROR(IF(VALUE($C1256)&lt;100000000,VALUE($C1256),1000000000),IFERROR(IF(VALUE(MID($C1256,2,20))&lt;100000000,VALUE(MID($C1256,2,20)),1000000000),1000000000))+ROW()/100000,"")</f>
        <v/>
      </c>
    </row>
    <row r="1257">
      <c r="F1257" s="11" t="n"/>
      <c r="N1257" s="7">
        <f>IF($C1257="","",M1257*U1257/100)</f>
        <v/>
      </c>
      <c r="T1257" s="7" t="n"/>
      <c r="U1257" s="7" t="n"/>
      <c r="V1257" s="7">
        <f>IF($C1257="","",U1257*AA1257/100)</f>
        <v/>
      </c>
      <c r="W1257" s="7">
        <f>IF($C1257="","",U1257-V1257)</f>
        <v/>
      </c>
      <c r="X1257" s="7">
        <f>IF($C1257="","",W1257-N1257)</f>
        <v/>
      </c>
      <c r="AA1257">
        <f>IF($C1257="","",IF($AN1257=1,0,IF($AM1257=1,Settings!$C$6,Settings!$C$7))*100)</f>
        <v/>
      </c>
      <c r="AE1257" s="7" t="n"/>
      <c r="AH1257" s="11" t="n"/>
      <c r="AJ1257">
        <f>IF($C1257="","",$C1257&amp;"|"&amp;$D1257&amp;"")</f>
        <v/>
      </c>
      <c r="AK1257">
        <f>IF($C1257="","",IF(COUNTIF($AJ$2:$AJ1257,$AJ1257)=1,1,0))</f>
        <v/>
      </c>
      <c r="AL1257">
        <f>IF($AK1257=1,SUMPRODUCT(--($AO$2:$AO$1501&lt;$AO1257))+1,"")</f>
        <v/>
      </c>
      <c r="AM1257">
        <f>IF($C1257="","",IF(OR($Q1257=TRUE(),$Q1257="TRUE"),1,0))</f>
        <v/>
      </c>
      <c r="AN1257">
        <f>IF($C1257="","",IF($Z1257="Yes",1,0))</f>
        <v/>
      </c>
      <c r="AO1257">
        <f>IF($AK1257=1,IFERROR(IF(VALUE($C1257)&lt;100000000,VALUE($C1257),1000000000),IFERROR(IF(VALUE(MID($C1257,2,20))&lt;100000000,VALUE(MID($C1257,2,20)),1000000000),1000000000))+ROW()/100000,"")</f>
        <v/>
      </c>
    </row>
    <row r="1258">
      <c r="F1258" s="11" t="n"/>
      <c r="N1258" s="7">
        <f>IF($C1258="","",M1258*U1258/100)</f>
        <v/>
      </c>
      <c r="T1258" s="7" t="n"/>
      <c r="U1258" s="7" t="n"/>
      <c r="V1258" s="7">
        <f>IF($C1258="","",U1258*AA1258/100)</f>
        <v/>
      </c>
      <c r="W1258" s="7">
        <f>IF($C1258="","",U1258-V1258)</f>
        <v/>
      </c>
      <c r="X1258" s="7">
        <f>IF($C1258="","",W1258-N1258)</f>
        <v/>
      </c>
      <c r="AA1258">
        <f>IF($C1258="","",IF($AN1258=1,0,IF($AM1258=1,Settings!$C$6,Settings!$C$7))*100)</f>
        <v/>
      </c>
      <c r="AE1258" s="7" t="n"/>
      <c r="AH1258" s="11" t="n"/>
      <c r="AJ1258">
        <f>IF($C1258="","",$C1258&amp;"|"&amp;$D1258&amp;"")</f>
        <v/>
      </c>
      <c r="AK1258">
        <f>IF($C1258="","",IF(COUNTIF($AJ$2:$AJ1258,$AJ1258)=1,1,0))</f>
        <v/>
      </c>
      <c r="AL1258">
        <f>IF($AK1258=1,SUMPRODUCT(--($AO$2:$AO$1501&lt;$AO1258))+1,"")</f>
        <v/>
      </c>
      <c r="AM1258">
        <f>IF($C1258="","",IF(OR($Q1258=TRUE(),$Q1258="TRUE"),1,0))</f>
        <v/>
      </c>
      <c r="AN1258">
        <f>IF($C1258="","",IF($Z1258="Yes",1,0))</f>
        <v/>
      </c>
      <c r="AO1258">
        <f>IF($AK1258=1,IFERROR(IF(VALUE($C1258)&lt;100000000,VALUE($C1258),1000000000),IFERROR(IF(VALUE(MID($C1258,2,20))&lt;100000000,VALUE(MID($C1258,2,20)),1000000000),1000000000))+ROW()/100000,"")</f>
        <v/>
      </c>
    </row>
    <row r="1259">
      <c r="F1259" s="11" t="n"/>
      <c r="N1259" s="7">
        <f>IF($C1259="","",M1259*U1259/100)</f>
        <v/>
      </c>
      <c r="T1259" s="7" t="n"/>
      <c r="U1259" s="7" t="n"/>
      <c r="V1259" s="7">
        <f>IF($C1259="","",U1259*AA1259/100)</f>
        <v/>
      </c>
      <c r="W1259" s="7">
        <f>IF($C1259="","",U1259-V1259)</f>
        <v/>
      </c>
      <c r="X1259" s="7">
        <f>IF($C1259="","",W1259-N1259)</f>
        <v/>
      </c>
      <c r="AA1259">
        <f>IF($C1259="","",IF($AN1259=1,0,IF($AM1259=1,Settings!$C$6,Settings!$C$7))*100)</f>
        <v/>
      </c>
      <c r="AE1259" s="7" t="n"/>
      <c r="AH1259" s="11" t="n"/>
      <c r="AJ1259">
        <f>IF($C1259="","",$C1259&amp;"|"&amp;$D1259&amp;"")</f>
        <v/>
      </c>
      <c r="AK1259">
        <f>IF($C1259="","",IF(COUNTIF($AJ$2:$AJ1259,$AJ1259)=1,1,0))</f>
        <v/>
      </c>
      <c r="AL1259">
        <f>IF($AK1259=1,SUMPRODUCT(--($AO$2:$AO$1501&lt;$AO1259))+1,"")</f>
        <v/>
      </c>
      <c r="AM1259">
        <f>IF($C1259="","",IF(OR($Q1259=TRUE(),$Q1259="TRUE"),1,0))</f>
        <v/>
      </c>
      <c r="AN1259">
        <f>IF($C1259="","",IF($Z1259="Yes",1,0))</f>
        <v/>
      </c>
      <c r="AO1259">
        <f>IF($AK1259=1,IFERROR(IF(VALUE($C1259)&lt;100000000,VALUE($C1259),1000000000),IFERROR(IF(VALUE(MID($C1259,2,20))&lt;100000000,VALUE(MID($C1259,2,20)),1000000000),1000000000))+ROW()/100000,"")</f>
        <v/>
      </c>
    </row>
    <row r="1260">
      <c r="F1260" s="11" t="n"/>
      <c r="N1260" s="7">
        <f>IF($C1260="","",M1260*U1260/100)</f>
        <v/>
      </c>
      <c r="T1260" s="7" t="n"/>
      <c r="U1260" s="7" t="n"/>
      <c r="V1260" s="7">
        <f>IF($C1260="","",U1260*AA1260/100)</f>
        <v/>
      </c>
      <c r="W1260" s="7">
        <f>IF($C1260="","",U1260-V1260)</f>
        <v/>
      </c>
      <c r="X1260" s="7">
        <f>IF($C1260="","",W1260-N1260)</f>
        <v/>
      </c>
      <c r="AA1260">
        <f>IF($C1260="","",IF($AN1260=1,0,IF($AM1260=1,Settings!$C$6,Settings!$C$7))*100)</f>
        <v/>
      </c>
      <c r="AE1260" s="7" t="n"/>
      <c r="AH1260" s="11" t="n"/>
      <c r="AJ1260">
        <f>IF($C1260="","",$C1260&amp;"|"&amp;$D1260&amp;"")</f>
        <v/>
      </c>
      <c r="AK1260">
        <f>IF($C1260="","",IF(COUNTIF($AJ$2:$AJ1260,$AJ1260)=1,1,0))</f>
        <v/>
      </c>
      <c r="AL1260">
        <f>IF($AK1260=1,SUMPRODUCT(--($AO$2:$AO$1501&lt;$AO1260))+1,"")</f>
        <v/>
      </c>
      <c r="AM1260">
        <f>IF($C1260="","",IF(OR($Q1260=TRUE(),$Q1260="TRUE"),1,0))</f>
        <v/>
      </c>
      <c r="AN1260">
        <f>IF($C1260="","",IF($Z1260="Yes",1,0))</f>
        <v/>
      </c>
      <c r="AO1260">
        <f>IF($AK1260=1,IFERROR(IF(VALUE($C1260)&lt;100000000,VALUE($C1260),1000000000),IFERROR(IF(VALUE(MID($C1260,2,20))&lt;100000000,VALUE(MID($C1260,2,20)),1000000000),1000000000))+ROW()/100000,"")</f>
        <v/>
      </c>
    </row>
    <row r="1261">
      <c r="F1261" s="11" t="n"/>
      <c r="N1261" s="7">
        <f>IF($C1261="","",M1261*U1261/100)</f>
        <v/>
      </c>
      <c r="T1261" s="7" t="n"/>
      <c r="U1261" s="7" t="n"/>
      <c r="V1261" s="7">
        <f>IF($C1261="","",U1261*AA1261/100)</f>
        <v/>
      </c>
      <c r="W1261" s="7">
        <f>IF($C1261="","",U1261-V1261)</f>
        <v/>
      </c>
      <c r="X1261" s="7">
        <f>IF($C1261="","",W1261-N1261)</f>
        <v/>
      </c>
      <c r="AA1261">
        <f>IF($C1261="","",IF($AN1261=1,0,IF($AM1261=1,Settings!$C$6,Settings!$C$7))*100)</f>
        <v/>
      </c>
      <c r="AE1261" s="7" t="n"/>
      <c r="AH1261" s="11" t="n"/>
      <c r="AJ1261">
        <f>IF($C1261="","",$C1261&amp;"|"&amp;$D1261&amp;"")</f>
        <v/>
      </c>
      <c r="AK1261">
        <f>IF($C1261="","",IF(COUNTIF($AJ$2:$AJ1261,$AJ1261)=1,1,0))</f>
        <v/>
      </c>
      <c r="AL1261">
        <f>IF($AK1261=1,SUMPRODUCT(--($AO$2:$AO$1501&lt;$AO1261))+1,"")</f>
        <v/>
      </c>
      <c r="AM1261">
        <f>IF($C1261="","",IF(OR($Q1261=TRUE(),$Q1261="TRUE"),1,0))</f>
        <v/>
      </c>
      <c r="AN1261">
        <f>IF($C1261="","",IF($Z1261="Yes",1,0))</f>
        <v/>
      </c>
      <c r="AO1261">
        <f>IF($AK1261=1,IFERROR(IF(VALUE($C1261)&lt;100000000,VALUE($C1261),1000000000),IFERROR(IF(VALUE(MID($C1261,2,20))&lt;100000000,VALUE(MID($C1261,2,20)),1000000000),1000000000))+ROW()/100000,"")</f>
        <v/>
      </c>
    </row>
    <row r="1262">
      <c r="F1262" s="11" t="n"/>
      <c r="N1262" s="7">
        <f>IF($C1262="","",M1262*U1262/100)</f>
        <v/>
      </c>
      <c r="T1262" s="7" t="n"/>
      <c r="U1262" s="7" t="n"/>
      <c r="V1262" s="7">
        <f>IF($C1262="","",U1262*AA1262/100)</f>
        <v/>
      </c>
      <c r="W1262" s="7">
        <f>IF($C1262="","",U1262-V1262)</f>
        <v/>
      </c>
      <c r="X1262" s="7">
        <f>IF($C1262="","",W1262-N1262)</f>
        <v/>
      </c>
      <c r="AA1262">
        <f>IF($C1262="","",IF($AN1262=1,0,IF($AM1262=1,Settings!$C$6,Settings!$C$7))*100)</f>
        <v/>
      </c>
      <c r="AE1262" s="7" t="n"/>
      <c r="AH1262" s="11" t="n"/>
      <c r="AJ1262">
        <f>IF($C1262="","",$C1262&amp;"|"&amp;$D1262&amp;"")</f>
        <v/>
      </c>
      <c r="AK1262">
        <f>IF($C1262="","",IF(COUNTIF($AJ$2:$AJ1262,$AJ1262)=1,1,0))</f>
        <v/>
      </c>
      <c r="AL1262">
        <f>IF($AK1262=1,SUMPRODUCT(--($AO$2:$AO$1501&lt;$AO1262))+1,"")</f>
        <v/>
      </c>
      <c r="AM1262">
        <f>IF($C1262="","",IF(OR($Q1262=TRUE(),$Q1262="TRUE"),1,0))</f>
        <v/>
      </c>
      <c r="AN1262">
        <f>IF($C1262="","",IF($Z1262="Yes",1,0))</f>
        <v/>
      </c>
      <c r="AO1262">
        <f>IF($AK1262=1,IFERROR(IF(VALUE($C1262)&lt;100000000,VALUE($C1262),1000000000),IFERROR(IF(VALUE(MID($C1262,2,20))&lt;100000000,VALUE(MID($C1262,2,20)),1000000000),1000000000))+ROW()/100000,"")</f>
        <v/>
      </c>
    </row>
    <row r="1263">
      <c r="F1263" s="11" t="n"/>
      <c r="N1263" s="7">
        <f>IF($C1263="","",M1263*U1263/100)</f>
        <v/>
      </c>
      <c r="T1263" s="7" t="n"/>
      <c r="U1263" s="7" t="n"/>
      <c r="V1263" s="7">
        <f>IF($C1263="","",U1263*AA1263/100)</f>
        <v/>
      </c>
      <c r="W1263" s="7">
        <f>IF($C1263="","",U1263-V1263)</f>
        <v/>
      </c>
      <c r="X1263" s="7">
        <f>IF($C1263="","",W1263-N1263)</f>
        <v/>
      </c>
      <c r="AA1263">
        <f>IF($C1263="","",IF($AN1263=1,0,IF($AM1263=1,Settings!$C$6,Settings!$C$7))*100)</f>
        <v/>
      </c>
      <c r="AE1263" s="7" t="n"/>
      <c r="AH1263" s="11" t="n"/>
      <c r="AJ1263">
        <f>IF($C1263="","",$C1263&amp;"|"&amp;$D1263&amp;"")</f>
        <v/>
      </c>
      <c r="AK1263">
        <f>IF($C1263="","",IF(COUNTIF($AJ$2:$AJ1263,$AJ1263)=1,1,0))</f>
        <v/>
      </c>
      <c r="AL1263">
        <f>IF($AK1263=1,SUMPRODUCT(--($AO$2:$AO$1501&lt;$AO1263))+1,"")</f>
        <v/>
      </c>
      <c r="AM1263">
        <f>IF($C1263="","",IF(OR($Q1263=TRUE(),$Q1263="TRUE"),1,0))</f>
        <v/>
      </c>
      <c r="AN1263">
        <f>IF($C1263="","",IF($Z1263="Yes",1,0))</f>
        <v/>
      </c>
      <c r="AO1263">
        <f>IF($AK1263=1,IFERROR(IF(VALUE($C1263)&lt;100000000,VALUE($C1263),1000000000),IFERROR(IF(VALUE(MID($C1263,2,20))&lt;100000000,VALUE(MID($C1263,2,20)),1000000000),1000000000))+ROW()/100000,"")</f>
        <v/>
      </c>
    </row>
    <row r="1264">
      <c r="F1264" s="11" t="n"/>
      <c r="N1264" s="7">
        <f>IF($C1264="","",M1264*U1264/100)</f>
        <v/>
      </c>
      <c r="T1264" s="7" t="n"/>
      <c r="U1264" s="7" t="n"/>
      <c r="V1264" s="7">
        <f>IF($C1264="","",U1264*AA1264/100)</f>
        <v/>
      </c>
      <c r="W1264" s="7">
        <f>IF($C1264="","",U1264-V1264)</f>
        <v/>
      </c>
      <c r="X1264" s="7">
        <f>IF($C1264="","",W1264-N1264)</f>
        <v/>
      </c>
      <c r="AA1264">
        <f>IF($C1264="","",IF($AN1264=1,0,IF($AM1264=1,Settings!$C$6,Settings!$C$7))*100)</f>
        <v/>
      </c>
      <c r="AE1264" s="7" t="n"/>
      <c r="AH1264" s="11" t="n"/>
      <c r="AJ1264">
        <f>IF($C1264="","",$C1264&amp;"|"&amp;$D1264&amp;"")</f>
        <v/>
      </c>
      <c r="AK1264">
        <f>IF($C1264="","",IF(COUNTIF($AJ$2:$AJ1264,$AJ1264)=1,1,0))</f>
        <v/>
      </c>
      <c r="AL1264">
        <f>IF($AK1264=1,SUMPRODUCT(--($AO$2:$AO$1501&lt;$AO1264))+1,"")</f>
        <v/>
      </c>
      <c r="AM1264">
        <f>IF($C1264="","",IF(OR($Q1264=TRUE(),$Q1264="TRUE"),1,0))</f>
        <v/>
      </c>
      <c r="AN1264">
        <f>IF($C1264="","",IF($Z1264="Yes",1,0))</f>
        <v/>
      </c>
      <c r="AO1264">
        <f>IF($AK1264=1,IFERROR(IF(VALUE($C1264)&lt;100000000,VALUE($C1264),1000000000),IFERROR(IF(VALUE(MID($C1264,2,20))&lt;100000000,VALUE(MID($C1264,2,20)),1000000000),1000000000))+ROW()/100000,"")</f>
        <v/>
      </c>
    </row>
    <row r="1265">
      <c r="F1265" s="11" t="n"/>
      <c r="N1265" s="7">
        <f>IF($C1265="","",M1265*U1265/100)</f>
        <v/>
      </c>
      <c r="T1265" s="7" t="n"/>
      <c r="U1265" s="7" t="n"/>
      <c r="V1265" s="7">
        <f>IF($C1265="","",U1265*AA1265/100)</f>
        <v/>
      </c>
      <c r="W1265" s="7">
        <f>IF($C1265="","",U1265-V1265)</f>
        <v/>
      </c>
      <c r="X1265" s="7">
        <f>IF($C1265="","",W1265-N1265)</f>
        <v/>
      </c>
      <c r="AA1265">
        <f>IF($C1265="","",IF($AN1265=1,0,IF($AM1265=1,Settings!$C$6,Settings!$C$7))*100)</f>
        <v/>
      </c>
      <c r="AE1265" s="7" t="n"/>
      <c r="AH1265" s="11" t="n"/>
      <c r="AJ1265">
        <f>IF($C1265="","",$C1265&amp;"|"&amp;$D1265&amp;"")</f>
        <v/>
      </c>
      <c r="AK1265">
        <f>IF($C1265="","",IF(COUNTIF($AJ$2:$AJ1265,$AJ1265)=1,1,0))</f>
        <v/>
      </c>
      <c r="AL1265">
        <f>IF($AK1265=1,SUMPRODUCT(--($AO$2:$AO$1501&lt;$AO1265))+1,"")</f>
        <v/>
      </c>
      <c r="AM1265">
        <f>IF($C1265="","",IF(OR($Q1265=TRUE(),$Q1265="TRUE"),1,0))</f>
        <v/>
      </c>
      <c r="AN1265">
        <f>IF($C1265="","",IF($Z1265="Yes",1,0))</f>
        <v/>
      </c>
      <c r="AO1265">
        <f>IF($AK1265=1,IFERROR(IF(VALUE($C1265)&lt;100000000,VALUE($C1265),1000000000),IFERROR(IF(VALUE(MID($C1265,2,20))&lt;100000000,VALUE(MID($C1265,2,20)),1000000000),1000000000))+ROW()/100000,"")</f>
        <v/>
      </c>
    </row>
    <row r="1266">
      <c r="F1266" s="11" t="n"/>
      <c r="N1266" s="7">
        <f>IF($C1266="","",M1266*U1266/100)</f>
        <v/>
      </c>
      <c r="T1266" s="7" t="n"/>
      <c r="U1266" s="7" t="n"/>
      <c r="V1266" s="7">
        <f>IF($C1266="","",U1266*AA1266/100)</f>
        <v/>
      </c>
      <c r="W1266" s="7">
        <f>IF($C1266="","",U1266-V1266)</f>
        <v/>
      </c>
      <c r="X1266" s="7">
        <f>IF($C1266="","",W1266-N1266)</f>
        <v/>
      </c>
      <c r="AA1266">
        <f>IF($C1266="","",IF($AN1266=1,0,IF($AM1266=1,Settings!$C$6,Settings!$C$7))*100)</f>
        <v/>
      </c>
      <c r="AE1266" s="7" t="n"/>
      <c r="AH1266" s="11" t="n"/>
      <c r="AJ1266">
        <f>IF($C1266="","",$C1266&amp;"|"&amp;$D1266&amp;"")</f>
        <v/>
      </c>
      <c r="AK1266">
        <f>IF($C1266="","",IF(COUNTIF($AJ$2:$AJ1266,$AJ1266)=1,1,0))</f>
        <v/>
      </c>
      <c r="AL1266">
        <f>IF($AK1266=1,SUMPRODUCT(--($AO$2:$AO$1501&lt;$AO1266))+1,"")</f>
        <v/>
      </c>
      <c r="AM1266">
        <f>IF($C1266="","",IF(OR($Q1266=TRUE(),$Q1266="TRUE"),1,0))</f>
        <v/>
      </c>
      <c r="AN1266">
        <f>IF($C1266="","",IF($Z1266="Yes",1,0))</f>
        <v/>
      </c>
      <c r="AO1266">
        <f>IF($AK1266=1,IFERROR(IF(VALUE($C1266)&lt;100000000,VALUE($C1266),1000000000),IFERROR(IF(VALUE(MID($C1266,2,20))&lt;100000000,VALUE(MID($C1266,2,20)),1000000000),1000000000))+ROW()/100000,"")</f>
        <v/>
      </c>
    </row>
    <row r="1267">
      <c r="F1267" s="11" t="n"/>
      <c r="N1267" s="7">
        <f>IF($C1267="","",M1267*U1267/100)</f>
        <v/>
      </c>
      <c r="T1267" s="7" t="n"/>
      <c r="U1267" s="7" t="n"/>
      <c r="V1267" s="7">
        <f>IF($C1267="","",U1267*AA1267/100)</f>
        <v/>
      </c>
      <c r="W1267" s="7">
        <f>IF($C1267="","",U1267-V1267)</f>
        <v/>
      </c>
      <c r="X1267" s="7">
        <f>IF($C1267="","",W1267-N1267)</f>
        <v/>
      </c>
      <c r="AA1267">
        <f>IF($C1267="","",IF($AN1267=1,0,IF($AM1267=1,Settings!$C$6,Settings!$C$7))*100)</f>
        <v/>
      </c>
      <c r="AE1267" s="7" t="n"/>
      <c r="AH1267" s="11" t="n"/>
      <c r="AJ1267">
        <f>IF($C1267="","",$C1267&amp;"|"&amp;$D1267&amp;"")</f>
        <v/>
      </c>
      <c r="AK1267">
        <f>IF($C1267="","",IF(COUNTIF($AJ$2:$AJ1267,$AJ1267)=1,1,0))</f>
        <v/>
      </c>
      <c r="AL1267">
        <f>IF($AK1267=1,SUMPRODUCT(--($AO$2:$AO$1501&lt;$AO1267))+1,"")</f>
        <v/>
      </c>
      <c r="AM1267">
        <f>IF($C1267="","",IF(OR($Q1267=TRUE(),$Q1267="TRUE"),1,0))</f>
        <v/>
      </c>
      <c r="AN1267">
        <f>IF($C1267="","",IF($Z1267="Yes",1,0))</f>
        <v/>
      </c>
      <c r="AO1267">
        <f>IF($AK1267=1,IFERROR(IF(VALUE($C1267)&lt;100000000,VALUE($C1267),1000000000),IFERROR(IF(VALUE(MID($C1267,2,20))&lt;100000000,VALUE(MID($C1267,2,20)),1000000000),1000000000))+ROW()/100000,"")</f>
        <v/>
      </c>
    </row>
    <row r="1268">
      <c r="F1268" s="11" t="n"/>
      <c r="N1268" s="7">
        <f>IF($C1268="","",M1268*U1268/100)</f>
        <v/>
      </c>
      <c r="T1268" s="7" t="n"/>
      <c r="U1268" s="7" t="n"/>
      <c r="V1268" s="7">
        <f>IF($C1268="","",U1268*AA1268/100)</f>
        <v/>
      </c>
      <c r="W1268" s="7">
        <f>IF($C1268="","",U1268-V1268)</f>
        <v/>
      </c>
      <c r="X1268" s="7">
        <f>IF($C1268="","",W1268-N1268)</f>
        <v/>
      </c>
      <c r="AA1268">
        <f>IF($C1268="","",IF($AN1268=1,0,IF($AM1268=1,Settings!$C$6,Settings!$C$7))*100)</f>
        <v/>
      </c>
      <c r="AE1268" s="7" t="n"/>
      <c r="AH1268" s="11" t="n"/>
      <c r="AJ1268">
        <f>IF($C1268="","",$C1268&amp;"|"&amp;$D1268&amp;"")</f>
        <v/>
      </c>
      <c r="AK1268">
        <f>IF($C1268="","",IF(COUNTIF($AJ$2:$AJ1268,$AJ1268)=1,1,0))</f>
        <v/>
      </c>
      <c r="AL1268">
        <f>IF($AK1268=1,SUMPRODUCT(--($AO$2:$AO$1501&lt;$AO1268))+1,"")</f>
        <v/>
      </c>
      <c r="AM1268">
        <f>IF($C1268="","",IF(OR($Q1268=TRUE(),$Q1268="TRUE"),1,0))</f>
        <v/>
      </c>
      <c r="AN1268">
        <f>IF($C1268="","",IF($Z1268="Yes",1,0))</f>
        <v/>
      </c>
      <c r="AO1268">
        <f>IF($AK1268=1,IFERROR(IF(VALUE($C1268)&lt;100000000,VALUE($C1268),1000000000),IFERROR(IF(VALUE(MID($C1268,2,20))&lt;100000000,VALUE(MID($C1268,2,20)),1000000000),1000000000))+ROW()/100000,"")</f>
        <v/>
      </c>
    </row>
    <row r="1269">
      <c r="F1269" s="11" t="n"/>
      <c r="N1269" s="7">
        <f>IF($C1269="","",M1269*U1269/100)</f>
        <v/>
      </c>
      <c r="T1269" s="7" t="n"/>
      <c r="U1269" s="7" t="n"/>
      <c r="V1269" s="7">
        <f>IF($C1269="","",U1269*AA1269/100)</f>
        <v/>
      </c>
      <c r="W1269" s="7">
        <f>IF($C1269="","",U1269-V1269)</f>
        <v/>
      </c>
      <c r="X1269" s="7">
        <f>IF($C1269="","",W1269-N1269)</f>
        <v/>
      </c>
      <c r="AA1269">
        <f>IF($C1269="","",IF($AN1269=1,0,IF($AM1269=1,Settings!$C$6,Settings!$C$7))*100)</f>
        <v/>
      </c>
      <c r="AE1269" s="7" t="n"/>
      <c r="AH1269" s="11" t="n"/>
      <c r="AJ1269">
        <f>IF($C1269="","",$C1269&amp;"|"&amp;$D1269&amp;"")</f>
        <v/>
      </c>
      <c r="AK1269">
        <f>IF($C1269="","",IF(COUNTIF($AJ$2:$AJ1269,$AJ1269)=1,1,0))</f>
        <v/>
      </c>
      <c r="AL1269">
        <f>IF($AK1269=1,SUMPRODUCT(--($AO$2:$AO$1501&lt;$AO1269))+1,"")</f>
        <v/>
      </c>
      <c r="AM1269">
        <f>IF($C1269="","",IF(OR($Q1269=TRUE(),$Q1269="TRUE"),1,0))</f>
        <v/>
      </c>
      <c r="AN1269">
        <f>IF($C1269="","",IF($Z1269="Yes",1,0))</f>
        <v/>
      </c>
      <c r="AO1269">
        <f>IF($AK1269=1,IFERROR(IF(VALUE($C1269)&lt;100000000,VALUE($C1269),1000000000),IFERROR(IF(VALUE(MID($C1269,2,20))&lt;100000000,VALUE(MID($C1269,2,20)),1000000000),1000000000))+ROW()/100000,"")</f>
        <v/>
      </c>
    </row>
    <row r="1270">
      <c r="F1270" s="11" t="n"/>
      <c r="N1270" s="7">
        <f>IF($C1270="","",M1270*U1270/100)</f>
        <v/>
      </c>
      <c r="T1270" s="7" t="n"/>
      <c r="U1270" s="7" t="n"/>
      <c r="V1270" s="7">
        <f>IF($C1270="","",U1270*AA1270/100)</f>
        <v/>
      </c>
      <c r="W1270" s="7">
        <f>IF($C1270="","",U1270-V1270)</f>
        <v/>
      </c>
      <c r="X1270" s="7">
        <f>IF($C1270="","",W1270-N1270)</f>
        <v/>
      </c>
      <c r="AA1270">
        <f>IF($C1270="","",IF($AN1270=1,0,IF($AM1270=1,Settings!$C$6,Settings!$C$7))*100)</f>
        <v/>
      </c>
      <c r="AE1270" s="7" t="n"/>
      <c r="AH1270" s="11" t="n"/>
      <c r="AJ1270">
        <f>IF($C1270="","",$C1270&amp;"|"&amp;$D1270&amp;"")</f>
        <v/>
      </c>
      <c r="AK1270">
        <f>IF($C1270="","",IF(COUNTIF($AJ$2:$AJ1270,$AJ1270)=1,1,0))</f>
        <v/>
      </c>
      <c r="AL1270">
        <f>IF($AK1270=1,SUMPRODUCT(--($AO$2:$AO$1501&lt;$AO1270))+1,"")</f>
        <v/>
      </c>
      <c r="AM1270">
        <f>IF($C1270="","",IF(OR($Q1270=TRUE(),$Q1270="TRUE"),1,0))</f>
        <v/>
      </c>
      <c r="AN1270">
        <f>IF($C1270="","",IF($Z1270="Yes",1,0))</f>
        <v/>
      </c>
      <c r="AO1270">
        <f>IF($AK1270=1,IFERROR(IF(VALUE($C1270)&lt;100000000,VALUE($C1270),1000000000),IFERROR(IF(VALUE(MID($C1270,2,20))&lt;100000000,VALUE(MID($C1270,2,20)),1000000000),1000000000))+ROW()/100000,"")</f>
        <v/>
      </c>
    </row>
    <row r="1271">
      <c r="F1271" s="11" t="n"/>
      <c r="N1271" s="7">
        <f>IF($C1271="","",M1271*U1271/100)</f>
        <v/>
      </c>
      <c r="T1271" s="7" t="n"/>
      <c r="U1271" s="7" t="n"/>
      <c r="V1271" s="7">
        <f>IF($C1271="","",U1271*AA1271/100)</f>
        <v/>
      </c>
      <c r="W1271" s="7">
        <f>IF($C1271="","",U1271-V1271)</f>
        <v/>
      </c>
      <c r="X1271" s="7">
        <f>IF($C1271="","",W1271-N1271)</f>
        <v/>
      </c>
      <c r="AA1271">
        <f>IF($C1271="","",IF($AN1271=1,0,IF($AM1271=1,Settings!$C$6,Settings!$C$7))*100)</f>
        <v/>
      </c>
      <c r="AE1271" s="7" t="n"/>
      <c r="AH1271" s="11" t="n"/>
      <c r="AJ1271">
        <f>IF($C1271="","",$C1271&amp;"|"&amp;$D1271&amp;"")</f>
        <v/>
      </c>
      <c r="AK1271">
        <f>IF($C1271="","",IF(COUNTIF($AJ$2:$AJ1271,$AJ1271)=1,1,0))</f>
        <v/>
      </c>
      <c r="AL1271">
        <f>IF($AK1271=1,SUMPRODUCT(--($AO$2:$AO$1501&lt;$AO1271))+1,"")</f>
        <v/>
      </c>
      <c r="AM1271">
        <f>IF($C1271="","",IF(OR($Q1271=TRUE(),$Q1271="TRUE"),1,0))</f>
        <v/>
      </c>
      <c r="AN1271">
        <f>IF($C1271="","",IF($Z1271="Yes",1,0))</f>
        <v/>
      </c>
      <c r="AO1271">
        <f>IF($AK1271=1,IFERROR(IF(VALUE($C1271)&lt;100000000,VALUE($C1271),1000000000),IFERROR(IF(VALUE(MID($C1271,2,20))&lt;100000000,VALUE(MID($C1271,2,20)),1000000000),1000000000))+ROW()/100000,"")</f>
        <v/>
      </c>
    </row>
    <row r="1272">
      <c r="F1272" s="11" t="n"/>
      <c r="N1272" s="7">
        <f>IF($C1272="","",M1272*U1272/100)</f>
        <v/>
      </c>
      <c r="T1272" s="7" t="n"/>
      <c r="U1272" s="7" t="n"/>
      <c r="V1272" s="7">
        <f>IF($C1272="","",U1272*AA1272/100)</f>
        <v/>
      </c>
      <c r="W1272" s="7">
        <f>IF($C1272="","",U1272-V1272)</f>
        <v/>
      </c>
      <c r="X1272" s="7">
        <f>IF($C1272="","",W1272-N1272)</f>
        <v/>
      </c>
      <c r="AA1272">
        <f>IF($C1272="","",IF($AN1272=1,0,IF($AM1272=1,Settings!$C$6,Settings!$C$7))*100)</f>
        <v/>
      </c>
      <c r="AE1272" s="7" t="n"/>
      <c r="AH1272" s="11" t="n"/>
      <c r="AJ1272">
        <f>IF($C1272="","",$C1272&amp;"|"&amp;$D1272&amp;"")</f>
        <v/>
      </c>
      <c r="AK1272">
        <f>IF($C1272="","",IF(COUNTIF($AJ$2:$AJ1272,$AJ1272)=1,1,0))</f>
        <v/>
      </c>
      <c r="AL1272">
        <f>IF($AK1272=1,SUMPRODUCT(--($AO$2:$AO$1501&lt;$AO1272))+1,"")</f>
        <v/>
      </c>
      <c r="AM1272">
        <f>IF($C1272="","",IF(OR($Q1272=TRUE(),$Q1272="TRUE"),1,0))</f>
        <v/>
      </c>
      <c r="AN1272">
        <f>IF($C1272="","",IF($Z1272="Yes",1,0))</f>
        <v/>
      </c>
      <c r="AO1272">
        <f>IF($AK1272=1,IFERROR(IF(VALUE($C1272)&lt;100000000,VALUE($C1272),1000000000),IFERROR(IF(VALUE(MID($C1272,2,20))&lt;100000000,VALUE(MID($C1272,2,20)),1000000000),1000000000))+ROW()/100000,"")</f>
        <v/>
      </c>
    </row>
    <row r="1273">
      <c r="F1273" s="11" t="n"/>
      <c r="N1273" s="7">
        <f>IF($C1273="","",M1273*U1273/100)</f>
        <v/>
      </c>
      <c r="T1273" s="7" t="n"/>
      <c r="U1273" s="7" t="n"/>
      <c r="V1273" s="7">
        <f>IF($C1273="","",U1273*AA1273/100)</f>
        <v/>
      </c>
      <c r="W1273" s="7">
        <f>IF($C1273="","",U1273-V1273)</f>
        <v/>
      </c>
      <c r="X1273" s="7">
        <f>IF($C1273="","",W1273-N1273)</f>
        <v/>
      </c>
      <c r="AA1273">
        <f>IF($C1273="","",IF($AN1273=1,0,IF($AM1273=1,Settings!$C$6,Settings!$C$7))*100)</f>
        <v/>
      </c>
      <c r="AE1273" s="7" t="n"/>
      <c r="AH1273" s="11" t="n"/>
      <c r="AJ1273">
        <f>IF($C1273="","",$C1273&amp;"|"&amp;$D1273&amp;"")</f>
        <v/>
      </c>
      <c r="AK1273">
        <f>IF($C1273="","",IF(COUNTIF($AJ$2:$AJ1273,$AJ1273)=1,1,0))</f>
        <v/>
      </c>
      <c r="AL1273">
        <f>IF($AK1273=1,SUMPRODUCT(--($AO$2:$AO$1501&lt;$AO1273))+1,"")</f>
        <v/>
      </c>
      <c r="AM1273">
        <f>IF($C1273="","",IF(OR($Q1273=TRUE(),$Q1273="TRUE"),1,0))</f>
        <v/>
      </c>
      <c r="AN1273">
        <f>IF($C1273="","",IF($Z1273="Yes",1,0))</f>
        <v/>
      </c>
      <c r="AO1273">
        <f>IF($AK1273=1,IFERROR(IF(VALUE($C1273)&lt;100000000,VALUE($C1273),1000000000),IFERROR(IF(VALUE(MID($C1273,2,20))&lt;100000000,VALUE(MID($C1273,2,20)),1000000000),1000000000))+ROW()/100000,"")</f>
        <v/>
      </c>
    </row>
    <row r="1274">
      <c r="F1274" s="11" t="n"/>
      <c r="N1274" s="7">
        <f>IF($C1274="","",M1274*U1274/100)</f>
        <v/>
      </c>
      <c r="T1274" s="7" t="n"/>
      <c r="U1274" s="7" t="n"/>
      <c r="V1274" s="7">
        <f>IF($C1274="","",U1274*AA1274/100)</f>
        <v/>
      </c>
      <c r="W1274" s="7">
        <f>IF($C1274="","",U1274-V1274)</f>
        <v/>
      </c>
      <c r="X1274" s="7">
        <f>IF($C1274="","",W1274-N1274)</f>
        <v/>
      </c>
      <c r="AA1274">
        <f>IF($C1274="","",IF($AN1274=1,0,IF($AM1274=1,Settings!$C$6,Settings!$C$7))*100)</f>
        <v/>
      </c>
      <c r="AE1274" s="7" t="n"/>
      <c r="AH1274" s="11" t="n"/>
      <c r="AJ1274">
        <f>IF($C1274="","",$C1274&amp;"|"&amp;$D1274&amp;"")</f>
        <v/>
      </c>
      <c r="AK1274">
        <f>IF($C1274="","",IF(COUNTIF($AJ$2:$AJ1274,$AJ1274)=1,1,0))</f>
        <v/>
      </c>
      <c r="AL1274">
        <f>IF($AK1274=1,SUMPRODUCT(--($AO$2:$AO$1501&lt;$AO1274))+1,"")</f>
        <v/>
      </c>
      <c r="AM1274">
        <f>IF($C1274="","",IF(OR($Q1274=TRUE(),$Q1274="TRUE"),1,0))</f>
        <v/>
      </c>
      <c r="AN1274">
        <f>IF($C1274="","",IF($Z1274="Yes",1,0))</f>
        <v/>
      </c>
      <c r="AO1274">
        <f>IF($AK1274=1,IFERROR(IF(VALUE($C1274)&lt;100000000,VALUE($C1274),1000000000),IFERROR(IF(VALUE(MID($C1274,2,20))&lt;100000000,VALUE(MID($C1274,2,20)),1000000000),1000000000))+ROW()/100000,"")</f>
        <v/>
      </c>
    </row>
    <row r="1275">
      <c r="F1275" s="11" t="n"/>
      <c r="N1275" s="7">
        <f>IF($C1275="","",M1275*U1275/100)</f>
        <v/>
      </c>
      <c r="T1275" s="7" t="n"/>
      <c r="U1275" s="7" t="n"/>
      <c r="V1275" s="7">
        <f>IF($C1275="","",U1275*AA1275/100)</f>
        <v/>
      </c>
      <c r="W1275" s="7">
        <f>IF($C1275="","",U1275-V1275)</f>
        <v/>
      </c>
      <c r="X1275" s="7">
        <f>IF($C1275="","",W1275-N1275)</f>
        <v/>
      </c>
      <c r="AA1275">
        <f>IF($C1275="","",IF($AN1275=1,0,IF($AM1275=1,Settings!$C$6,Settings!$C$7))*100)</f>
        <v/>
      </c>
      <c r="AE1275" s="7" t="n"/>
      <c r="AH1275" s="11" t="n"/>
      <c r="AJ1275">
        <f>IF($C1275="","",$C1275&amp;"|"&amp;$D1275&amp;"")</f>
        <v/>
      </c>
      <c r="AK1275">
        <f>IF($C1275="","",IF(COUNTIF($AJ$2:$AJ1275,$AJ1275)=1,1,0))</f>
        <v/>
      </c>
      <c r="AL1275">
        <f>IF($AK1275=1,SUMPRODUCT(--($AO$2:$AO$1501&lt;$AO1275))+1,"")</f>
        <v/>
      </c>
      <c r="AM1275">
        <f>IF($C1275="","",IF(OR($Q1275=TRUE(),$Q1275="TRUE"),1,0))</f>
        <v/>
      </c>
      <c r="AN1275">
        <f>IF($C1275="","",IF($Z1275="Yes",1,0))</f>
        <v/>
      </c>
      <c r="AO1275">
        <f>IF($AK1275=1,IFERROR(IF(VALUE($C1275)&lt;100000000,VALUE($C1275),1000000000),IFERROR(IF(VALUE(MID($C1275,2,20))&lt;100000000,VALUE(MID($C1275,2,20)),1000000000),1000000000))+ROW()/100000,"")</f>
        <v/>
      </c>
    </row>
    <row r="1276">
      <c r="F1276" s="11" t="n"/>
      <c r="N1276" s="7">
        <f>IF($C1276="","",M1276*U1276/100)</f>
        <v/>
      </c>
      <c r="T1276" s="7" t="n"/>
      <c r="U1276" s="7" t="n"/>
      <c r="V1276" s="7">
        <f>IF($C1276="","",U1276*AA1276/100)</f>
        <v/>
      </c>
      <c r="W1276" s="7">
        <f>IF($C1276="","",U1276-V1276)</f>
        <v/>
      </c>
      <c r="X1276" s="7">
        <f>IF($C1276="","",W1276-N1276)</f>
        <v/>
      </c>
      <c r="AA1276">
        <f>IF($C1276="","",IF($AN1276=1,0,IF($AM1276=1,Settings!$C$6,Settings!$C$7))*100)</f>
        <v/>
      </c>
      <c r="AE1276" s="7" t="n"/>
      <c r="AH1276" s="11" t="n"/>
      <c r="AJ1276">
        <f>IF($C1276="","",$C1276&amp;"|"&amp;$D1276&amp;"")</f>
        <v/>
      </c>
      <c r="AK1276">
        <f>IF($C1276="","",IF(COUNTIF($AJ$2:$AJ1276,$AJ1276)=1,1,0))</f>
        <v/>
      </c>
      <c r="AL1276">
        <f>IF($AK1276=1,SUMPRODUCT(--($AO$2:$AO$1501&lt;$AO1276))+1,"")</f>
        <v/>
      </c>
      <c r="AM1276">
        <f>IF($C1276="","",IF(OR($Q1276=TRUE(),$Q1276="TRUE"),1,0))</f>
        <v/>
      </c>
      <c r="AN1276">
        <f>IF($C1276="","",IF($Z1276="Yes",1,0))</f>
        <v/>
      </c>
      <c r="AO1276">
        <f>IF($AK1276=1,IFERROR(IF(VALUE($C1276)&lt;100000000,VALUE($C1276),1000000000),IFERROR(IF(VALUE(MID($C1276,2,20))&lt;100000000,VALUE(MID($C1276,2,20)),1000000000),1000000000))+ROW()/100000,"")</f>
        <v/>
      </c>
    </row>
    <row r="1277">
      <c r="F1277" s="11" t="n"/>
      <c r="N1277" s="7">
        <f>IF($C1277="","",M1277*U1277/100)</f>
        <v/>
      </c>
      <c r="T1277" s="7" t="n"/>
      <c r="U1277" s="7" t="n"/>
      <c r="V1277" s="7">
        <f>IF($C1277="","",U1277*AA1277/100)</f>
        <v/>
      </c>
      <c r="W1277" s="7">
        <f>IF($C1277="","",U1277-V1277)</f>
        <v/>
      </c>
      <c r="X1277" s="7">
        <f>IF($C1277="","",W1277-N1277)</f>
        <v/>
      </c>
      <c r="AA1277">
        <f>IF($C1277="","",IF($AN1277=1,0,IF($AM1277=1,Settings!$C$6,Settings!$C$7))*100)</f>
        <v/>
      </c>
      <c r="AE1277" s="7" t="n"/>
      <c r="AH1277" s="11" t="n"/>
      <c r="AJ1277">
        <f>IF($C1277="","",$C1277&amp;"|"&amp;$D1277&amp;"")</f>
        <v/>
      </c>
      <c r="AK1277">
        <f>IF($C1277="","",IF(COUNTIF($AJ$2:$AJ1277,$AJ1277)=1,1,0))</f>
        <v/>
      </c>
      <c r="AL1277">
        <f>IF($AK1277=1,SUMPRODUCT(--($AO$2:$AO$1501&lt;$AO1277))+1,"")</f>
        <v/>
      </c>
      <c r="AM1277">
        <f>IF($C1277="","",IF(OR($Q1277=TRUE(),$Q1277="TRUE"),1,0))</f>
        <v/>
      </c>
      <c r="AN1277">
        <f>IF($C1277="","",IF($Z1277="Yes",1,0))</f>
        <v/>
      </c>
      <c r="AO1277">
        <f>IF($AK1277=1,IFERROR(IF(VALUE($C1277)&lt;100000000,VALUE($C1277),1000000000),IFERROR(IF(VALUE(MID($C1277,2,20))&lt;100000000,VALUE(MID($C1277,2,20)),1000000000),1000000000))+ROW()/100000,"")</f>
        <v/>
      </c>
    </row>
    <row r="1278">
      <c r="F1278" s="11" t="n"/>
      <c r="N1278" s="7">
        <f>IF($C1278="","",M1278*U1278/100)</f>
        <v/>
      </c>
      <c r="T1278" s="7" t="n"/>
      <c r="U1278" s="7" t="n"/>
      <c r="V1278" s="7">
        <f>IF($C1278="","",U1278*AA1278/100)</f>
        <v/>
      </c>
      <c r="W1278" s="7">
        <f>IF($C1278="","",U1278-V1278)</f>
        <v/>
      </c>
      <c r="X1278" s="7">
        <f>IF($C1278="","",W1278-N1278)</f>
        <v/>
      </c>
      <c r="AA1278">
        <f>IF($C1278="","",IF($AN1278=1,0,IF($AM1278=1,Settings!$C$6,Settings!$C$7))*100)</f>
        <v/>
      </c>
      <c r="AE1278" s="7" t="n"/>
      <c r="AH1278" s="11" t="n"/>
      <c r="AJ1278">
        <f>IF($C1278="","",$C1278&amp;"|"&amp;$D1278&amp;"")</f>
        <v/>
      </c>
      <c r="AK1278">
        <f>IF($C1278="","",IF(COUNTIF($AJ$2:$AJ1278,$AJ1278)=1,1,0))</f>
        <v/>
      </c>
      <c r="AL1278">
        <f>IF($AK1278=1,SUMPRODUCT(--($AO$2:$AO$1501&lt;$AO1278))+1,"")</f>
        <v/>
      </c>
      <c r="AM1278">
        <f>IF($C1278="","",IF(OR($Q1278=TRUE(),$Q1278="TRUE"),1,0))</f>
        <v/>
      </c>
      <c r="AN1278">
        <f>IF($C1278="","",IF($Z1278="Yes",1,0))</f>
        <v/>
      </c>
      <c r="AO1278">
        <f>IF($AK1278=1,IFERROR(IF(VALUE($C1278)&lt;100000000,VALUE($C1278),1000000000),IFERROR(IF(VALUE(MID($C1278,2,20))&lt;100000000,VALUE(MID($C1278,2,20)),1000000000),1000000000))+ROW()/100000,"")</f>
        <v/>
      </c>
    </row>
    <row r="1279">
      <c r="F1279" s="11" t="n"/>
      <c r="N1279" s="7">
        <f>IF($C1279="","",M1279*U1279/100)</f>
        <v/>
      </c>
      <c r="T1279" s="7" t="n"/>
      <c r="U1279" s="7" t="n"/>
      <c r="V1279" s="7">
        <f>IF($C1279="","",U1279*AA1279/100)</f>
        <v/>
      </c>
      <c r="W1279" s="7">
        <f>IF($C1279="","",U1279-V1279)</f>
        <v/>
      </c>
      <c r="X1279" s="7">
        <f>IF($C1279="","",W1279-N1279)</f>
        <v/>
      </c>
      <c r="AA1279">
        <f>IF($C1279="","",IF($AN1279=1,0,IF($AM1279=1,Settings!$C$6,Settings!$C$7))*100)</f>
        <v/>
      </c>
      <c r="AE1279" s="7" t="n"/>
      <c r="AH1279" s="11" t="n"/>
      <c r="AJ1279">
        <f>IF($C1279="","",$C1279&amp;"|"&amp;$D1279&amp;"")</f>
        <v/>
      </c>
      <c r="AK1279">
        <f>IF($C1279="","",IF(COUNTIF($AJ$2:$AJ1279,$AJ1279)=1,1,0))</f>
        <v/>
      </c>
      <c r="AL1279">
        <f>IF($AK1279=1,SUMPRODUCT(--($AO$2:$AO$1501&lt;$AO1279))+1,"")</f>
        <v/>
      </c>
      <c r="AM1279">
        <f>IF($C1279="","",IF(OR($Q1279=TRUE(),$Q1279="TRUE"),1,0))</f>
        <v/>
      </c>
      <c r="AN1279">
        <f>IF($C1279="","",IF($Z1279="Yes",1,0))</f>
        <v/>
      </c>
      <c r="AO1279">
        <f>IF($AK1279=1,IFERROR(IF(VALUE($C1279)&lt;100000000,VALUE($C1279),1000000000),IFERROR(IF(VALUE(MID($C1279,2,20))&lt;100000000,VALUE(MID($C1279,2,20)),1000000000),1000000000))+ROW()/100000,"")</f>
        <v/>
      </c>
    </row>
    <row r="1280">
      <c r="F1280" s="11" t="n"/>
      <c r="N1280" s="7">
        <f>IF($C1280="","",M1280*U1280/100)</f>
        <v/>
      </c>
      <c r="T1280" s="7" t="n"/>
      <c r="U1280" s="7" t="n"/>
      <c r="V1280" s="7">
        <f>IF($C1280="","",U1280*AA1280/100)</f>
        <v/>
      </c>
      <c r="W1280" s="7">
        <f>IF($C1280="","",U1280-V1280)</f>
        <v/>
      </c>
      <c r="X1280" s="7">
        <f>IF($C1280="","",W1280-N1280)</f>
        <v/>
      </c>
      <c r="AA1280">
        <f>IF($C1280="","",IF($AN1280=1,0,IF($AM1280=1,Settings!$C$6,Settings!$C$7))*100)</f>
        <v/>
      </c>
      <c r="AE1280" s="7" t="n"/>
      <c r="AH1280" s="11" t="n"/>
      <c r="AJ1280">
        <f>IF($C1280="","",$C1280&amp;"|"&amp;$D1280&amp;"")</f>
        <v/>
      </c>
      <c r="AK1280">
        <f>IF($C1280="","",IF(COUNTIF($AJ$2:$AJ1280,$AJ1280)=1,1,0))</f>
        <v/>
      </c>
      <c r="AL1280">
        <f>IF($AK1280=1,SUMPRODUCT(--($AO$2:$AO$1501&lt;$AO1280))+1,"")</f>
        <v/>
      </c>
      <c r="AM1280">
        <f>IF($C1280="","",IF(OR($Q1280=TRUE(),$Q1280="TRUE"),1,0))</f>
        <v/>
      </c>
      <c r="AN1280">
        <f>IF($C1280="","",IF($Z1280="Yes",1,0))</f>
        <v/>
      </c>
      <c r="AO1280">
        <f>IF($AK1280=1,IFERROR(IF(VALUE($C1280)&lt;100000000,VALUE($C1280),1000000000),IFERROR(IF(VALUE(MID($C1280,2,20))&lt;100000000,VALUE(MID($C1280,2,20)),1000000000),1000000000))+ROW()/100000,"")</f>
        <v/>
      </c>
    </row>
    <row r="1281">
      <c r="F1281" s="11" t="n"/>
      <c r="N1281" s="7">
        <f>IF($C1281="","",M1281*U1281/100)</f>
        <v/>
      </c>
      <c r="T1281" s="7" t="n"/>
      <c r="U1281" s="7" t="n"/>
      <c r="V1281" s="7">
        <f>IF($C1281="","",U1281*AA1281/100)</f>
        <v/>
      </c>
      <c r="W1281" s="7">
        <f>IF($C1281="","",U1281-V1281)</f>
        <v/>
      </c>
      <c r="X1281" s="7">
        <f>IF($C1281="","",W1281-N1281)</f>
        <v/>
      </c>
      <c r="AA1281">
        <f>IF($C1281="","",IF($AN1281=1,0,IF($AM1281=1,Settings!$C$6,Settings!$C$7))*100)</f>
        <v/>
      </c>
      <c r="AE1281" s="7" t="n"/>
      <c r="AH1281" s="11" t="n"/>
      <c r="AJ1281">
        <f>IF($C1281="","",$C1281&amp;"|"&amp;$D1281&amp;"")</f>
        <v/>
      </c>
      <c r="AK1281">
        <f>IF($C1281="","",IF(COUNTIF($AJ$2:$AJ1281,$AJ1281)=1,1,0))</f>
        <v/>
      </c>
      <c r="AL1281">
        <f>IF($AK1281=1,SUMPRODUCT(--($AO$2:$AO$1501&lt;$AO1281))+1,"")</f>
        <v/>
      </c>
      <c r="AM1281">
        <f>IF($C1281="","",IF(OR($Q1281=TRUE(),$Q1281="TRUE"),1,0))</f>
        <v/>
      </c>
      <c r="AN1281">
        <f>IF($C1281="","",IF($Z1281="Yes",1,0))</f>
        <v/>
      </c>
      <c r="AO1281">
        <f>IF($AK1281=1,IFERROR(IF(VALUE($C1281)&lt;100000000,VALUE($C1281),1000000000),IFERROR(IF(VALUE(MID($C1281,2,20))&lt;100000000,VALUE(MID($C1281,2,20)),1000000000),1000000000))+ROW()/100000,"")</f>
        <v/>
      </c>
    </row>
    <row r="1282">
      <c r="F1282" s="11" t="n"/>
      <c r="N1282" s="7">
        <f>IF($C1282="","",M1282*U1282/100)</f>
        <v/>
      </c>
      <c r="T1282" s="7" t="n"/>
      <c r="U1282" s="7" t="n"/>
      <c r="V1282" s="7">
        <f>IF($C1282="","",U1282*AA1282/100)</f>
        <v/>
      </c>
      <c r="W1282" s="7">
        <f>IF($C1282="","",U1282-V1282)</f>
        <v/>
      </c>
      <c r="X1282" s="7">
        <f>IF($C1282="","",W1282-N1282)</f>
        <v/>
      </c>
      <c r="AA1282">
        <f>IF($C1282="","",IF($AN1282=1,0,IF($AM1282=1,Settings!$C$6,Settings!$C$7))*100)</f>
        <v/>
      </c>
      <c r="AE1282" s="7" t="n"/>
      <c r="AH1282" s="11" t="n"/>
      <c r="AJ1282">
        <f>IF($C1282="","",$C1282&amp;"|"&amp;$D1282&amp;"")</f>
        <v/>
      </c>
      <c r="AK1282">
        <f>IF($C1282="","",IF(COUNTIF($AJ$2:$AJ1282,$AJ1282)=1,1,0))</f>
        <v/>
      </c>
      <c r="AL1282">
        <f>IF($AK1282=1,SUMPRODUCT(--($AO$2:$AO$1501&lt;$AO1282))+1,"")</f>
        <v/>
      </c>
      <c r="AM1282">
        <f>IF($C1282="","",IF(OR($Q1282=TRUE(),$Q1282="TRUE"),1,0))</f>
        <v/>
      </c>
      <c r="AN1282">
        <f>IF($C1282="","",IF($Z1282="Yes",1,0))</f>
        <v/>
      </c>
      <c r="AO1282">
        <f>IF($AK1282=1,IFERROR(IF(VALUE($C1282)&lt;100000000,VALUE($C1282),1000000000),IFERROR(IF(VALUE(MID($C1282,2,20))&lt;100000000,VALUE(MID($C1282,2,20)),1000000000),1000000000))+ROW()/100000,"")</f>
        <v/>
      </c>
    </row>
    <row r="1283">
      <c r="F1283" s="11" t="n"/>
      <c r="N1283" s="7">
        <f>IF($C1283="","",M1283*U1283/100)</f>
        <v/>
      </c>
      <c r="T1283" s="7" t="n"/>
      <c r="U1283" s="7" t="n"/>
      <c r="V1283" s="7">
        <f>IF($C1283="","",U1283*AA1283/100)</f>
        <v/>
      </c>
      <c r="W1283" s="7">
        <f>IF($C1283="","",U1283-V1283)</f>
        <v/>
      </c>
      <c r="X1283" s="7">
        <f>IF($C1283="","",W1283-N1283)</f>
        <v/>
      </c>
      <c r="AA1283">
        <f>IF($C1283="","",IF($AN1283=1,0,IF($AM1283=1,Settings!$C$6,Settings!$C$7))*100)</f>
        <v/>
      </c>
      <c r="AE1283" s="7" t="n"/>
      <c r="AH1283" s="11" t="n"/>
      <c r="AJ1283">
        <f>IF($C1283="","",$C1283&amp;"|"&amp;$D1283&amp;"")</f>
        <v/>
      </c>
      <c r="AK1283">
        <f>IF($C1283="","",IF(COUNTIF($AJ$2:$AJ1283,$AJ1283)=1,1,0))</f>
        <v/>
      </c>
      <c r="AL1283">
        <f>IF($AK1283=1,SUMPRODUCT(--($AO$2:$AO$1501&lt;$AO1283))+1,"")</f>
        <v/>
      </c>
      <c r="AM1283">
        <f>IF($C1283="","",IF(OR($Q1283=TRUE(),$Q1283="TRUE"),1,0))</f>
        <v/>
      </c>
      <c r="AN1283">
        <f>IF($C1283="","",IF($Z1283="Yes",1,0))</f>
        <v/>
      </c>
      <c r="AO1283">
        <f>IF($AK1283=1,IFERROR(IF(VALUE($C1283)&lt;100000000,VALUE($C1283),1000000000),IFERROR(IF(VALUE(MID($C1283,2,20))&lt;100000000,VALUE(MID($C1283,2,20)),1000000000),1000000000))+ROW()/100000,"")</f>
        <v/>
      </c>
    </row>
    <row r="1284">
      <c r="F1284" s="11" t="n"/>
      <c r="N1284" s="7">
        <f>IF($C1284="","",M1284*U1284/100)</f>
        <v/>
      </c>
      <c r="T1284" s="7" t="n"/>
      <c r="U1284" s="7" t="n"/>
      <c r="V1284" s="7">
        <f>IF($C1284="","",U1284*AA1284/100)</f>
        <v/>
      </c>
      <c r="W1284" s="7">
        <f>IF($C1284="","",U1284-V1284)</f>
        <v/>
      </c>
      <c r="X1284" s="7">
        <f>IF($C1284="","",W1284-N1284)</f>
        <v/>
      </c>
      <c r="AA1284">
        <f>IF($C1284="","",IF($AN1284=1,0,IF($AM1284=1,Settings!$C$6,Settings!$C$7))*100)</f>
        <v/>
      </c>
      <c r="AE1284" s="7" t="n"/>
      <c r="AH1284" s="11" t="n"/>
      <c r="AJ1284">
        <f>IF($C1284="","",$C1284&amp;"|"&amp;$D1284&amp;"")</f>
        <v/>
      </c>
      <c r="AK1284">
        <f>IF($C1284="","",IF(COUNTIF($AJ$2:$AJ1284,$AJ1284)=1,1,0))</f>
        <v/>
      </c>
      <c r="AL1284">
        <f>IF($AK1284=1,SUMPRODUCT(--($AO$2:$AO$1501&lt;$AO1284))+1,"")</f>
        <v/>
      </c>
      <c r="AM1284">
        <f>IF($C1284="","",IF(OR($Q1284=TRUE(),$Q1284="TRUE"),1,0))</f>
        <v/>
      </c>
      <c r="AN1284">
        <f>IF($C1284="","",IF($Z1284="Yes",1,0))</f>
        <v/>
      </c>
      <c r="AO1284">
        <f>IF($AK1284=1,IFERROR(IF(VALUE($C1284)&lt;100000000,VALUE($C1284),1000000000),IFERROR(IF(VALUE(MID($C1284,2,20))&lt;100000000,VALUE(MID($C1284,2,20)),1000000000),1000000000))+ROW()/100000,"")</f>
        <v/>
      </c>
    </row>
    <row r="1285">
      <c r="F1285" s="11" t="n"/>
      <c r="N1285" s="7">
        <f>IF($C1285="","",M1285*U1285/100)</f>
        <v/>
      </c>
      <c r="T1285" s="7" t="n"/>
      <c r="U1285" s="7" t="n"/>
      <c r="V1285" s="7">
        <f>IF($C1285="","",U1285*AA1285/100)</f>
        <v/>
      </c>
      <c r="W1285" s="7">
        <f>IF($C1285="","",U1285-V1285)</f>
        <v/>
      </c>
      <c r="X1285" s="7">
        <f>IF($C1285="","",W1285-N1285)</f>
        <v/>
      </c>
      <c r="AA1285">
        <f>IF($C1285="","",IF($AN1285=1,0,IF($AM1285=1,Settings!$C$6,Settings!$C$7))*100)</f>
        <v/>
      </c>
      <c r="AE1285" s="7" t="n"/>
      <c r="AH1285" s="11" t="n"/>
      <c r="AJ1285">
        <f>IF($C1285="","",$C1285&amp;"|"&amp;$D1285&amp;"")</f>
        <v/>
      </c>
      <c r="AK1285">
        <f>IF($C1285="","",IF(COUNTIF($AJ$2:$AJ1285,$AJ1285)=1,1,0))</f>
        <v/>
      </c>
      <c r="AL1285">
        <f>IF($AK1285=1,SUMPRODUCT(--($AO$2:$AO$1501&lt;$AO1285))+1,"")</f>
        <v/>
      </c>
      <c r="AM1285">
        <f>IF($C1285="","",IF(OR($Q1285=TRUE(),$Q1285="TRUE"),1,0))</f>
        <v/>
      </c>
      <c r="AN1285">
        <f>IF($C1285="","",IF($Z1285="Yes",1,0))</f>
        <v/>
      </c>
      <c r="AO1285">
        <f>IF($AK1285=1,IFERROR(IF(VALUE($C1285)&lt;100000000,VALUE($C1285),1000000000),IFERROR(IF(VALUE(MID($C1285,2,20))&lt;100000000,VALUE(MID($C1285,2,20)),1000000000),1000000000))+ROW()/100000,"")</f>
        <v/>
      </c>
    </row>
    <row r="1286">
      <c r="F1286" s="11" t="n"/>
      <c r="N1286" s="7">
        <f>IF($C1286="","",M1286*U1286/100)</f>
        <v/>
      </c>
      <c r="T1286" s="7" t="n"/>
      <c r="U1286" s="7" t="n"/>
      <c r="V1286" s="7">
        <f>IF($C1286="","",U1286*AA1286/100)</f>
        <v/>
      </c>
      <c r="W1286" s="7">
        <f>IF($C1286="","",U1286-V1286)</f>
        <v/>
      </c>
      <c r="X1286" s="7">
        <f>IF($C1286="","",W1286-N1286)</f>
        <v/>
      </c>
      <c r="AA1286">
        <f>IF($C1286="","",IF($AN1286=1,0,IF($AM1286=1,Settings!$C$6,Settings!$C$7))*100)</f>
        <v/>
      </c>
      <c r="AE1286" s="7" t="n"/>
      <c r="AH1286" s="11" t="n"/>
      <c r="AJ1286">
        <f>IF($C1286="","",$C1286&amp;"|"&amp;$D1286&amp;"")</f>
        <v/>
      </c>
      <c r="AK1286">
        <f>IF($C1286="","",IF(COUNTIF($AJ$2:$AJ1286,$AJ1286)=1,1,0))</f>
        <v/>
      </c>
      <c r="AL1286">
        <f>IF($AK1286=1,SUMPRODUCT(--($AO$2:$AO$1501&lt;$AO1286))+1,"")</f>
        <v/>
      </c>
      <c r="AM1286">
        <f>IF($C1286="","",IF(OR($Q1286=TRUE(),$Q1286="TRUE"),1,0))</f>
        <v/>
      </c>
      <c r="AN1286">
        <f>IF($C1286="","",IF($Z1286="Yes",1,0))</f>
        <v/>
      </c>
      <c r="AO1286">
        <f>IF($AK1286=1,IFERROR(IF(VALUE($C1286)&lt;100000000,VALUE($C1286),1000000000),IFERROR(IF(VALUE(MID($C1286,2,20))&lt;100000000,VALUE(MID($C1286,2,20)),1000000000),1000000000))+ROW()/100000,"")</f>
        <v/>
      </c>
    </row>
    <row r="1287">
      <c r="F1287" s="11" t="n"/>
      <c r="N1287" s="7">
        <f>IF($C1287="","",M1287*U1287/100)</f>
        <v/>
      </c>
      <c r="T1287" s="7" t="n"/>
      <c r="U1287" s="7" t="n"/>
      <c r="V1287" s="7">
        <f>IF($C1287="","",U1287*AA1287/100)</f>
        <v/>
      </c>
      <c r="W1287" s="7">
        <f>IF($C1287="","",U1287-V1287)</f>
        <v/>
      </c>
      <c r="X1287" s="7">
        <f>IF($C1287="","",W1287-N1287)</f>
        <v/>
      </c>
      <c r="AA1287">
        <f>IF($C1287="","",IF($AN1287=1,0,IF($AM1287=1,Settings!$C$6,Settings!$C$7))*100)</f>
        <v/>
      </c>
      <c r="AE1287" s="7" t="n"/>
      <c r="AH1287" s="11" t="n"/>
      <c r="AJ1287">
        <f>IF($C1287="","",$C1287&amp;"|"&amp;$D1287&amp;"")</f>
        <v/>
      </c>
      <c r="AK1287">
        <f>IF($C1287="","",IF(COUNTIF($AJ$2:$AJ1287,$AJ1287)=1,1,0))</f>
        <v/>
      </c>
      <c r="AL1287">
        <f>IF($AK1287=1,SUMPRODUCT(--($AO$2:$AO$1501&lt;$AO1287))+1,"")</f>
        <v/>
      </c>
      <c r="AM1287">
        <f>IF($C1287="","",IF(OR($Q1287=TRUE(),$Q1287="TRUE"),1,0))</f>
        <v/>
      </c>
      <c r="AN1287">
        <f>IF($C1287="","",IF($Z1287="Yes",1,0))</f>
        <v/>
      </c>
      <c r="AO1287">
        <f>IF($AK1287=1,IFERROR(IF(VALUE($C1287)&lt;100000000,VALUE($C1287),1000000000),IFERROR(IF(VALUE(MID($C1287,2,20))&lt;100000000,VALUE(MID($C1287,2,20)),1000000000),1000000000))+ROW()/100000,"")</f>
        <v/>
      </c>
    </row>
    <row r="1288">
      <c r="F1288" s="11" t="n"/>
      <c r="N1288" s="7">
        <f>IF($C1288="","",M1288*U1288/100)</f>
        <v/>
      </c>
      <c r="T1288" s="7" t="n"/>
      <c r="U1288" s="7" t="n"/>
      <c r="V1288" s="7">
        <f>IF($C1288="","",U1288*AA1288/100)</f>
        <v/>
      </c>
      <c r="W1288" s="7">
        <f>IF($C1288="","",U1288-V1288)</f>
        <v/>
      </c>
      <c r="X1288" s="7">
        <f>IF($C1288="","",W1288-N1288)</f>
        <v/>
      </c>
      <c r="AA1288">
        <f>IF($C1288="","",IF($AN1288=1,0,IF($AM1288=1,Settings!$C$6,Settings!$C$7))*100)</f>
        <v/>
      </c>
      <c r="AE1288" s="7" t="n"/>
      <c r="AH1288" s="11" t="n"/>
      <c r="AJ1288">
        <f>IF($C1288="","",$C1288&amp;"|"&amp;$D1288&amp;"")</f>
        <v/>
      </c>
      <c r="AK1288">
        <f>IF($C1288="","",IF(COUNTIF($AJ$2:$AJ1288,$AJ1288)=1,1,0))</f>
        <v/>
      </c>
      <c r="AL1288">
        <f>IF($AK1288=1,SUMPRODUCT(--($AO$2:$AO$1501&lt;$AO1288))+1,"")</f>
        <v/>
      </c>
      <c r="AM1288">
        <f>IF($C1288="","",IF(OR($Q1288=TRUE(),$Q1288="TRUE"),1,0))</f>
        <v/>
      </c>
      <c r="AN1288">
        <f>IF($C1288="","",IF($Z1288="Yes",1,0))</f>
        <v/>
      </c>
      <c r="AO1288">
        <f>IF($AK1288=1,IFERROR(IF(VALUE($C1288)&lt;100000000,VALUE($C1288),1000000000),IFERROR(IF(VALUE(MID($C1288,2,20))&lt;100000000,VALUE(MID($C1288,2,20)),1000000000),1000000000))+ROW()/100000,"")</f>
        <v/>
      </c>
    </row>
    <row r="1289">
      <c r="F1289" s="11" t="n"/>
      <c r="N1289" s="7">
        <f>IF($C1289="","",M1289*U1289/100)</f>
        <v/>
      </c>
      <c r="T1289" s="7" t="n"/>
      <c r="U1289" s="7" t="n"/>
      <c r="V1289" s="7">
        <f>IF($C1289="","",U1289*AA1289/100)</f>
        <v/>
      </c>
      <c r="W1289" s="7">
        <f>IF($C1289="","",U1289-V1289)</f>
        <v/>
      </c>
      <c r="X1289" s="7">
        <f>IF($C1289="","",W1289-N1289)</f>
        <v/>
      </c>
      <c r="AA1289">
        <f>IF($C1289="","",IF($AN1289=1,0,IF($AM1289=1,Settings!$C$6,Settings!$C$7))*100)</f>
        <v/>
      </c>
      <c r="AE1289" s="7" t="n"/>
      <c r="AH1289" s="11" t="n"/>
      <c r="AJ1289">
        <f>IF($C1289="","",$C1289&amp;"|"&amp;$D1289&amp;"")</f>
        <v/>
      </c>
      <c r="AK1289">
        <f>IF($C1289="","",IF(COUNTIF($AJ$2:$AJ1289,$AJ1289)=1,1,0))</f>
        <v/>
      </c>
      <c r="AL1289">
        <f>IF($AK1289=1,SUMPRODUCT(--($AO$2:$AO$1501&lt;$AO1289))+1,"")</f>
        <v/>
      </c>
      <c r="AM1289">
        <f>IF($C1289="","",IF(OR($Q1289=TRUE(),$Q1289="TRUE"),1,0))</f>
        <v/>
      </c>
      <c r="AN1289">
        <f>IF($C1289="","",IF($Z1289="Yes",1,0))</f>
        <v/>
      </c>
      <c r="AO1289">
        <f>IF($AK1289=1,IFERROR(IF(VALUE($C1289)&lt;100000000,VALUE($C1289),1000000000),IFERROR(IF(VALUE(MID($C1289,2,20))&lt;100000000,VALUE(MID($C1289,2,20)),1000000000),1000000000))+ROW()/100000,"")</f>
        <v/>
      </c>
    </row>
    <row r="1290">
      <c r="F1290" s="11" t="n"/>
      <c r="N1290" s="7">
        <f>IF($C1290="","",M1290*U1290/100)</f>
        <v/>
      </c>
      <c r="T1290" s="7" t="n"/>
      <c r="U1290" s="7" t="n"/>
      <c r="V1290" s="7">
        <f>IF($C1290="","",U1290*AA1290/100)</f>
        <v/>
      </c>
      <c r="W1290" s="7">
        <f>IF($C1290="","",U1290-V1290)</f>
        <v/>
      </c>
      <c r="X1290" s="7">
        <f>IF($C1290="","",W1290-N1290)</f>
        <v/>
      </c>
      <c r="AA1290">
        <f>IF($C1290="","",IF($AN1290=1,0,IF($AM1290=1,Settings!$C$6,Settings!$C$7))*100)</f>
        <v/>
      </c>
      <c r="AE1290" s="7" t="n"/>
      <c r="AH1290" s="11" t="n"/>
      <c r="AJ1290">
        <f>IF($C1290="","",$C1290&amp;"|"&amp;$D1290&amp;"")</f>
        <v/>
      </c>
      <c r="AK1290">
        <f>IF($C1290="","",IF(COUNTIF($AJ$2:$AJ1290,$AJ1290)=1,1,0))</f>
        <v/>
      </c>
      <c r="AL1290">
        <f>IF($AK1290=1,SUMPRODUCT(--($AO$2:$AO$1501&lt;$AO1290))+1,"")</f>
        <v/>
      </c>
      <c r="AM1290">
        <f>IF($C1290="","",IF(OR($Q1290=TRUE(),$Q1290="TRUE"),1,0))</f>
        <v/>
      </c>
      <c r="AN1290">
        <f>IF($C1290="","",IF($Z1290="Yes",1,0))</f>
        <v/>
      </c>
      <c r="AO1290">
        <f>IF($AK1290=1,IFERROR(IF(VALUE($C1290)&lt;100000000,VALUE($C1290),1000000000),IFERROR(IF(VALUE(MID($C1290,2,20))&lt;100000000,VALUE(MID($C1290,2,20)),1000000000),1000000000))+ROW()/100000,"")</f>
        <v/>
      </c>
    </row>
    <row r="1291">
      <c r="F1291" s="11" t="n"/>
      <c r="N1291" s="7">
        <f>IF($C1291="","",M1291*U1291/100)</f>
        <v/>
      </c>
      <c r="T1291" s="7" t="n"/>
      <c r="U1291" s="7" t="n"/>
      <c r="V1291" s="7">
        <f>IF($C1291="","",U1291*AA1291/100)</f>
        <v/>
      </c>
      <c r="W1291" s="7">
        <f>IF($C1291="","",U1291-V1291)</f>
        <v/>
      </c>
      <c r="X1291" s="7">
        <f>IF($C1291="","",W1291-N1291)</f>
        <v/>
      </c>
      <c r="AA1291">
        <f>IF($C1291="","",IF($AN1291=1,0,IF($AM1291=1,Settings!$C$6,Settings!$C$7))*100)</f>
        <v/>
      </c>
      <c r="AE1291" s="7" t="n"/>
      <c r="AH1291" s="11" t="n"/>
      <c r="AJ1291">
        <f>IF($C1291="","",$C1291&amp;"|"&amp;$D1291&amp;"")</f>
        <v/>
      </c>
      <c r="AK1291">
        <f>IF($C1291="","",IF(COUNTIF($AJ$2:$AJ1291,$AJ1291)=1,1,0))</f>
        <v/>
      </c>
      <c r="AL1291">
        <f>IF($AK1291=1,SUMPRODUCT(--($AO$2:$AO$1501&lt;$AO1291))+1,"")</f>
        <v/>
      </c>
      <c r="AM1291">
        <f>IF($C1291="","",IF(OR($Q1291=TRUE(),$Q1291="TRUE"),1,0))</f>
        <v/>
      </c>
      <c r="AN1291">
        <f>IF($C1291="","",IF($Z1291="Yes",1,0))</f>
        <v/>
      </c>
      <c r="AO1291">
        <f>IF($AK1291=1,IFERROR(IF(VALUE($C1291)&lt;100000000,VALUE($C1291),1000000000),IFERROR(IF(VALUE(MID($C1291,2,20))&lt;100000000,VALUE(MID($C1291,2,20)),1000000000),1000000000))+ROW()/100000,"")</f>
        <v/>
      </c>
    </row>
    <row r="1292">
      <c r="F1292" s="11" t="n"/>
      <c r="N1292" s="7">
        <f>IF($C1292="","",M1292*U1292/100)</f>
        <v/>
      </c>
      <c r="T1292" s="7" t="n"/>
      <c r="U1292" s="7" t="n"/>
      <c r="V1292" s="7">
        <f>IF($C1292="","",U1292*AA1292/100)</f>
        <v/>
      </c>
      <c r="W1292" s="7">
        <f>IF($C1292="","",U1292-V1292)</f>
        <v/>
      </c>
      <c r="X1292" s="7">
        <f>IF($C1292="","",W1292-N1292)</f>
        <v/>
      </c>
      <c r="AA1292">
        <f>IF($C1292="","",IF($AN1292=1,0,IF($AM1292=1,Settings!$C$6,Settings!$C$7))*100)</f>
        <v/>
      </c>
      <c r="AE1292" s="7" t="n"/>
      <c r="AH1292" s="11" t="n"/>
      <c r="AJ1292">
        <f>IF($C1292="","",$C1292&amp;"|"&amp;$D1292&amp;"")</f>
        <v/>
      </c>
      <c r="AK1292">
        <f>IF($C1292="","",IF(COUNTIF($AJ$2:$AJ1292,$AJ1292)=1,1,0))</f>
        <v/>
      </c>
      <c r="AL1292">
        <f>IF($AK1292=1,SUMPRODUCT(--($AO$2:$AO$1501&lt;$AO1292))+1,"")</f>
        <v/>
      </c>
      <c r="AM1292">
        <f>IF($C1292="","",IF(OR($Q1292=TRUE(),$Q1292="TRUE"),1,0))</f>
        <v/>
      </c>
      <c r="AN1292">
        <f>IF($C1292="","",IF($Z1292="Yes",1,0))</f>
        <v/>
      </c>
      <c r="AO1292">
        <f>IF($AK1292=1,IFERROR(IF(VALUE($C1292)&lt;100000000,VALUE($C1292),1000000000),IFERROR(IF(VALUE(MID($C1292,2,20))&lt;100000000,VALUE(MID($C1292,2,20)),1000000000),1000000000))+ROW()/100000,"")</f>
        <v/>
      </c>
    </row>
    <row r="1293">
      <c r="F1293" s="11" t="n"/>
      <c r="N1293" s="7">
        <f>IF($C1293="","",M1293*U1293/100)</f>
        <v/>
      </c>
      <c r="T1293" s="7" t="n"/>
      <c r="U1293" s="7" t="n"/>
      <c r="V1293" s="7">
        <f>IF($C1293="","",U1293*AA1293/100)</f>
        <v/>
      </c>
      <c r="W1293" s="7">
        <f>IF($C1293="","",U1293-V1293)</f>
        <v/>
      </c>
      <c r="X1293" s="7">
        <f>IF($C1293="","",W1293-N1293)</f>
        <v/>
      </c>
      <c r="AA1293">
        <f>IF($C1293="","",IF($AN1293=1,0,IF($AM1293=1,Settings!$C$6,Settings!$C$7))*100)</f>
        <v/>
      </c>
      <c r="AE1293" s="7" t="n"/>
      <c r="AH1293" s="11" t="n"/>
      <c r="AJ1293">
        <f>IF($C1293="","",$C1293&amp;"|"&amp;$D1293&amp;"")</f>
        <v/>
      </c>
      <c r="AK1293">
        <f>IF($C1293="","",IF(COUNTIF($AJ$2:$AJ1293,$AJ1293)=1,1,0))</f>
        <v/>
      </c>
      <c r="AL1293">
        <f>IF($AK1293=1,SUMPRODUCT(--($AO$2:$AO$1501&lt;$AO1293))+1,"")</f>
        <v/>
      </c>
      <c r="AM1293">
        <f>IF($C1293="","",IF(OR($Q1293=TRUE(),$Q1293="TRUE"),1,0))</f>
        <v/>
      </c>
      <c r="AN1293">
        <f>IF($C1293="","",IF($Z1293="Yes",1,0))</f>
        <v/>
      </c>
      <c r="AO1293">
        <f>IF($AK1293=1,IFERROR(IF(VALUE($C1293)&lt;100000000,VALUE($C1293),1000000000),IFERROR(IF(VALUE(MID($C1293,2,20))&lt;100000000,VALUE(MID($C1293,2,20)),1000000000),1000000000))+ROW()/100000,"")</f>
        <v/>
      </c>
    </row>
    <row r="1294">
      <c r="F1294" s="11" t="n"/>
      <c r="N1294" s="7">
        <f>IF($C1294="","",M1294*U1294/100)</f>
        <v/>
      </c>
      <c r="T1294" s="7" t="n"/>
      <c r="U1294" s="7" t="n"/>
      <c r="V1294" s="7">
        <f>IF($C1294="","",U1294*AA1294/100)</f>
        <v/>
      </c>
      <c r="W1294" s="7">
        <f>IF($C1294="","",U1294-V1294)</f>
        <v/>
      </c>
      <c r="X1294" s="7">
        <f>IF($C1294="","",W1294-N1294)</f>
        <v/>
      </c>
      <c r="AA1294">
        <f>IF($C1294="","",IF($AN1294=1,0,IF($AM1294=1,Settings!$C$6,Settings!$C$7))*100)</f>
        <v/>
      </c>
      <c r="AE1294" s="7" t="n"/>
      <c r="AH1294" s="11" t="n"/>
      <c r="AJ1294">
        <f>IF($C1294="","",$C1294&amp;"|"&amp;$D1294&amp;"")</f>
        <v/>
      </c>
      <c r="AK1294">
        <f>IF($C1294="","",IF(COUNTIF($AJ$2:$AJ1294,$AJ1294)=1,1,0))</f>
        <v/>
      </c>
      <c r="AL1294">
        <f>IF($AK1294=1,SUMPRODUCT(--($AO$2:$AO$1501&lt;$AO1294))+1,"")</f>
        <v/>
      </c>
      <c r="AM1294">
        <f>IF($C1294="","",IF(OR($Q1294=TRUE(),$Q1294="TRUE"),1,0))</f>
        <v/>
      </c>
      <c r="AN1294">
        <f>IF($C1294="","",IF($Z1294="Yes",1,0))</f>
        <v/>
      </c>
      <c r="AO1294">
        <f>IF($AK1294=1,IFERROR(IF(VALUE($C1294)&lt;100000000,VALUE($C1294),1000000000),IFERROR(IF(VALUE(MID($C1294,2,20))&lt;100000000,VALUE(MID($C1294,2,20)),1000000000),1000000000))+ROW()/100000,"")</f>
        <v/>
      </c>
    </row>
    <row r="1295">
      <c r="F1295" s="11" t="n"/>
      <c r="N1295" s="7">
        <f>IF($C1295="","",M1295*U1295/100)</f>
        <v/>
      </c>
      <c r="T1295" s="7" t="n"/>
      <c r="U1295" s="7" t="n"/>
      <c r="V1295" s="7">
        <f>IF($C1295="","",U1295*AA1295/100)</f>
        <v/>
      </c>
      <c r="W1295" s="7">
        <f>IF($C1295="","",U1295-V1295)</f>
        <v/>
      </c>
      <c r="X1295" s="7">
        <f>IF($C1295="","",W1295-N1295)</f>
        <v/>
      </c>
      <c r="AA1295">
        <f>IF($C1295="","",IF($AN1295=1,0,IF($AM1295=1,Settings!$C$6,Settings!$C$7))*100)</f>
        <v/>
      </c>
      <c r="AE1295" s="7" t="n"/>
      <c r="AH1295" s="11" t="n"/>
      <c r="AJ1295">
        <f>IF($C1295="","",$C1295&amp;"|"&amp;$D1295&amp;"")</f>
        <v/>
      </c>
      <c r="AK1295">
        <f>IF($C1295="","",IF(COUNTIF($AJ$2:$AJ1295,$AJ1295)=1,1,0))</f>
        <v/>
      </c>
      <c r="AL1295">
        <f>IF($AK1295=1,SUMPRODUCT(--($AO$2:$AO$1501&lt;$AO1295))+1,"")</f>
        <v/>
      </c>
      <c r="AM1295">
        <f>IF($C1295="","",IF(OR($Q1295=TRUE(),$Q1295="TRUE"),1,0))</f>
        <v/>
      </c>
      <c r="AN1295">
        <f>IF($C1295="","",IF($Z1295="Yes",1,0))</f>
        <v/>
      </c>
      <c r="AO1295">
        <f>IF($AK1295=1,IFERROR(IF(VALUE($C1295)&lt;100000000,VALUE($C1295),1000000000),IFERROR(IF(VALUE(MID($C1295,2,20))&lt;100000000,VALUE(MID($C1295,2,20)),1000000000),1000000000))+ROW()/100000,"")</f>
        <v/>
      </c>
    </row>
    <row r="1296">
      <c r="F1296" s="11" t="n"/>
      <c r="N1296" s="7">
        <f>IF($C1296="","",M1296*U1296/100)</f>
        <v/>
      </c>
      <c r="T1296" s="7" t="n"/>
      <c r="U1296" s="7" t="n"/>
      <c r="V1296" s="7">
        <f>IF($C1296="","",U1296*AA1296/100)</f>
        <v/>
      </c>
      <c r="W1296" s="7">
        <f>IF($C1296="","",U1296-V1296)</f>
        <v/>
      </c>
      <c r="X1296" s="7">
        <f>IF($C1296="","",W1296-N1296)</f>
        <v/>
      </c>
      <c r="AA1296">
        <f>IF($C1296="","",IF($AN1296=1,0,IF($AM1296=1,Settings!$C$6,Settings!$C$7))*100)</f>
        <v/>
      </c>
      <c r="AE1296" s="7" t="n"/>
      <c r="AH1296" s="11" t="n"/>
      <c r="AJ1296">
        <f>IF($C1296="","",$C1296&amp;"|"&amp;$D1296&amp;"")</f>
        <v/>
      </c>
      <c r="AK1296">
        <f>IF($C1296="","",IF(COUNTIF($AJ$2:$AJ1296,$AJ1296)=1,1,0))</f>
        <v/>
      </c>
      <c r="AL1296">
        <f>IF($AK1296=1,SUMPRODUCT(--($AO$2:$AO$1501&lt;$AO1296))+1,"")</f>
        <v/>
      </c>
      <c r="AM1296">
        <f>IF($C1296="","",IF(OR($Q1296=TRUE(),$Q1296="TRUE"),1,0))</f>
        <v/>
      </c>
      <c r="AN1296">
        <f>IF($C1296="","",IF($Z1296="Yes",1,0))</f>
        <v/>
      </c>
      <c r="AO1296">
        <f>IF($AK1296=1,IFERROR(IF(VALUE($C1296)&lt;100000000,VALUE($C1296),1000000000),IFERROR(IF(VALUE(MID($C1296,2,20))&lt;100000000,VALUE(MID($C1296,2,20)),1000000000),1000000000))+ROW()/100000,"")</f>
        <v/>
      </c>
    </row>
    <row r="1297">
      <c r="F1297" s="11" t="n"/>
      <c r="N1297" s="7">
        <f>IF($C1297="","",M1297*U1297/100)</f>
        <v/>
      </c>
      <c r="T1297" s="7" t="n"/>
      <c r="U1297" s="7" t="n"/>
      <c r="V1297" s="7">
        <f>IF($C1297="","",U1297*AA1297/100)</f>
        <v/>
      </c>
      <c r="W1297" s="7">
        <f>IF($C1297="","",U1297-V1297)</f>
        <v/>
      </c>
      <c r="X1297" s="7">
        <f>IF($C1297="","",W1297-N1297)</f>
        <v/>
      </c>
      <c r="AA1297">
        <f>IF($C1297="","",IF($AN1297=1,0,IF($AM1297=1,Settings!$C$6,Settings!$C$7))*100)</f>
        <v/>
      </c>
      <c r="AE1297" s="7" t="n"/>
      <c r="AH1297" s="11" t="n"/>
      <c r="AJ1297">
        <f>IF($C1297="","",$C1297&amp;"|"&amp;$D1297&amp;"")</f>
        <v/>
      </c>
      <c r="AK1297">
        <f>IF($C1297="","",IF(COUNTIF($AJ$2:$AJ1297,$AJ1297)=1,1,0))</f>
        <v/>
      </c>
      <c r="AL1297">
        <f>IF($AK1297=1,SUMPRODUCT(--($AO$2:$AO$1501&lt;$AO1297))+1,"")</f>
        <v/>
      </c>
      <c r="AM1297">
        <f>IF($C1297="","",IF(OR($Q1297=TRUE(),$Q1297="TRUE"),1,0))</f>
        <v/>
      </c>
      <c r="AN1297">
        <f>IF($C1297="","",IF($Z1297="Yes",1,0))</f>
        <v/>
      </c>
      <c r="AO1297">
        <f>IF($AK1297=1,IFERROR(IF(VALUE($C1297)&lt;100000000,VALUE($C1297),1000000000),IFERROR(IF(VALUE(MID($C1297,2,20))&lt;100000000,VALUE(MID($C1297,2,20)),1000000000),1000000000))+ROW()/100000,"")</f>
        <v/>
      </c>
    </row>
    <row r="1298">
      <c r="F1298" s="11" t="n"/>
      <c r="N1298" s="7">
        <f>IF($C1298="","",M1298*U1298/100)</f>
        <v/>
      </c>
      <c r="T1298" s="7" t="n"/>
      <c r="U1298" s="7" t="n"/>
      <c r="V1298" s="7">
        <f>IF($C1298="","",U1298*AA1298/100)</f>
        <v/>
      </c>
      <c r="W1298" s="7">
        <f>IF($C1298="","",U1298-V1298)</f>
        <v/>
      </c>
      <c r="X1298" s="7">
        <f>IF($C1298="","",W1298-N1298)</f>
        <v/>
      </c>
      <c r="AA1298">
        <f>IF($C1298="","",IF($AN1298=1,0,IF($AM1298=1,Settings!$C$6,Settings!$C$7))*100)</f>
        <v/>
      </c>
      <c r="AE1298" s="7" t="n"/>
      <c r="AH1298" s="11" t="n"/>
      <c r="AJ1298">
        <f>IF($C1298="","",$C1298&amp;"|"&amp;$D1298&amp;"")</f>
        <v/>
      </c>
      <c r="AK1298">
        <f>IF($C1298="","",IF(COUNTIF($AJ$2:$AJ1298,$AJ1298)=1,1,0))</f>
        <v/>
      </c>
      <c r="AL1298">
        <f>IF($AK1298=1,SUMPRODUCT(--($AO$2:$AO$1501&lt;$AO1298))+1,"")</f>
        <v/>
      </c>
      <c r="AM1298">
        <f>IF($C1298="","",IF(OR($Q1298=TRUE(),$Q1298="TRUE"),1,0))</f>
        <v/>
      </c>
      <c r="AN1298">
        <f>IF($C1298="","",IF($Z1298="Yes",1,0))</f>
        <v/>
      </c>
      <c r="AO1298">
        <f>IF($AK1298=1,IFERROR(IF(VALUE($C1298)&lt;100000000,VALUE($C1298),1000000000),IFERROR(IF(VALUE(MID($C1298,2,20))&lt;100000000,VALUE(MID($C1298,2,20)),1000000000),1000000000))+ROW()/100000,"")</f>
        <v/>
      </c>
    </row>
    <row r="1299">
      <c r="F1299" s="11" t="n"/>
      <c r="N1299" s="7">
        <f>IF($C1299="","",M1299*U1299/100)</f>
        <v/>
      </c>
      <c r="T1299" s="7" t="n"/>
      <c r="U1299" s="7" t="n"/>
      <c r="V1299" s="7">
        <f>IF($C1299="","",U1299*AA1299/100)</f>
        <v/>
      </c>
      <c r="W1299" s="7">
        <f>IF($C1299="","",U1299-V1299)</f>
        <v/>
      </c>
      <c r="X1299" s="7">
        <f>IF($C1299="","",W1299-N1299)</f>
        <v/>
      </c>
      <c r="AA1299">
        <f>IF($C1299="","",IF($AN1299=1,0,IF($AM1299=1,Settings!$C$6,Settings!$C$7))*100)</f>
        <v/>
      </c>
      <c r="AE1299" s="7" t="n"/>
      <c r="AH1299" s="11" t="n"/>
      <c r="AJ1299">
        <f>IF($C1299="","",$C1299&amp;"|"&amp;$D1299&amp;"")</f>
        <v/>
      </c>
      <c r="AK1299">
        <f>IF($C1299="","",IF(COUNTIF($AJ$2:$AJ1299,$AJ1299)=1,1,0))</f>
        <v/>
      </c>
      <c r="AL1299">
        <f>IF($AK1299=1,SUMPRODUCT(--($AO$2:$AO$1501&lt;$AO1299))+1,"")</f>
        <v/>
      </c>
      <c r="AM1299">
        <f>IF($C1299="","",IF(OR($Q1299=TRUE(),$Q1299="TRUE"),1,0))</f>
        <v/>
      </c>
      <c r="AN1299">
        <f>IF($C1299="","",IF($Z1299="Yes",1,0))</f>
        <v/>
      </c>
      <c r="AO1299">
        <f>IF($AK1299=1,IFERROR(IF(VALUE($C1299)&lt;100000000,VALUE($C1299),1000000000),IFERROR(IF(VALUE(MID($C1299,2,20))&lt;100000000,VALUE(MID($C1299,2,20)),1000000000),1000000000))+ROW()/100000,"")</f>
        <v/>
      </c>
    </row>
    <row r="1300">
      <c r="F1300" s="11" t="n"/>
      <c r="N1300" s="7">
        <f>IF($C1300="","",M1300*U1300/100)</f>
        <v/>
      </c>
      <c r="T1300" s="7" t="n"/>
      <c r="U1300" s="7" t="n"/>
      <c r="V1300" s="7">
        <f>IF($C1300="","",U1300*AA1300/100)</f>
        <v/>
      </c>
      <c r="W1300" s="7">
        <f>IF($C1300="","",U1300-V1300)</f>
        <v/>
      </c>
      <c r="X1300" s="7">
        <f>IF($C1300="","",W1300-N1300)</f>
        <v/>
      </c>
      <c r="AA1300">
        <f>IF($C1300="","",IF($AN1300=1,0,IF($AM1300=1,Settings!$C$6,Settings!$C$7))*100)</f>
        <v/>
      </c>
      <c r="AE1300" s="7" t="n"/>
      <c r="AH1300" s="11" t="n"/>
      <c r="AJ1300">
        <f>IF($C1300="","",$C1300&amp;"|"&amp;$D1300&amp;"")</f>
        <v/>
      </c>
      <c r="AK1300">
        <f>IF($C1300="","",IF(COUNTIF($AJ$2:$AJ1300,$AJ1300)=1,1,0))</f>
        <v/>
      </c>
      <c r="AL1300">
        <f>IF($AK1300=1,SUMPRODUCT(--($AO$2:$AO$1501&lt;$AO1300))+1,"")</f>
        <v/>
      </c>
      <c r="AM1300">
        <f>IF($C1300="","",IF(OR($Q1300=TRUE(),$Q1300="TRUE"),1,0))</f>
        <v/>
      </c>
      <c r="AN1300">
        <f>IF($C1300="","",IF($Z1300="Yes",1,0))</f>
        <v/>
      </c>
      <c r="AO1300">
        <f>IF($AK1300=1,IFERROR(IF(VALUE($C1300)&lt;100000000,VALUE($C1300),1000000000),IFERROR(IF(VALUE(MID($C1300,2,20))&lt;100000000,VALUE(MID($C1300,2,20)),1000000000),1000000000))+ROW()/100000,"")</f>
        <v/>
      </c>
    </row>
    <row r="1301">
      <c r="F1301" s="11" t="n"/>
      <c r="N1301" s="7">
        <f>IF($C1301="","",M1301*U1301/100)</f>
        <v/>
      </c>
      <c r="T1301" s="7" t="n"/>
      <c r="U1301" s="7" t="n"/>
      <c r="V1301" s="7">
        <f>IF($C1301="","",U1301*AA1301/100)</f>
        <v/>
      </c>
      <c r="W1301" s="7">
        <f>IF($C1301="","",U1301-V1301)</f>
        <v/>
      </c>
      <c r="X1301" s="7">
        <f>IF($C1301="","",W1301-N1301)</f>
        <v/>
      </c>
      <c r="AA1301">
        <f>IF($C1301="","",IF($AN1301=1,0,IF($AM1301=1,Settings!$C$6,Settings!$C$7))*100)</f>
        <v/>
      </c>
      <c r="AE1301" s="7" t="n"/>
      <c r="AH1301" s="11" t="n"/>
      <c r="AJ1301">
        <f>IF($C1301="","",$C1301&amp;"|"&amp;$D1301&amp;"")</f>
        <v/>
      </c>
      <c r="AK1301">
        <f>IF($C1301="","",IF(COUNTIF($AJ$2:$AJ1301,$AJ1301)=1,1,0))</f>
        <v/>
      </c>
      <c r="AL1301">
        <f>IF($AK1301=1,SUMPRODUCT(--($AO$2:$AO$1501&lt;$AO1301))+1,"")</f>
        <v/>
      </c>
      <c r="AM1301">
        <f>IF($C1301="","",IF(OR($Q1301=TRUE(),$Q1301="TRUE"),1,0))</f>
        <v/>
      </c>
      <c r="AN1301">
        <f>IF($C1301="","",IF($Z1301="Yes",1,0))</f>
        <v/>
      </c>
      <c r="AO1301">
        <f>IF($AK1301=1,IFERROR(IF(VALUE($C1301)&lt;100000000,VALUE($C1301),1000000000),IFERROR(IF(VALUE(MID($C1301,2,20))&lt;100000000,VALUE(MID($C1301,2,20)),1000000000),1000000000))+ROW()/100000,"")</f>
        <v/>
      </c>
    </row>
    <row r="1302">
      <c r="F1302" s="11" t="n"/>
      <c r="N1302" s="7">
        <f>IF($C1302="","",M1302*U1302/100)</f>
        <v/>
      </c>
      <c r="T1302" s="7" t="n"/>
      <c r="U1302" s="7" t="n"/>
      <c r="V1302" s="7">
        <f>IF($C1302="","",U1302*AA1302/100)</f>
        <v/>
      </c>
      <c r="W1302" s="7">
        <f>IF($C1302="","",U1302-V1302)</f>
        <v/>
      </c>
      <c r="X1302" s="7">
        <f>IF($C1302="","",W1302-N1302)</f>
        <v/>
      </c>
      <c r="AA1302">
        <f>IF($C1302="","",IF($AN1302=1,0,IF($AM1302=1,Settings!$C$6,Settings!$C$7))*100)</f>
        <v/>
      </c>
      <c r="AE1302" s="7" t="n"/>
      <c r="AH1302" s="11" t="n"/>
      <c r="AJ1302">
        <f>IF($C1302="","",$C1302&amp;"|"&amp;$D1302&amp;"")</f>
        <v/>
      </c>
      <c r="AK1302">
        <f>IF($C1302="","",IF(COUNTIF($AJ$2:$AJ1302,$AJ1302)=1,1,0))</f>
        <v/>
      </c>
      <c r="AL1302">
        <f>IF($AK1302=1,SUMPRODUCT(--($AO$2:$AO$1501&lt;$AO1302))+1,"")</f>
        <v/>
      </c>
      <c r="AM1302">
        <f>IF($C1302="","",IF(OR($Q1302=TRUE(),$Q1302="TRUE"),1,0))</f>
        <v/>
      </c>
      <c r="AN1302">
        <f>IF($C1302="","",IF($Z1302="Yes",1,0))</f>
        <v/>
      </c>
      <c r="AO1302">
        <f>IF($AK1302=1,IFERROR(IF(VALUE($C1302)&lt;100000000,VALUE($C1302),1000000000),IFERROR(IF(VALUE(MID($C1302,2,20))&lt;100000000,VALUE(MID($C1302,2,20)),1000000000),1000000000))+ROW()/100000,"")</f>
        <v/>
      </c>
    </row>
    <row r="1303">
      <c r="F1303" s="11" t="n"/>
      <c r="N1303" s="7">
        <f>IF($C1303="","",M1303*U1303/100)</f>
        <v/>
      </c>
      <c r="T1303" s="7" t="n"/>
      <c r="U1303" s="7" t="n"/>
      <c r="V1303" s="7">
        <f>IF($C1303="","",U1303*AA1303/100)</f>
        <v/>
      </c>
      <c r="W1303" s="7">
        <f>IF($C1303="","",U1303-V1303)</f>
        <v/>
      </c>
      <c r="X1303" s="7">
        <f>IF($C1303="","",W1303-N1303)</f>
        <v/>
      </c>
      <c r="AA1303">
        <f>IF($C1303="","",IF($AN1303=1,0,IF($AM1303=1,Settings!$C$6,Settings!$C$7))*100)</f>
        <v/>
      </c>
      <c r="AE1303" s="7" t="n"/>
      <c r="AH1303" s="11" t="n"/>
      <c r="AJ1303">
        <f>IF($C1303="","",$C1303&amp;"|"&amp;$D1303&amp;"")</f>
        <v/>
      </c>
      <c r="AK1303">
        <f>IF($C1303="","",IF(COUNTIF($AJ$2:$AJ1303,$AJ1303)=1,1,0))</f>
        <v/>
      </c>
      <c r="AL1303">
        <f>IF($AK1303=1,SUMPRODUCT(--($AO$2:$AO$1501&lt;$AO1303))+1,"")</f>
        <v/>
      </c>
      <c r="AM1303">
        <f>IF($C1303="","",IF(OR($Q1303=TRUE(),$Q1303="TRUE"),1,0))</f>
        <v/>
      </c>
      <c r="AN1303">
        <f>IF($C1303="","",IF($Z1303="Yes",1,0))</f>
        <v/>
      </c>
      <c r="AO1303">
        <f>IF($AK1303=1,IFERROR(IF(VALUE($C1303)&lt;100000000,VALUE($C1303),1000000000),IFERROR(IF(VALUE(MID($C1303,2,20))&lt;100000000,VALUE(MID($C1303,2,20)),1000000000),1000000000))+ROW()/100000,"")</f>
        <v/>
      </c>
    </row>
    <row r="1304">
      <c r="F1304" s="11" t="n"/>
      <c r="N1304" s="7">
        <f>IF($C1304="","",M1304*U1304/100)</f>
        <v/>
      </c>
      <c r="T1304" s="7" t="n"/>
      <c r="U1304" s="7" t="n"/>
      <c r="V1304" s="7">
        <f>IF($C1304="","",U1304*AA1304/100)</f>
        <v/>
      </c>
      <c r="W1304" s="7">
        <f>IF($C1304="","",U1304-V1304)</f>
        <v/>
      </c>
      <c r="X1304" s="7">
        <f>IF($C1304="","",W1304-N1304)</f>
        <v/>
      </c>
      <c r="AA1304">
        <f>IF($C1304="","",IF($AN1304=1,0,IF($AM1304=1,Settings!$C$6,Settings!$C$7))*100)</f>
        <v/>
      </c>
      <c r="AE1304" s="7" t="n"/>
      <c r="AH1304" s="11" t="n"/>
      <c r="AJ1304">
        <f>IF($C1304="","",$C1304&amp;"|"&amp;$D1304&amp;"")</f>
        <v/>
      </c>
      <c r="AK1304">
        <f>IF($C1304="","",IF(COUNTIF($AJ$2:$AJ1304,$AJ1304)=1,1,0))</f>
        <v/>
      </c>
      <c r="AL1304">
        <f>IF($AK1304=1,SUMPRODUCT(--($AO$2:$AO$1501&lt;$AO1304))+1,"")</f>
        <v/>
      </c>
      <c r="AM1304">
        <f>IF($C1304="","",IF(OR($Q1304=TRUE(),$Q1304="TRUE"),1,0))</f>
        <v/>
      </c>
      <c r="AN1304">
        <f>IF($C1304="","",IF($Z1304="Yes",1,0))</f>
        <v/>
      </c>
      <c r="AO1304">
        <f>IF($AK1304=1,IFERROR(IF(VALUE($C1304)&lt;100000000,VALUE($C1304),1000000000),IFERROR(IF(VALUE(MID($C1304,2,20))&lt;100000000,VALUE(MID($C1304,2,20)),1000000000),1000000000))+ROW()/100000,"")</f>
        <v/>
      </c>
    </row>
    <row r="1305">
      <c r="F1305" s="11" t="n"/>
      <c r="N1305" s="7">
        <f>IF($C1305="","",M1305*U1305/100)</f>
        <v/>
      </c>
      <c r="T1305" s="7" t="n"/>
      <c r="U1305" s="7" t="n"/>
      <c r="V1305" s="7">
        <f>IF($C1305="","",U1305*AA1305/100)</f>
        <v/>
      </c>
      <c r="W1305" s="7">
        <f>IF($C1305="","",U1305-V1305)</f>
        <v/>
      </c>
      <c r="X1305" s="7">
        <f>IF($C1305="","",W1305-N1305)</f>
        <v/>
      </c>
      <c r="AA1305">
        <f>IF($C1305="","",IF($AN1305=1,0,IF($AM1305=1,Settings!$C$6,Settings!$C$7))*100)</f>
        <v/>
      </c>
      <c r="AE1305" s="7" t="n"/>
      <c r="AH1305" s="11" t="n"/>
      <c r="AJ1305">
        <f>IF($C1305="","",$C1305&amp;"|"&amp;$D1305&amp;"")</f>
        <v/>
      </c>
      <c r="AK1305">
        <f>IF($C1305="","",IF(COUNTIF($AJ$2:$AJ1305,$AJ1305)=1,1,0))</f>
        <v/>
      </c>
      <c r="AL1305">
        <f>IF($AK1305=1,SUMPRODUCT(--($AO$2:$AO$1501&lt;$AO1305))+1,"")</f>
        <v/>
      </c>
      <c r="AM1305">
        <f>IF($C1305="","",IF(OR($Q1305=TRUE(),$Q1305="TRUE"),1,0))</f>
        <v/>
      </c>
      <c r="AN1305">
        <f>IF($C1305="","",IF($Z1305="Yes",1,0))</f>
        <v/>
      </c>
      <c r="AO1305">
        <f>IF($AK1305=1,IFERROR(IF(VALUE($C1305)&lt;100000000,VALUE($C1305),1000000000),IFERROR(IF(VALUE(MID($C1305,2,20))&lt;100000000,VALUE(MID($C1305,2,20)),1000000000),1000000000))+ROW()/100000,"")</f>
        <v/>
      </c>
    </row>
    <row r="1306">
      <c r="F1306" s="11" t="n"/>
      <c r="N1306" s="7">
        <f>IF($C1306="","",M1306*U1306/100)</f>
        <v/>
      </c>
      <c r="T1306" s="7" t="n"/>
      <c r="U1306" s="7" t="n"/>
      <c r="V1306" s="7">
        <f>IF($C1306="","",U1306*AA1306/100)</f>
        <v/>
      </c>
      <c r="W1306" s="7">
        <f>IF($C1306="","",U1306-V1306)</f>
        <v/>
      </c>
      <c r="X1306" s="7">
        <f>IF($C1306="","",W1306-N1306)</f>
        <v/>
      </c>
      <c r="AA1306">
        <f>IF($C1306="","",IF($AN1306=1,0,IF($AM1306=1,Settings!$C$6,Settings!$C$7))*100)</f>
        <v/>
      </c>
      <c r="AE1306" s="7" t="n"/>
      <c r="AH1306" s="11" t="n"/>
      <c r="AJ1306">
        <f>IF($C1306="","",$C1306&amp;"|"&amp;$D1306&amp;"")</f>
        <v/>
      </c>
      <c r="AK1306">
        <f>IF($C1306="","",IF(COUNTIF($AJ$2:$AJ1306,$AJ1306)=1,1,0))</f>
        <v/>
      </c>
      <c r="AL1306">
        <f>IF($AK1306=1,SUMPRODUCT(--($AO$2:$AO$1501&lt;$AO1306))+1,"")</f>
        <v/>
      </c>
      <c r="AM1306">
        <f>IF($C1306="","",IF(OR($Q1306=TRUE(),$Q1306="TRUE"),1,0))</f>
        <v/>
      </c>
      <c r="AN1306">
        <f>IF($C1306="","",IF($Z1306="Yes",1,0))</f>
        <v/>
      </c>
      <c r="AO1306">
        <f>IF($AK1306=1,IFERROR(IF(VALUE($C1306)&lt;100000000,VALUE($C1306),1000000000),IFERROR(IF(VALUE(MID($C1306,2,20))&lt;100000000,VALUE(MID($C1306,2,20)),1000000000),1000000000))+ROW()/100000,"")</f>
        <v/>
      </c>
    </row>
    <row r="1307">
      <c r="F1307" s="11" t="n"/>
      <c r="N1307" s="7">
        <f>IF($C1307="","",M1307*U1307/100)</f>
        <v/>
      </c>
      <c r="T1307" s="7" t="n"/>
      <c r="U1307" s="7" t="n"/>
      <c r="V1307" s="7">
        <f>IF($C1307="","",U1307*AA1307/100)</f>
        <v/>
      </c>
      <c r="W1307" s="7">
        <f>IF($C1307="","",U1307-V1307)</f>
        <v/>
      </c>
      <c r="X1307" s="7">
        <f>IF($C1307="","",W1307-N1307)</f>
        <v/>
      </c>
      <c r="AA1307">
        <f>IF($C1307="","",IF($AN1307=1,0,IF($AM1307=1,Settings!$C$6,Settings!$C$7))*100)</f>
        <v/>
      </c>
      <c r="AE1307" s="7" t="n"/>
      <c r="AH1307" s="11" t="n"/>
      <c r="AJ1307">
        <f>IF($C1307="","",$C1307&amp;"|"&amp;$D1307&amp;"")</f>
        <v/>
      </c>
      <c r="AK1307">
        <f>IF($C1307="","",IF(COUNTIF($AJ$2:$AJ1307,$AJ1307)=1,1,0))</f>
        <v/>
      </c>
      <c r="AL1307">
        <f>IF($AK1307=1,SUMPRODUCT(--($AO$2:$AO$1501&lt;$AO1307))+1,"")</f>
        <v/>
      </c>
      <c r="AM1307">
        <f>IF($C1307="","",IF(OR($Q1307=TRUE(),$Q1307="TRUE"),1,0))</f>
        <v/>
      </c>
      <c r="AN1307">
        <f>IF($C1307="","",IF($Z1307="Yes",1,0))</f>
        <v/>
      </c>
      <c r="AO1307">
        <f>IF($AK1307=1,IFERROR(IF(VALUE($C1307)&lt;100000000,VALUE($C1307),1000000000),IFERROR(IF(VALUE(MID($C1307,2,20))&lt;100000000,VALUE(MID($C1307,2,20)),1000000000),1000000000))+ROW()/100000,"")</f>
        <v/>
      </c>
    </row>
    <row r="1308">
      <c r="F1308" s="11" t="n"/>
      <c r="N1308" s="7">
        <f>IF($C1308="","",M1308*U1308/100)</f>
        <v/>
      </c>
      <c r="T1308" s="7" t="n"/>
      <c r="U1308" s="7" t="n"/>
      <c r="V1308" s="7">
        <f>IF($C1308="","",U1308*AA1308/100)</f>
        <v/>
      </c>
      <c r="W1308" s="7">
        <f>IF($C1308="","",U1308-V1308)</f>
        <v/>
      </c>
      <c r="X1308" s="7">
        <f>IF($C1308="","",W1308-N1308)</f>
        <v/>
      </c>
      <c r="AA1308">
        <f>IF($C1308="","",IF($AN1308=1,0,IF($AM1308=1,Settings!$C$6,Settings!$C$7))*100)</f>
        <v/>
      </c>
      <c r="AE1308" s="7" t="n"/>
      <c r="AH1308" s="11" t="n"/>
      <c r="AJ1308">
        <f>IF($C1308="","",$C1308&amp;"|"&amp;$D1308&amp;"")</f>
        <v/>
      </c>
      <c r="AK1308">
        <f>IF($C1308="","",IF(COUNTIF($AJ$2:$AJ1308,$AJ1308)=1,1,0))</f>
        <v/>
      </c>
      <c r="AL1308">
        <f>IF($AK1308=1,SUMPRODUCT(--($AO$2:$AO$1501&lt;$AO1308))+1,"")</f>
        <v/>
      </c>
      <c r="AM1308">
        <f>IF($C1308="","",IF(OR($Q1308=TRUE(),$Q1308="TRUE"),1,0))</f>
        <v/>
      </c>
      <c r="AN1308">
        <f>IF($C1308="","",IF($Z1308="Yes",1,0))</f>
        <v/>
      </c>
      <c r="AO1308">
        <f>IF($AK1308=1,IFERROR(IF(VALUE($C1308)&lt;100000000,VALUE($C1308),1000000000),IFERROR(IF(VALUE(MID($C1308,2,20))&lt;100000000,VALUE(MID($C1308,2,20)),1000000000),1000000000))+ROW()/100000,"")</f>
        <v/>
      </c>
    </row>
    <row r="1309">
      <c r="F1309" s="11" t="n"/>
      <c r="N1309" s="7">
        <f>IF($C1309="","",M1309*U1309/100)</f>
        <v/>
      </c>
      <c r="T1309" s="7" t="n"/>
      <c r="U1309" s="7" t="n"/>
      <c r="V1309" s="7">
        <f>IF($C1309="","",U1309*AA1309/100)</f>
        <v/>
      </c>
      <c r="W1309" s="7">
        <f>IF($C1309="","",U1309-V1309)</f>
        <v/>
      </c>
      <c r="X1309" s="7">
        <f>IF($C1309="","",W1309-N1309)</f>
        <v/>
      </c>
      <c r="AA1309">
        <f>IF($C1309="","",IF($AN1309=1,0,IF($AM1309=1,Settings!$C$6,Settings!$C$7))*100)</f>
        <v/>
      </c>
      <c r="AE1309" s="7" t="n"/>
      <c r="AH1309" s="11" t="n"/>
      <c r="AJ1309">
        <f>IF($C1309="","",$C1309&amp;"|"&amp;$D1309&amp;"")</f>
        <v/>
      </c>
      <c r="AK1309">
        <f>IF($C1309="","",IF(COUNTIF($AJ$2:$AJ1309,$AJ1309)=1,1,0))</f>
        <v/>
      </c>
      <c r="AL1309">
        <f>IF($AK1309=1,SUMPRODUCT(--($AO$2:$AO$1501&lt;$AO1309))+1,"")</f>
        <v/>
      </c>
      <c r="AM1309">
        <f>IF($C1309="","",IF(OR($Q1309=TRUE(),$Q1309="TRUE"),1,0))</f>
        <v/>
      </c>
      <c r="AN1309">
        <f>IF($C1309="","",IF($Z1309="Yes",1,0))</f>
        <v/>
      </c>
      <c r="AO1309">
        <f>IF($AK1309=1,IFERROR(IF(VALUE($C1309)&lt;100000000,VALUE($C1309),1000000000),IFERROR(IF(VALUE(MID($C1309,2,20))&lt;100000000,VALUE(MID($C1309,2,20)),1000000000),1000000000))+ROW()/100000,"")</f>
        <v/>
      </c>
    </row>
    <row r="1310">
      <c r="F1310" s="11" t="n"/>
      <c r="N1310" s="7">
        <f>IF($C1310="","",M1310*U1310/100)</f>
        <v/>
      </c>
      <c r="T1310" s="7" t="n"/>
      <c r="U1310" s="7" t="n"/>
      <c r="V1310" s="7">
        <f>IF($C1310="","",U1310*AA1310/100)</f>
        <v/>
      </c>
      <c r="W1310" s="7">
        <f>IF($C1310="","",U1310-V1310)</f>
        <v/>
      </c>
      <c r="X1310" s="7">
        <f>IF($C1310="","",W1310-N1310)</f>
        <v/>
      </c>
      <c r="AA1310">
        <f>IF($C1310="","",IF($AN1310=1,0,IF($AM1310=1,Settings!$C$6,Settings!$C$7))*100)</f>
        <v/>
      </c>
      <c r="AE1310" s="7" t="n"/>
      <c r="AH1310" s="11" t="n"/>
      <c r="AJ1310">
        <f>IF($C1310="","",$C1310&amp;"|"&amp;$D1310&amp;"")</f>
        <v/>
      </c>
      <c r="AK1310">
        <f>IF($C1310="","",IF(COUNTIF($AJ$2:$AJ1310,$AJ1310)=1,1,0))</f>
        <v/>
      </c>
      <c r="AL1310">
        <f>IF($AK1310=1,SUMPRODUCT(--($AO$2:$AO$1501&lt;$AO1310))+1,"")</f>
        <v/>
      </c>
      <c r="AM1310">
        <f>IF($C1310="","",IF(OR($Q1310=TRUE(),$Q1310="TRUE"),1,0))</f>
        <v/>
      </c>
      <c r="AN1310">
        <f>IF($C1310="","",IF($Z1310="Yes",1,0))</f>
        <v/>
      </c>
      <c r="AO1310">
        <f>IF($AK1310=1,IFERROR(IF(VALUE($C1310)&lt;100000000,VALUE($C1310),1000000000),IFERROR(IF(VALUE(MID($C1310,2,20))&lt;100000000,VALUE(MID($C1310,2,20)),1000000000),1000000000))+ROW()/100000,"")</f>
        <v/>
      </c>
    </row>
    <row r="1311">
      <c r="F1311" s="11" t="n"/>
      <c r="N1311" s="7">
        <f>IF($C1311="","",M1311*U1311/100)</f>
        <v/>
      </c>
      <c r="T1311" s="7" t="n"/>
      <c r="U1311" s="7" t="n"/>
      <c r="V1311" s="7">
        <f>IF($C1311="","",U1311*AA1311/100)</f>
        <v/>
      </c>
      <c r="W1311" s="7">
        <f>IF($C1311="","",U1311-V1311)</f>
        <v/>
      </c>
      <c r="X1311" s="7">
        <f>IF($C1311="","",W1311-N1311)</f>
        <v/>
      </c>
      <c r="AA1311">
        <f>IF($C1311="","",IF($AN1311=1,0,IF($AM1311=1,Settings!$C$6,Settings!$C$7))*100)</f>
        <v/>
      </c>
      <c r="AE1311" s="7" t="n"/>
      <c r="AH1311" s="11" t="n"/>
      <c r="AJ1311">
        <f>IF($C1311="","",$C1311&amp;"|"&amp;$D1311&amp;"")</f>
        <v/>
      </c>
      <c r="AK1311">
        <f>IF($C1311="","",IF(COUNTIF($AJ$2:$AJ1311,$AJ1311)=1,1,0))</f>
        <v/>
      </c>
      <c r="AL1311">
        <f>IF($AK1311=1,SUMPRODUCT(--($AO$2:$AO$1501&lt;$AO1311))+1,"")</f>
        <v/>
      </c>
      <c r="AM1311">
        <f>IF($C1311="","",IF(OR($Q1311=TRUE(),$Q1311="TRUE"),1,0))</f>
        <v/>
      </c>
      <c r="AN1311">
        <f>IF($C1311="","",IF($Z1311="Yes",1,0))</f>
        <v/>
      </c>
      <c r="AO1311">
        <f>IF($AK1311=1,IFERROR(IF(VALUE($C1311)&lt;100000000,VALUE($C1311),1000000000),IFERROR(IF(VALUE(MID($C1311,2,20))&lt;100000000,VALUE(MID($C1311,2,20)),1000000000),1000000000))+ROW()/100000,"")</f>
        <v/>
      </c>
    </row>
    <row r="1312">
      <c r="F1312" s="11" t="n"/>
      <c r="N1312" s="7">
        <f>IF($C1312="","",M1312*U1312/100)</f>
        <v/>
      </c>
      <c r="T1312" s="7" t="n"/>
      <c r="U1312" s="7" t="n"/>
      <c r="V1312" s="7">
        <f>IF($C1312="","",U1312*AA1312/100)</f>
        <v/>
      </c>
      <c r="W1312" s="7">
        <f>IF($C1312="","",U1312-V1312)</f>
        <v/>
      </c>
      <c r="X1312" s="7">
        <f>IF($C1312="","",W1312-N1312)</f>
        <v/>
      </c>
      <c r="AA1312">
        <f>IF($C1312="","",IF($AN1312=1,0,IF($AM1312=1,Settings!$C$6,Settings!$C$7))*100)</f>
        <v/>
      </c>
      <c r="AE1312" s="7" t="n"/>
      <c r="AH1312" s="11" t="n"/>
      <c r="AJ1312">
        <f>IF($C1312="","",$C1312&amp;"|"&amp;$D1312&amp;"")</f>
        <v/>
      </c>
      <c r="AK1312">
        <f>IF($C1312="","",IF(COUNTIF($AJ$2:$AJ1312,$AJ1312)=1,1,0))</f>
        <v/>
      </c>
      <c r="AL1312">
        <f>IF($AK1312=1,SUMPRODUCT(--($AO$2:$AO$1501&lt;$AO1312))+1,"")</f>
        <v/>
      </c>
      <c r="AM1312">
        <f>IF($C1312="","",IF(OR($Q1312=TRUE(),$Q1312="TRUE"),1,0))</f>
        <v/>
      </c>
      <c r="AN1312">
        <f>IF($C1312="","",IF($Z1312="Yes",1,0))</f>
        <v/>
      </c>
      <c r="AO1312">
        <f>IF($AK1312=1,IFERROR(IF(VALUE($C1312)&lt;100000000,VALUE($C1312),1000000000),IFERROR(IF(VALUE(MID($C1312,2,20))&lt;100000000,VALUE(MID($C1312,2,20)),1000000000),1000000000))+ROW()/100000,"")</f>
        <v/>
      </c>
    </row>
    <row r="1313">
      <c r="F1313" s="11" t="n"/>
      <c r="N1313" s="7">
        <f>IF($C1313="","",M1313*U1313/100)</f>
        <v/>
      </c>
      <c r="T1313" s="7" t="n"/>
      <c r="U1313" s="7" t="n"/>
      <c r="V1313" s="7">
        <f>IF($C1313="","",U1313*AA1313/100)</f>
        <v/>
      </c>
      <c r="W1313" s="7">
        <f>IF($C1313="","",U1313-V1313)</f>
        <v/>
      </c>
      <c r="X1313" s="7">
        <f>IF($C1313="","",W1313-N1313)</f>
        <v/>
      </c>
      <c r="AA1313">
        <f>IF($C1313="","",IF($AN1313=1,0,IF($AM1313=1,Settings!$C$6,Settings!$C$7))*100)</f>
        <v/>
      </c>
      <c r="AE1313" s="7" t="n"/>
      <c r="AH1313" s="11" t="n"/>
      <c r="AJ1313">
        <f>IF($C1313="","",$C1313&amp;"|"&amp;$D1313&amp;"")</f>
        <v/>
      </c>
      <c r="AK1313">
        <f>IF($C1313="","",IF(COUNTIF($AJ$2:$AJ1313,$AJ1313)=1,1,0))</f>
        <v/>
      </c>
      <c r="AL1313">
        <f>IF($AK1313=1,SUMPRODUCT(--($AO$2:$AO$1501&lt;$AO1313))+1,"")</f>
        <v/>
      </c>
      <c r="AM1313">
        <f>IF($C1313="","",IF(OR($Q1313=TRUE(),$Q1313="TRUE"),1,0))</f>
        <v/>
      </c>
      <c r="AN1313">
        <f>IF($C1313="","",IF($Z1313="Yes",1,0))</f>
        <v/>
      </c>
      <c r="AO1313">
        <f>IF($AK1313=1,IFERROR(IF(VALUE($C1313)&lt;100000000,VALUE($C1313),1000000000),IFERROR(IF(VALUE(MID($C1313,2,20))&lt;100000000,VALUE(MID($C1313,2,20)),1000000000),1000000000))+ROW()/100000,"")</f>
        <v/>
      </c>
    </row>
    <row r="1314">
      <c r="F1314" s="11" t="n"/>
      <c r="N1314" s="7">
        <f>IF($C1314="","",M1314*U1314/100)</f>
        <v/>
      </c>
      <c r="T1314" s="7" t="n"/>
      <c r="U1314" s="7" t="n"/>
      <c r="V1314" s="7">
        <f>IF($C1314="","",U1314*AA1314/100)</f>
        <v/>
      </c>
      <c r="W1314" s="7">
        <f>IF($C1314="","",U1314-V1314)</f>
        <v/>
      </c>
      <c r="X1314" s="7">
        <f>IF($C1314="","",W1314-N1314)</f>
        <v/>
      </c>
      <c r="AA1314">
        <f>IF($C1314="","",IF($AN1314=1,0,IF($AM1314=1,Settings!$C$6,Settings!$C$7))*100)</f>
        <v/>
      </c>
      <c r="AE1314" s="7" t="n"/>
      <c r="AH1314" s="11" t="n"/>
      <c r="AJ1314">
        <f>IF($C1314="","",$C1314&amp;"|"&amp;$D1314&amp;"")</f>
        <v/>
      </c>
      <c r="AK1314">
        <f>IF($C1314="","",IF(COUNTIF($AJ$2:$AJ1314,$AJ1314)=1,1,0))</f>
        <v/>
      </c>
      <c r="AL1314">
        <f>IF($AK1314=1,SUMPRODUCT(--($AO$2:$AO$1501&lt;$AO1314))+1,"")</f>
        <v/>
      </c>
      <c r="AM1314">
        <f>IF($C1314="","",IF(OR($Q1314=TRUE(),$Q1314="TRUE"),1,0))</f>
        <v/>
      </c>
      <c r="AN1314">
        <f>IF($C1314="","",IF($Z1314="Yes",1,0))</f>
        <v/>
      </c>
      <c r="AO1314">
        <f>IF($AK1314=1,IFERROR(IF(VALUE($C1314)&lt;100000000,VALUE($C1314),1000000000),IFERROR(IF(VALUE(MID($C1314,2,20))&lt;100000000,VALUE(MID($C1314,2,20)),1000000000),1000000000))+ROW()/100000,"")</f>
        <v/>
      </c>
    </row>
    <row r="1315">
      <c r="F1315" s="11" t="n"/>
      <c r="N1315" s="7">
        <f>IF($C1315="","",M1315*U1315/100)</f>
        <v/>
      </c>
      <c r="T1315" s="7" t="n"/>
      <c r="U1315" s="7" t="n"/>
      <c r="V1315" s="7">
        <f>IF($C1315="","",U1315*AA1315/100)</f>
        <v/>
      </c>
      <c r="W1315" s="7">
        <f>IF($C1315="","",U1315-V1315)</f>
        <v/>
      </c>
      <c r="X1315" s="7">
        <f>IF($C1315="","",W1315-N1315)</f>
        <v/>
      </c>
      <c r="AA1315">
        <f>IF($C1315="","",IF($AN1315=1,0,IF($AM1315=1,Settings!$C$6,Settings!$C$7))*100)</f>
        <v/>
      </c>
      <c r="AE1315" s="7" t="n"/>
      <c r="AH1315" s="11" t="n"/>
      <c r="AJ1315">
        <f>IF($C1315="","",$C1315&amp;"|"&amp;$D1315&amp;"")</f>
        <v/>
      </c>
      <c r="AK1315">
        <f>IF($C1315="","",IF(COUNTIF($AJ$2:$AJ1315,$AJ1315)=1,1,0))</f>
        <v/>
      </c>
      <c r="AL1315">
        <f>IF($AK1315=1,SUMPRODUCT(--($AO$2:$AO$1501&lt;$AO1315))+1,"")</f>
        <v/>
      </c>
      <c r="AM1315">
        <f>IF($C1315="","",IF(OR($Q1315=TRUE(),$Q1315="TRUE"),1,0))</f>
        <v/>
      </c>
      <c r="AN1315">
        <f>IF($C1315="","",IF($Z1315="Yes",1,0))</f>
        <v/>
      </c>
      <c r="AO1315">
        <f>IF($AK1315=1,IFERROR(IF(VALUE($C1315)&lt;100000000,VALUE($C1315),1000000000),IFERROR(IF(VALUE(MID($C1315,2,20))&lt;100000000,VALUE(MID($C1315,2,20)),1000000000),1000000000))+ROW()/100000,"")</f>
        <v/>
      </c>
    </row>
    <row r="1316">
      <c r="F1316" s="11" t="n"/>
      <c r="N1316" s="7">
        <f>IF($C1316="","",M1316*U1316/100)</f>
        <v/>
      </c>
      <c r="T1316" s="7" t="n"/>
      <c r="U1316" s="7" t="n"/>
      <c r="V1316" s="7">
        <f>IF($C1316="","",U1316*AA1316/100)</f>
        <v/>
      </c>
      <c r="W1316" s="7">
        <f>IF($C1316="","",U1316-V1316)</f>
        <v/>
      </c>
      <c r="X1316" s="7">
        <f>IF($C1316="","",W1316-N1316)</f>
        <v/>
      </c>
      <c r="AA1316">
        <f>IF($C1316="","",IF($AN1316=1,0,IF($AM1316=1,Settings!$C$6,Settings!$C$7))*100)</f>
        <v/>
      </c>
      <c r="AE1316" s="7" t="n"/>
      <c r="AH1316" s="11" t="n"/>
      <c r="AJ1316">
        <f>IF($C1316="","",$C1316&amp;"|"&amp;$D1316&amp;"")</f>
        <v/>
      </c>
      <c r="AK1316">
        <f>IF($C1316="","",IF(COUNTIF($AJ$2:$AJ1316,$AJ1316)=1,1,0))</f>
        <v/>
      </c>
      <c r="AL1316">
        <f>IF($AK1316=1,SUMPRODUCT(--($AO$2:$AO$1501&lt;$AO1316))+1,"")</f>
        <v/>
      </c>
      <c r="AM1316">
        <f>IF($C1316="","",IF(OR($Q1316=TRUE(),$Q1316="TRUE"),1,0))</f>
        <v/>
      </c>
      <c r="AN1316">
        <f>IF($C1316="","",IF($Z1316="Yes",1,0))</f>
        <v/>
      </c>
      <c r="AO1316">
        <f>IF($AK1316=1,IFERROR(IF(VALUE($C1316)&lt;100000000,VALUE($C1316),1000000000),IFERROR(IF(VALUE(MID($C1316,2,20))&lt;100000000,VALUE(MID($C1316,2,20)),1000000000),1000000000))+ROW()/100000,"")</f>
        <v/>
      </c>
    </row>
    <row r="1317">
      <c r="F1317" s="11" t="n"/>
      <c r="N1317" s="7">
        <f>IF($C1317="","",M1317*U1317/100)</f>
        <v/>
      </c>
      <c r="T1317" s="7" t="n"/>
      <c r="U1317" s="7" t="n"/>
      <c r="V1317" s="7">
        <f>IF($C1317="","",U1317*AA1317/100)</f>
        <v/>
      </c>
      <c r="W1317" s="7">
        <f>IF($C1317="","",U1317-V1317)</f>
        <v/>
      </c>
      <c r="X1317" s="7">
        <f>IF($C1317="","",W1317-N1317)</f>
        <v/>
      </c>
      <c r="AA1317">
        <f>IF($C1317="","",IF($AN1317=1,0,IF($AM1317=1,Settings!$C$6,Settings!$C$7))*100)</f>
        <v/>
      </c>
      <c r="AE1317" s="7" t="n"/>
      <c r="AH1317" s="11" t="n"/>
      <c r="AJ1317">
        <f>IF($C1317="","",$C1317&amp;"|"&amp;$D1317&amp;"")</f>
        <v/>
      </c>
      <c r="AK1317">
        <f>IF($C1317="","",IF(COUNTIF($AJ$2:$AJ1317,$AJ1317)=1,1,0))</f>
        <v/>
      </c>
      <c r="AL1317">
        <f>IF($AK1317=1,SUMPRODUCT(--($AO$2:$AO$1501&lt;$AO1317))+1,"")</f>
        <v/>
      </c>
      <c r="AM1317">
        <f>IF($C1317="","",IF(OR($Q1317=TRUE(),$Q1317="TRUE"),1,0))</f>
        <v/>
      </c>
      <c r="AN1317">
        <f>IF($C1317="","",IF($Z1317="Yes",1,0))</f>
        <v/>
      </c>
      <c r="AO1317">
        <f>IF($AK1317=1,IFERROR(IF(VALUE($C1317)&lt;100000000,VALUE($C1317),1000000000),IFERROR(IF(VALUE(MID($C1317,2,20))&lt;100000000,VALUE(MID($C1317,2,20)),1000000000),1000000000))+ROW()/100000,"")</f>
        <v/>
      </c>
    </row>
    <row r="1318">
      <c r="F1318" s="11" t="n"/>
      <c r="N1318" s="7">
        <f>IF($C1318="","",M1318*U1318/100)</f>
        <v/>
      </c>
      <c r="T1318" s="7" t="n"/>
      <c r="U1318" s="7" t="n"/>
      <c r="V1318" s="7">
        <f>IF($C1318="","",U1318*AA1318/100)</f>
        <v/>
      </c>
      <c r="W1318" s="7">
        <f>IF($C1318="","",U1318-V1318)</f>
        <v/>
      </c>
      <c r="X1318" s="7">
        <f>IF($C1318="","",W1318-N1318)</f>
        <v/>
      </c>
      <c r="AA1318">
        <f>IF($C1318="","",IF($AN1318=1,0,IF($AM1318=1,Settings!$C$6,Settings!$C$7))*100)</f>
        <v/>
      </c>
      <c r="AE1318" s="7" t="n"/>
      <c r="AH1318" s="11" t="n"/>
      <c r="AJ1318">
        <f>IF($C1318="","",$C1318&amp;"|"&amp;$D1318&amp;"")</f>
        <v/>
      </c>
      <c r="AK1318">
        <f>IF($C1318="","",IF(COUNTIF($AJ$2:$AJ1318,$AJ1318)=1,1,0))</f>
        <v/>
      </c>
      <c r="AL1318">
        <f>IF($AK1318=1,SUMPRODUCT(--($AO$2:$AO$1501&lt;$AO1318))+1,"")</f>
        <v/>
      </c>
      <c r="AM1318">
        <f>IF($C1318="","",IF(OR($Q1318=TRUE(),$Q1318="TRUE"),1,0))</f>
        <v/>
      </c>
      <c r="AN1318">
        <f>IF($C1318="","",IF($Z1318="Yes",1,0))</f>
        <v/>
      </c>
      <c r="AO1318">
        <f>IF($AK1318=1,IFERROR(IF(VALUE($C1318)&lt;100000000,VALUE($C1318),1000000000),IFERROR(IF(VALUE(MID($C1318,2,20))&lt;100000000,VALUE(MID($C1318,2,20)),1000000000),1000000000))+ROW()/100000,"")</f>
        <v/>
      </c>
    </row>
    <row r="1319">
      <c r="F1319" s="11" t="n"/>
      <c r="N1319" s="7">
        <f>IF($C1319="","",M1319*U1319/100)</f>
        <v/>
      </c>
      <c r="T1319" s="7" t="n"/>
      <c r="U1319" s="7" t="n"/>
      <c r="V1319" s="7">
        <f>IF($C1319="","",U1319*AA1319/100)</f>
        <v/>
      </c>
      <c r="W1319" s="7">
        <f>IF($C1319="","",U1319-V1319)</f>
        <v/>
      </c>
      <c r="X1319" s="7">
        <f>IF($C1319="","",W1319-N1319)</f>
        <v/>
      </c>
      <c r="AA1319">
        <f>IF($C1319="","",IF($AN1319=1,0,IF($AM1319=1,Settings!$C$6,Settings!$C$7))*100)</f>
        <v/>
      </c>
      <c r="AE1319" s="7" t="n"/>
      <c r="AH1319" s="11" t="n"/>
      <c r="AJ1319">
        <f>IF($C1319="","",$C1319&amp;"|"&amp;$D1319&amp;"")</f>
        <v/>
      </c>
      <c r="AK1319">
        <f>IF($C1319="","",IF(COUNTIF($AJ$2:$AJ1319,$AJ1319)=1,1,0))</f>
        <v/>
      </c>
      <c r="AL1319">
        <f>IF($AK1319=1,SUMPRODUCT(--($AO$2:$AO$1501&lt;$AO1319))+1,"")</f>
        <v/>
      </c>
      <c r="AM1319">
        <f>IF($C1319="","",IF(OR($Q1319=TRUE(),$Q1319="TRUE"),1,0))</f>
        <v/>
      </c>
      <c r="AN1319">
        <f>IF($C1319="","",IF($Z1319="Yes",1,0))</f>
        <v/>
      </c>
      <c r="AO1319">
        <f>IF($AK1319=1,IFERROR(IF(VALUE($C1319)&lt;100000000,VALUE($C1319),1000000000),IFERROR(IF(VALUE(MID($C1319,2,20))&lt;100000000,VALUE(MID($C1319,2,20)),1000000000),1000000000))+ROW()/100000,"")</f>
        <v/>
      </c>
    </row>
    <row r="1320">
      <c r="F1320" s="11" t="n"/>
      <c r="N1320" s="7">
        <f>IF($C1320="","",M1320*U1320/100)</f>
        <v/>
      </c>
      <c r="T1320" s="7" t="n"/>
      <c r="U1320" s="7" t="n"/>
      <c r="V1320" s="7">
        <f>IF($C1320="","",U1320*AA1320/100)</f>
        <v/>
      </c>
      <c r="W1320" s="7">
        <f>IF($C1320="","",U1320-V1320)</f>
        <v/>
      </c>
      <c r="X1320" s="7">
        <f>IF($C1320="","",W1320-N1320)</f>
        <v/>
      </c>
      <c r="AA1320">
        <f>IF($C1320="","",IF($AN1320=1,0,IF($AM1320=1,Settings!$C$6,Settings!$C$7))*100)</f>
        <v/>
      </c>
      <c r="AE1320" s="7" t="n"/>
      <c r="AH1320" s="11" t="n"/>
      <c r="AJ1320">
        <f>IF($C1320="","",$C1320&amp;"|"&amp;$D1320&amp;"")</f>
        <v/>
      </c>
      <c r="AK1320">
        <f>IF($C1320="","",IF(COUNTIF($AJ$2:$AJ1320,$AJ1320)=1,1,0))</f>
        <v/>
      </c>
      <c r="AL1320">
        <f>IF($AK1320=1,SUMPRODUCT(--($AO$2:$AO$1501&lt;$AO1320))+1,"")</f>
        <v/>
      </c>
      <c r="AM1320">
        <f>IF($C1320="","",IF(OR($Q1320=TRUE(),$Q1320="TRUE"),1,0))</f>
        <v/>
      </c>
      <c r="AN1320">
        <f>IF($C1320="","",IF($Z1320="Yes",1,0))</f>
        <v/>
      </c>
      <c r="AO1320">
        <f>IF($AK1320=1,IFERROR(IF(VALUE($C1320)&lt;100000000,VALUE($C1320),1000000000),IFERROR(IF(VALUE(MID($C1320,2,20))&lt;100000000,VALUE(MID($C1320,2,20)),1000000000),1000000000))+ROW()/100000,"")</f>
        <v/>
      </c>
    </row>
    <row r="1321">
      <c r="F1321" s="11" t="n"/>
      <c r="N1321" s="7">
        <f>IF($C1321="","",M1321*U1321/100)</f>
        <v/>
      </c>
      <c r="T1321" s="7" t="n"/>
      <c r="U1321" s="7" t="n"/>
      <c r="V1321" s="7">
        <f>IF($C1321="","",U1321*AA1321/100)</f>
        <v/>
      </c>
      <c r="W1321" s="7">
        <f>IF($C1321="","",U1321-V1321)</f>
        <v/>
      </c>
      <c r="X1321" s="7">
        <f>IF($C1321="","",W1321-N1321)</f>
        <v/>
      </c>
      <c r="AA1321">
        <f>IF($C1321="","",IF($AN1321=1,0,IF($AM1321=1,Settings!$C$6,Settings!$C$7))*100)</f>
        <v/>
      </c>
      <c r="AE1321" s="7" t="n"/>
      <c r="AH1321" s="11" t="n"/>
      <c r="AJ1321">
        <f>IF($C1321="","",$C1321&amp;"|"&amp;$D1321&amp;"")</f>
        <v/>
      </c>
      <c r="AK1321">
        <f>IF($C1321="","",IF(COUNTIF($AJ$2:$AJ1321,$AJ1321)=1,1,0))</f>
        <v/>
      </c>
      <c r="AL1321">
        <f>IF($AK1321=1,SUMPRODUCT(--($AO$2:$AO$1501&lt;$AO1321))+1,"")</f>
        <v/>
      </c>
      <c r="AM1321">
        <f>IF($C1321="","",IF(OR($Q1321=TRUE(),$Q1321="TRUE"),1,0))</f>
        <v/>
      </c>
      <c r="AN1321">
        <f>IF($C1321="","",IF($Z1321="Yes",1,0))</f>
        <v/>
      </c>
      <c r="AO1321">
        <f>IF($AK1321=1,IFERROR(IF(VALUE($C1321)&lt;100000000,VALUE($C1321),1000000000),IFERROR(IF(VALUE(MID($C1321,2,20))&lt;100000000,VALUE(MID($C1321,2,20)),1000000000),1000000000))+ROW()/100000,"")</f>
        <v/>
      </c>
    </row>
    <row r="1322">
      <c r="F1322" s="11" t="n"/>
      <c r="N1322" s="7">
        <f>IF($C1322="","",M1322*U1322/100)</f>
        <v/>
      </c>
      <c r="T1322" s="7" t="n"/>
      <c r="U1322" s="7" t="n"/>
      <c r="V1322" s="7">
        <f>IF($C1322="","",U1322*AA1322/100)</f>
        <v/>
      </c>
      <c r="W1322" s="7">
        <f>IF($C1322="","",U1322-V1322)</f>
        <v/>
      </c>
      <c r="X1322" s="7">
        <f>IF($C1322="","",W1322-N1322)</f>
        <v/>
      </c>
      <c r="AA1322">
        <f>IF($C1322="","",IF($AN1322=1,0,IF($AM1322=1,Settings!$C$6,Settings!$C$7))*100)</f>
        <v/>
      </c>
      <c r="AE1322" s="7" t="n"/>
      <c r="AH1322" s="11" t="n"/>
      <c r="AJ1322">
        <f>IF($C1322="","",$C1322&amp;"|"&amp;$D1322&amp;"")</f>
        <v/>
      </c>
      <c r="AK1322">
        <f>IF($C1322="","",IF(COUNTIF($AJ$2:$AJ1322,$AJ1322)=1,1,0))</f>
        <v/>
      </c>
      <c r="AL1322">
        <f>IF($AK1322=1,SUMPRODUCT(--($AO$2:$AO$1501&lt;$AO1322))+1,"")</f>
        <v/>
      </c>
      <c r="AM1322">
        <f>IF($C1322="","",IF(OR($Q1322=TRUE(),$Q1322="TRUE"),1,0))</f>
        <v/>
      </c>
      <c r="AN1322">
        <f>IF($C1322="","",IF($Z1322="Yes",1,0))</f>
        <v/>
      </c>
      <c r="AO1322">
        <f>IF($AK1322=1,IFERROR(IF(VALUE($C1322)&lt;100000000,VALUE($C1322),1000000000),IFERROR(IF(VALUE(MID($C1322,2,20))&lt;100000000,VALUE(MID($C1322,2,20)),1000000000),1000000000))+ROW()/100000,"")</f>
        <v/>
      </c>
    </row>
    <row r="1323">
      <c r="F1323" s="11" t="n"/>
      <c r="N1323" s="7">
        <f>IF($C1323="","",M1323*U1323/100)</f>
        <v/>
      </c>
      <c r="T1323" s="7" t="n"/>
      <c r="U1323" s="7" t="n"/>
      <c r="V1323" s="7">
        <f>IF($C1323="","",U1323*AA1323/100)</f>
        <v/>
      </c>
      <c r="W1323" s="7">
        <f>IF($C1323="","",U1323-V1323)</f>
        <v/>
      </c>
      <c r="X1323" s="7">
        <f>IF($C1323="","",W1323-N1323)</f>
        <v/>
      </c>
      <c r="AA1323">
        <f>IF($C1323="","",IF($AN1323=1,0,IF($AM1323=1,Settings!$C$6,Settings!$C$7))*100)</f>
        <v/>
      </c>
      <c r="AE1323" s="7" t="n"/>
      <c r="AH1323" s="11" t="n"/>
      <c r="AJ1323">
        <f>IF($C1323="","",$C1323&amp;"|"&amp;$D1323&amp;"")</f>
        <v/>
      </c>
      <c r="AK1323">
        <f>IF($C1323="","",IF(COUNTIF($AJ$2:$AJ1323,$AJ1323)=1,1,0))</f>
        <v/>
      </c>
      <c r="AL1323">
        <f>IF($AK1323=1,SUMPRODUCT(--($AO$2:$AO$1501&lt;$AO1323))+1,"")</f>
        <v/>
      </c>
      <c r="AM1323">
        <f>IF($C1323="","",IF(OR($Q1323=TRUE(),$Q1323="TRUE"),1,0))</f>
        <v/>
      </c>
      <c r="AN1323">
        <f>IF($C1323="","",IF($Z1323="Yes",1,0))</f>
        <v/>
      </c>
      <c r="AO1323">
        <f>IF($AK1323=1,IFERROR(IF(VALUE($C1323)&lt;100000000,VALUE($C1323),1000000000),IFERROR(IF(VALUE(MID($C1323,2,20))&lt;100000000,VALUE(MID($C1323,2,20)),1000000000),1000000000))+ROW()/100000,"")</f>
        <v/>
      </c>
    </row>
    <row r="1324">
      <c r="F1324" s="11" t="n"/>
      <c r="N1324" s="7">
        <f>IF($C1324="","",M1324*U1324/100)</f>
        <v/>
      </c>
      <c r="T1324" s="7" t="n"/>
      <c r="U1324" s="7" t="n"/>
      <c r="V1324" s="7">
        <f>IF($C1324="","",U1324*AA1324/100)</f>
        <v/>
      </c>
      <c r="W1324" s="7">
        <f>IF($C1324="","",U1324-V1324)</f>
        <v/>
      </c>
      <c r="X1324" s="7">
        <f>IF($C1324="","",W1324-N1324)</f>
        <v/>
      </c>
      <c r="AA1324">
        <f>IF($C1324="","",IF($AN1324=1,0,IF($AM1324=1,Settings!$C$6,Settings!$C$7))*100)</f>
        <v/>
      </c>
      <c r="AE1324" s="7" t="n"/>
      <c r="AH1324" s="11" t="n"/>
      <c r="AJ1324">
        <f>IF($C1324="","",$C1324&amp;"|"&amp;$D1324&amp;"")</f>
        <v/>
      </c>
      <c r="AK1324">
        <f>IF($C1324="","",IF(COUNTIF($AJ$2:$AJ1324,$AJ1324)=1,1,0))</f>
        <v/>
      </c>
      <c r="AL1324">
        <f>IF($AK1324=1,SUMPRODUCT(--($AO$2:$AO$1501&lt;$AO1324))+1,"")</f>
        <v/>
      </c>
      <c r="AM1324">
        <f>IF($C1324="","",IF(OR($Q1324=TRUE(),$Q1324="TRUE"),1,0))</f>
        <v/>
      </c>
      <c r="AN1324">
        <f>IF($C1324="","",IF($Z1324="Yes",1,0))</f>
        <v/>
      </c>
      <c r="AO1324">
        <f>IF($AK1324=1,IFERROR(IF(VALUE($C1324)&lt;100000000,VALUE($C1324),1000000000),IFERROR(IF(VALUE(MID($C1324,2,20))&lt;100000000,VALUE(MID($C1324,2,20)),1000000000),1000000000))+ROW()/100000,"")</f>
        <v/>
      </c>
    </row>
    <row r="1325">
      <c r="F1325" s="11" t="n"/>
      <c r="N1325" s="7">
        <f>IF($C1325="","",M1325*U1325/100)</f>
        <v/>
      </c>
      <c r="T1325" s="7" t="n"/>
      <c r="U1325" s="7" t="n"/>
      <c r="V1325" s="7">
        <f>IF($C1325="","",U1325*AA1325/100)</f>
        <v/>
      </c>
      <c r="W1325" s="7">
        <f>IF($C1325="","",U1325-V1325)</f>
        <v/>
      </c>
      <c r="X1325" s="7">
        <f>IF($C1325="","",W1325-N1325)</f>
        <v/>
      </c>
      <c r="AA1325">
        <f>IF($C1325="","",IF($AN1325=1,0,IF($AM1325=1,Settings!$C$6,Settings!$C$7))*100)</f>
        <v/>
      </c>
      <c r="AE1325" s="7" t="n"/>
      <c r="AH1325" s="11" t="n"/>
      <c r="AJ1325">
        <f>IF($C1325="","",$C1325&amp;"|"&amp;$D1325&amp;"")</f>
        <v/>
      </c>
      <c r="AK1325">
        <f>IF($C1325="","",IF(COUNTIF($AJ$2:$AJ1325,$AJ1325)=1,1,0))</f>
        <v/>
      </c>
      <c r="AL1325">
        <f>IF($AK1325=1,SUMPRODUCT(--($AO$2:$AO$1501&lt;$AO1325))+1,"")</f>
        <v/>
      </c>
      <c r="AM1325">
        <f>IF($C1325="","",IF(OR($Q1325=TRUE(),$Q1325="TRUE"),1,0))</f>
        <v/>
      </c>
      <c r="AN1325">
        <f>IF($C1325="","",IF($Z1325="Yes",1,0))</f>
        <v/>
      </c>
      <c r="AO1325">
        <f>IF($AK1325=1,IFERROR(IF(VALUE($C1325)&lt;100000000,VALUE($C1325),1000000000),IFERROR(IF(VALUE(MID($C1325,2,20))&lt;100000000,VALUE(MID($C1325,2,20)),1000000000),1000000000))+ROW()/100000,"")</f>
        <v/>
      </c>
    </row>
    <row r="1326">
      <c r="F1326" s="11" t="n"/>
      <c r="N1326" s="7">
        <f>IF($C1326="","",M1326*U1326/100)</f>
        <v/>
      </c>
      <c r="T1326" s="7" t="n"/>
      <c r="U1326" s="7" t="n"/>
      <c r="V1326" s="7">
        <f>IF($C1326="","",U1326*AA1326/100)</f>
        <v/>
      </c>
      <c r="W1326" s="7">
        <f>IF($C1326="","",U1326-V1326)</f>
        <v/>
      </c>
      <c r="X1326" s="7">
        <f>IF($C1326="","",W1326-N1326)</f>
        <v/>
      </c>
      <c r="AA1326">
        <f>IF($C1326="","",IF($AN1326=1,0,IF($AM1326=1,Settings!$C$6,Settings!$C$7))*100)</f>
        <v/>
      </c>
      <c r="AE1326" s="7" t="n"/>
      <c r="AH1326" s="11" t="n"/>
      <c r="AJ1326">
        <f>IF($C1326="","",$C1326&amp;"|"&amp;$D1326&amp;"")</f>
        <v/>
      </c>
      <c r="AK1326">
        <f>IF($C1326="","",IF(COUNTIF($AJ$2:$AJ1326,$AJ1326)=1,1,0))</f>
        <v/>
      </c>
      <c r="AL1326">
        <f>IF($AK1326=1,SUMPRODUCT(--($AO$2:$AO$1501&lt;$AO1326))+1,"")</f>
        <v/>
      </c>
      <c r="AM1326">
        <f>IF($C1326="","",IF(OR($Q1326=TRUE(),$Q1326="TRUE"),1,0))</f>
        <v/>
      </c>
      <c r="AN1326">
        <f>IF($C1326="","",IF($Z1326="Yes",1,0))</f>
        <v/>
      </c>
      <c r="AO1326">
        <f>IF($AK1326=1,IFERROR(IF(VALUE($C1326)&lt;100000000,VALUE($C1326),1000000000),IFERROR(IF(VALUE(MID($C1326,2,20))&lt;100000000,VALUE(MID($C1326,2,20)),1000000000),1000000000))+ROW()/100000,"")</f>
        <v/>
      </c>
    </row>
    <row r="1327">
      <c r="F1327" s="11" t="n"/>
      <c r="N1327" s="7">
        <f>IF($C1327="","",M1327*U1327/100)</f>
        <v/>
      </c>
      <c r="T1327" s="7" t="n"/>
      <c r="U1327" s="7" t="n"/>
      <c r="V1327" s="7">
        <f>IF($C1327="","",U1327*AA1327/100)</f>
        <v/>
      </c>
      <c r="W1327" s="7">
        <f>IF($C1327="","",U1327-V1327)</f>
        <v/>
      </c>
      <c r="X1327" s="7">
        <f>IF($C1327="","",W1327-N1327)</f>
        <v/>
      </c>
      <c r="AA1327">
        <f>IF($C1327="","",IF($AN1327=1,0,IF($AM1327=1,Settings!$C$6,Settings!$C$7))*100)</f>
        <v/>
      </c>
      <c r="AE1327" s="7" t="n"/>
      <c r="AH1327" s="11" t="n"/>
      <c r="AJ1327">
        <f>IF($C1327="","",$C1327&amp;"|"&amp;$D1327&amp;"")</f>
        <v/>
      </c>
      <c r="AK1327">
        <f>IF($C1327="","",IF(COUNTIF($AJ$2:$AJ1327,$AJ1327)=1,1,0))</f>
        <v/>
      </c>
      <c r="AL1327">
        <f>IF($AK1327=1,SUMPRODUCT(--($AO$2:$AO$1501&lt;$AO1327))+1,"")</f>
        <v/>
      </c>
      <c r="AM1327">
        <f>IF($C1327="","",IF(OR($Q1327=TRUE(),$Q1327="TRUE"),1,0))</f>
        <v/>
      </c>
      <c r="AN1327">
        <f>IF($C1327="","",IF($Z1327="Yes",1,0))</f>
        <v/>
      </c>
      <c r="AO1327">
        <f>IF($AK1327=1,IFERROR(IF(VALUE($C1327)&lt;100000000,VALUE($C1327),1000000000),IFERROR(IF(VALUE(MID($C1327,2,20))&lt;100000000,VALUE(MID($C1327,2,20)),1000000000),1000000000))+ROW()/100000,"")</f>
        <v/>
      </c>
    </row>
    <row r="1328">
      <c r="F1328" s="11" t="n"/>
      <c r="N1328" s="7">
        <f>IF($C1328="","",M1328*U1328/100)</f>
        <v/>
      </c>
      <c r="T1328" s="7" t="n"/>
      <c r="U1328" s="7" t="n"/>
      <c r="V1328" s="7">
        <f>IF($C1328="","",U1328*AA1328/100)</f>
        <v/>
      </c>
      <c r="W1328" s="7">
        <f>IF($C1328="","",U1328-V1328)</f>
        <v/>
      </c>
      <c r="X1328" s="7">
        <f>IF($C1328="","",W1328-N1328)</f>
        <v/>
      </c>
      <c r="AA1328">
        <f>IF($C1328="","",IF($AN1328=1,0,IF($AM1328=1,Settings!$C$6,Settings!$C$7))*100)</f>
        <v/>
      </c>
      <c r="AE1328" s="7" t="n"/>
      <c r="AH1328" s="11" t="n"/>
      <c r="AJ1328">
        <f>IF($C1328="","",$C1328&amp;"|"&amp;$D1328&amp;"")</f>
        <v/>
      </c>
      <c r="AK1328">
        <f>IF($C1328="","",IF(COUNTIF($AJ$2:$AJ1328,$AJ1328)=1,1,0))</f>
        <v/>
      </c>
      <c r="AL1328">
        <f>IF($AK1328=1,SUMPRODUCT(--($AO$2:$AO$1501&lt;$AO1328))+1,"")</f>
        <v/>
      </c>
      <c r="AM1328">
        <f>IF($C1328="","",IF(OR($Q1328=TRUE(),$Q1328="TRUE"),1,0))</f>
        <v/>
      </c>
      <c r="AN1328">
        <f>IF($C1328="","",IF($Z1328="Yes",1,0))</f>
        <v/>
      </c>
      <c r="AO1328">
        <f>IF($AK1328=1,IFERROR(IF(VALUE($C1328)&lt;100000000,VALUE($C1328),1000000000),IFERROR(IF(VALUE(MID($C1328,2,20))&lt;100000000,VALUE(MID($C1328,2,20)),1000000000),1000000000))+ROW()/100000,"")</f>
        <v/>
      </c>
    </row>
    <row r="1329">
      <c r="F1329" s="11" t="n"/>
      <c r="N1329" s="7">
        <f>IF($C1329="","",M1329*U1329/100)</f>
        <v/>
      </c>
      <c r="T1329" s="7" t="n"/>
      <c r="U1329" s="7" t="n"/>
      <c r="V1329" s="7">
        <f>IF($C1329="","",U1329*AA1329/100)</f>
        <v/>
      </c>
      <c r="W1329" s="7">
        <f>IF($C1329="","",U1329-V1329)</f>
        <v/>
      </c>
      <c r="X1329" s="7">
        <f>IF($C1329="","",W1329-N1329)</f>
        <v/>
      </c>
      <c r="AA1329">
        <f>IF($C1329="","",IF($AN1329=1,0,IF($AM1329=1,Settings!$C$6,Settings!$C$7))*100)</f>
        <v/>
      </c>
      <c r="AE1329" s="7" t="n"/>
      <c r="AH1329" s="11" t="n"/>
      <c r="AJ1329">
        <f>IF($C1329="","",$C1329&amp;"|"&amp;$D1329&amp;"")</f>
        <v/>
      </c>
      <c r="AK1329">
        <f>IF($C1329="","",IF(COUNTIF($AJ$2:$AJ1329,$AJ1329)=1,1,0))</f>
        <v/>
      </c>
      <c r="AL1329">
        <f>IF($AK1329=1,SUMPRODUCT(--($AO$2:$AO$1501&lt;$AO1329))+1,"")</f>
        <v/>
      </c>
      <c r="AM1329">
        <f>IF($C1329="","",IF(OR($Q1329=TRUE(),$Q1329="TRUE"),1,0))</f>
        <v/>
      </c>
      <c r="AN1329">
        <f>IF($C1329="","",IF($Z1329="Yes",1,0))</f>
        <v/>
      </c>
      <c r="AO1329">
        <f>IF($AK1329=1,IFERROR(IF(VALUE($C1329)&lt;100000000,VALUE($C1329),1000000000),IFERROR(IF(VALUE(MID($C1329,2,20))&lt;100000000,VALUE(MID($C1329,2,20)),1000000000),1000000000))+ROW()/100000,"")</f>
        <v/>
      </c>
    </row>
    <row r="1330">
      <c r="F1330" s="11" t="n"/>
      <c r="N1330" s="7">
        <f>IF($C1330="","",M1330*U1330/100)</f>
        <v/>
      </c>
      <c r="T1330" s="7" t="n"/>
      <c r="U1330" s="7" t="n"/>
      <c r="V1330" s="7">
        <f>IF($C1330="","",U1330*AA1330/100)</f>
        <v/>
      </c>
      <c r="W1330" s="7">
        <f>IF($C1330="","",U1330-V1330)</f>
        <v/>
      </c>
      <c r="X1330" s="7">
        <f>IF($C1330="","",W1330-N1330)</f>
        <v/>
      </c>
      <c r="AA1330">
        <f>IF($C1330="","",IF($AN1330=1,0,IF($AM1330=1,Settings!$C$6,Settings!$C$7))*100)</f>
        <v/>
      </c>
      <c r="AE1330" s="7" t="n"/>
      <c r="AH1330" s="11" t="n"/>
      <c r="AJ1330">
        <f>IF($C1330="","",$C1330&amp;"|"&amp;$D1330&amp;"")</f>
        <v/>
      </c>
      <c r="AK1330">
        <f>IF($C1330="","",IF(COUNTIF($AJ$2:$AJ1330,$AJ1330)=1,1,0))</f>
        <v/>
      </c>
      <c r="AL1330">
        <f>IF($AK1330=1,SUMPRODUCT(--($AO$2:$AO$1501&lt;$AO1330))+1,"")</f>
        <v/>
      </c>
      <c r="AM1330">
        <f>IF($C1330="","",IF(OR($Q1330=TRUE(),$Q1330="TRUE"),1,0))</f>
        <v/>
      </c>
      <c r="AN1330">
        <f>IF($C1330="","",IF($Z1330="Yes",1,0))</f>
        <v/>
      </c>
      <c r="AO1330">
        <f>IF($AK1330=1,IFERROR(IF(VALUE($C1330)&lt;100000000,VALUE($C1330),1000000000),IFERROR(IF(VALUE(MID($C1330,2,20))&lt;100000000,VALUE(MID($C1330,2,20)),1000000000),1000000000))+ROW()/100000,"")</f>
        <v/>
      </c>
    </row>
    <row r="1331">
      <c r="F1331" s="11" t="n"/>
      <c r="N1331" s="7">
        <f>IF($C1331="","",M1331*U1331/100)</f>
        <v/>
      </c>
      <c r="T1331" s="7" t="n"/>
      <c r="U1331" s="7" t="n"/>
      <c r="V1331" s="7">
        <f>IF($C1331="","",U1331*AA1331/100)</f>
        <v/>
      </c>
      <c r="W1331" s="7">
        <f>IF($C1331="","",U1331-V1331)</f>
        <v/>
      </c>
      <c r="X1331" s="7">
        <f>IF($C1331="","",W1331-N1331)</f>
        <v/>
      </c>
      <c r="AA1331">
        <f>IF($C1331="","",IF($AN1331=1,0,IF($AM1331=1,Settings!$C$6,Settings!$C$7))*100)</f>
        <v/>
      </c>
      <c r="AE1331" s="7" t="n"/>
      <c r="AH1331" s="11" t="n"/>
      <c r="AJ1331">
        <f>IF($C1331="","",$C1331&amp;"|"&amp;$D1331&amp;"")</f>
        <v/>
      </c>
      <c r="AK1331">
        <f>IF($C1331="","",IF(COUNTIF($AJ$2:$AJ1331,$AJ1331)=1,1,0))</f>
        <v/>
      </c>
      <c r="AL1331">
        <f>IF($AK1331=1,SUMPRODUCT(--($AO$2:$AO$1501&lt;$AO1331))+1,"")</f>
        <v/>
      </c>
      <c r="AM1331">
        <f>IF($C1331="","",IF(OR($Q1331=TRUE(),$Q1331="TRUE"),1,0))</f>
        <v/>
      </c>
      <c r="AN1331">
        <f>IF($C1331="","",IF($Z1331="Yes",1,0))</f>
        <v/>
      </c>
      <c r="AO1331">
        <f>IF($AK1331=1,IFERROR(IF(VALUE($C1331)&lt;100000000,VALUE($C1331),1000000000),IFERROR(IF(VALUE(MID($C1331,2,20))&lt;100000000,VALUE(MID($C1331,2,20)),1000000000),1000000000))+ROW()/100000,"")</f>
        <v/>
      </c>
    </row>
    <row r="1332">
      <c r="F1332" s="11" t="n"/>
      <c r="N1332" s="7">
        <f>IF($C1332="","",M1332*U1332/100)</f>
        <v/>
      </c>
      <c r="T1332" s="7" t="n"/>
      <c r="U1332" s="7" t="n"/>
      <c r="V1332" s="7">
        <f>IF($C1332="","",U1332*AA1332/100)</f>
        <v/>
      </c>
      <c r="W1332" s="7">
        <f>IF($C1332="","",U1332-V1332)</f>
        <v/>
      </c>
      <c r="X1332" s="7">
        <f>IF($C1332="","",W1332-N1332)</f>
        <v/>
      </c>
      <c r="AA1332">
        <f>IF($C1332="","",IF($AN1332=1,0,IF($AM1332=1,Settings!$C$6,Settings!$C$7))*100)</f>
        <v/>
      </c>
      <c r="AE1332" s="7" t="n"/>
      <c r="AH1332" s="11" t="n"/>
      <c r="AJ1332">
        <f>IF($C1332="","",$C1332&amp;"|"&amp;$D1332&amp;"")</f>
        <v/>
      </c>
      <c r="AK1332">
        <f>IF($C1332="","",IF(COUNTIF($AJ$2:$AJ1332,$AJ1332)=1,1,0))</f>
        <v/>
      </c>
      <c r="AL1332">
        <f>IF($AK1332=1,SUMPRODUCT(--($AO$2:$AO$1501&lt;$AO1332))+1,"")</f>
        <v/>
      </c>
      <c r="AM1332">
        <f>IF($C1332="","",IF(OR($Q1332=TRUE(),$Q1332="TRUE"),1,0))</f>
        <v/>
      </c>
      <c r="AN1332">
        <f>IF($C1332="","",IF($Z1332="Yes",1,0))</f>
        <v/>
      </c>
      <c r="AO1332">
        <f>IF($AK1332=1,IFERROR(IF(VALUE($C1332)&lt;100000000,VALUE($C1332),1000000000),IFERROR(IF(VALUE(MID($C1332,2,20))&lt;100000000,VALUE(MID($C1332,2,20)),1000000000),1000000000))+ROW()/100000,"")</f>
        <v/>
      </c>
    </row>
    <row r="1333">
      <c r="F1333" s="11" t="n"/>
      <c r="N1333" s="7">
        <f>IF($C1333="","",M1333*U1333/100)</f>
        <v/>
      </c>
      <c r="T1333" s="7" t="n"/>
      <c r="U1333" s="7" t="n"/>
      <c r="V1333" s="7">
        <f>IF($C1333="","",U1333*AA1333/100)</f>
        <v/>
      </c>
      <c r="W1333" s="7">
        <f>IF($C1333="","",U1333-V1333)</f>
        <v/>
      </c>
      <c r="X1333" s="7">
        <f>IF($C1333="","",W1333-N1333)</f>
        <v/>
      </c>
      <c r="AA1333">
        <f>IF($C1333="","",IF($AN1333=1,0,IF($AM1333=1,Settings!$C$6,Settings!$C$7))*100)</f>
        <v/>
      </c>
      <c r="AE1333" s="7" t="n"/>
      <c r="AH1333" s="11" t="n"/>
      <c r="AJ1333">
        <f>IF($C1333="","",$C1333&amp;"|"&amp;$D1333&amp;"")</f>
        <v/>
      </c>
      <c r="AK1333">
        <f>IF($C1333="","",IF(COUNTIF($AJ$2:$AJ1333,$AJ1333)=1,1,0))</f>
        <v/>
      </c>
      <c r="AL1333">
        <f>IF($AK1333=1,SUMPRODUCT(--($AO$2:$AO$1501&lt;$AO1333))+1,"")</f>
        <v/>
      </c>
      <c r="AM1333">
        <f>IF($C1333="","",IF(OR($Q1333=TRUE(),$Q1333="TRUE"),1,0))</f>
        <v/>
      </c>
      <c r="AN1333">
        <f>IF($C1333="","",IF($Z1333="Yes",1,0))</f>
        <v/>
      </c>
      <c r="AO1333">
        <f>IF($AK1333=1,IFERROR(IF(VALUE($C1333)&lt;100000000,VALUE($C1333),1000000000),IFERROR(IF(VALUE(MID($C1333,2,20))&lt;100000000,VALUE(MID($C1333,2,20)),1000000000),1000000000))+ROW()/100000,"")</f>
        <v/>
      </c>
    </row>
    <row r="1334">
      <c r="F1334" s="11" t="n"/>
      <c r="N1334" s="7">
        <f>IF($C1334="","",M1334*U1334/100)</f>
        <v/>
      </c>
      <c r="T1334" s="7" t="n"/>
      <c r="U1334" s="7" t="n"/>
      <c r="V1334" s="7">
        <f>IF($C1334="","",U1334*AA1334/100)</f>
        <v/>
      </c>
      <c r="W1334" s="7">
        <f>IF($C1334="","",U1334-V1334)</f>
        <v/>
      </c>
      <c r="X1334" s="7">
        <f>IF($C1334="","",W1334-N1334)</f>
        <v/>
      </c>
      <c r="AA1334">
        <f>IF($C1334="","",IF($AN1334=1,0,IF($AM1334=1,Settings!$C$6,Settings!$C$7))*100)</f>
        <v/>
      </c>
      <c r="AE1334" s="7" t="n"/>
      <c r="AH1334" s="11" t="n"/>
      <c r="AJ1334">
        <f>IF($C1334="","",$C1334&amp;"|"&amp;$D1334&amp;"")</f>
        <v/>
      </c>
      <c r="AK1334">
        <f>IF($C1334="","",IF(COUNTIF($AJ$2:$AJ1334,$AJ1334)=1,1,0))</f>
        <v/>
      </c>
      <c r="AL1334">
        <f>IF($AK1334=1,SUMPRODUCT(--($AO$2:$AO$1501&lt;$AO1334))+1,"")</f>
        <v/>
      </c>
      <c r="AM1334">
        <f>IF($C1334="","",IF(OR($Q1334=TRUE(),$Q1334="TRUE"),1,0))</f>
        <v/>
      </c>
      <c r="AN1334">
        <f>IF($C1334="","",IF($Z1334="Yes",1,0))</f>
        <v/>
      </c>
      <c r="AO1334">
        <f>IF($AK1334=1,IFERROR(IF(VALUE($C1334)&lt;100000000,VALUE($C1334),1000000000),IFERROR(IF(VALUE(MID($C1334,2,20))&lt;100000000,VALUE(MID($C1334,2,20)),1000000000),1000000000))+ROW()/100000,"")</f>
        <v/>
      </c>
    </row>
    <row r="1335">
      <c r="F1335" s="11" t="n"/>
      <c r="N1335" s="7">
        <f>IF($C1335="","",M1335*U1335/100)</f>
        <v/>
      </c>
      <c r="T1335" s="7" t="n"/>
      <c r="U1335" s="7" t="n"/>
      <c r="V1335" s="7">
        <f>IF($C1335="","",U1335*AA1335/100)</f>
        <v/>
      </c>
      <c r="W1335" s="7">
        <f>IF($C1335="","",U1335-V1335)</f>
        <v/>
      </c>
      <c r="X1335" s="7">
        <f>IF($C1335="","",W1335-N1335)</f>
        <v/>
      </c>
      <c r="AA1335">
        <f>IF($C1335="","",IF($AN1335=1,0,IF($AM1335=1,Settings!$C$6,Settings!$C$7))*100)</f>
        <v/>
      </c>
      <c r="AE1335" s="7" t="n"/>
      <c r="AH1335" s="11" t="n"/>
      <c r="AJ1335">
        <f>IF($C1335="","",$C1335&amp;"|"&amp;$D1335&amp;"")</f>
        <v/>
      </c>
      <c r="AK1335">
        <f>IF($C1335="","",IF(COUNTIF($AJ$2:$AJ1335,$AJ1335)=1,1,0))</f>
        <v/>
      </c>
      <c r="AL1335">
        <f>IF($AK1335=1,SUMPRODUCT(--($AO$2:$AO$1501&lt;$AO1335))+1,"")</f>
        <v/>
      </c>
      <c r="AM1335">
        <f>IF($C1335="","",IF(OR($Q1335=TRUE(),$Q1335="TRUE"),1,0))</f>
        <v/>
      </c>
      <c r="AN1335">
        <f>IF($C1335="","",IF($Z1335="Yes",1,0))</f>
        <v/>
      </c>
      <c r="AO1335">
        <f>IF($AK1335=1,IFERROR(IF(VALUE($C1335)&lt;100000000,VALUE($C1335),1000000000),IFERROR(IF(VALUE(MID($C1335,2,20))&lt;100000000,VALUE(MID($C1335,2,20)),1000000000),1000000000))+ROW()/100000,"")</f>
        <v/>
      </c>
    </row>
    <row r="1336">
      <c r="F1336" s="11" t="n"/>
      <c r="N1336" s="7">
        <f>IF($C1336="","",M1336*U1336/100)</f>
        <v/>
      </c>
      <c r="T1336" s="7" t="n"/>
      <c r="U1336" s="7" t="n"/>
      <c r="V1336" s="7">
        <f>IF($C1336="","",U1336*AA1336/100)</f>
        <v/>
      </c>
      <c r="W1336" s="7">
        <f>IF($C1336="","",U1336-V1336)</f>
        <v/>
      </c>
      <c r="X1336" s="7">
        <f>IF($C1336="","",W1336-N1336)</f>
        <v/>
      </c>
      <c r="AA1336">
        <f>IF($C1336="","",IF($AN1336=1,0,IF($AM1336=1,Settings!$C$6,Settings!$C$7))*100)</f>
        <v/>
      </c>
      <c r="AE1336" s="7" t="n"/>
      <c r="AH1336" s="11" t="n"/>
      <c r="AJ1336">
        <f>IF($C1336="","",$C1336&amp;"|"&amp;$D1336&amp;"")</f>
        <v/>
      </c>
      <c r="AK1336">
        <f>IF($C1336="","",IF(COUNTIF($AJ$2:$AJ1336,$AJ1336)=1,1,0))</f>
        <v/>
      </c>
      <c r="AL1336">
        <f>IF($AK1336=1,SUMPRODUCT(--($AO$2:$AO$1501&lt;$AO1336))+1,"")</f>
        <v/>
      </c>
      <c r="AM1336">
        <f>IF($C1336="","",IF(OR($Q1336=TRUE(),$Q1336="TRUE"),1,0))</f>
        <v/>
      </c>
      <c r="AN1336">
        <f>IF($C1336="","",IF($Z1336="Yes",1,0))</f>
        <v/>
      </c>
      <c r="AO1336">
        <f>IF($AK1336=1,IFERROR(IF(VALUE($C1336)&lt;100000000,VALUE($C1336),1000000000),IFERROR(IF(VALUE(MID($C1336,2,20))&lt;100000000,VALUE(MID($C1336,2,20)),1000000000),1000000000))+ROW()/100000,"")</f>
        <v/>
      </c>
    </row>
    <row r="1337">
      <c r="F1337" s="11" t="n"/>
      <c r="N1337" s="7">
        <f>IF($C1337="","",M1337*U1337/100)</f>
        <v/>
      </c>
      <c r="T1337" s="7" t="n"/>
      <c r="U1337" s="7" t="n"/>
      <c r="V1337" s="7">
        <f>IF($C1337="","",U1337*AA1337/100)</f>
        <v/>
      </c>
      <c r="W1337" s="7">
        <f>IF($C1337="","",U1337-V1337)</f>
        <v/>
      </c>
      <c r="X1337" s="7">
        <f>IF($C1337="","",W1337-N1337)</f>
        <v/>
      </c>
      <c r="AA1337">
        <f>IF($C1337="","",IF($AN1337=1,0,IF($AM1337=1,Settings!$C$6,Settings!$C$7))*100)</f>
        <v/>
      </c>
      <c r="AE1337" s="7" t="n"/>
      <c r="AH1337" s="11" t="n"/>
      <c r="AJ1337">
        <f>IF($C1337="","",$C1337&amp;"|"&amp;$D1337&amp;"")</f>
        <v/>
      </c>
      <c r="AK1337">
        <f>IF($C1337="","",IF(COUNTIF($AJ$2:$AJ1337,$AJ1337)=1,1,0))</f>
        <v/>
      </c>
      <c r="AL1337">
        <f>IF($AK1337=1,SUMPRODUCT(--($AO$2:$AO$1501&lt;$AO1337))+1,"")</f>
        <v/>
      </c>
      <c r="AM1337">
        <f>IF($C1337="","",IF(OR($Q1337=TRUE(),$Q1337="TRUE"),1,0))</f>
        <v/>
      </c>
      <c r="AN1337">
        <f>IF($C1337="","",IF($Z1337="Yes",1,0))</f>
        <v/>
      </c>
      <c r="AO1337">
        <f>IF($AK1337=1,IFERROR(IF(VALUE($C1337)&lt;100000000,VALUE($C1337),1000000000),IFERROR(IF(VALUE(MID($C1337,2,20))&lt;100000000,VALUE(MID($C1337,2,20)),1000000000),1000000000))+ROW()/100000,"")</f>
        <v/>
      </c>
    </row>
    <row r="1338">
      <c r="F1338" s="11" t="n"/>
      <c r="N1338" s="7">
        <f>IF($C1338="","",M1338*U1338/100)</f>
        <v/>
      </c>
      <c r="T1338" s="7" t="n"/>
      <c r="U1338" s="7" t="n"/>
      <c r="V1338" s="7">
        <f>IF($C1338="","",U1338*AA1338/100)</f>
        <v/>
      </c>
      <c r="W1338" s="7">
        <f>IF($C1338="","",U1338-V1338)</f>
        <v/>
      </c>
      <c r="X1338" s="7">
        <f>IF($C1338="","",W1338-N1338)</f>
        <v/>
      </c>
      <c r="AA1338">
        <f>IF($C1338="","",IF($AN1338=1,0,IF($AM1338=1,Settings!$C$6,Settings!$C$7))*100)</f>
        <v/>
      </c>
      <c r="AE1338" s="7" t="n"/>
      <c r="AH1338" s="11" t="n"/>
      <c r="AJ1338">
        <f>IF($C1338="","",$C1338&amp;"|"&amp;$D1338&amp;"")</f>
        <v/>
      </c>
      <c r="AK1338">
        <f>IF($C1338="","",IF(COUNTIF($AJ$2:$AJ1338,$AJ1338)=1,1,0))</f>
        <v/>
      </c>
      <c r="AL1338">
        <f>IF($AK1338=1,SUMPRODUCT(--($AO$2:$AO$1501&lt;$AO1338))+1,"")</f>
        <v/>
      </c>
      <c r="AM1338">
        <f>IF($C1338="","",IF(OR($Q1338=TRUE(),$Q1338="TRUE"),1,0))</f>
        <v/>
      </c>
      <c r="AN1338">
        <f>IF($C1338="","",IF($Z1338="Yes",1,0))</f>
        <v/>
      </c>
      <c r="AO1338">
        <f>IF($AK1338=1,IFERROR(IF(VALUE($C1338)&lt;100000000,VALUE($C1338),1000000000),IFERROR(IF(VALUE(MID($C1338,2,20))&lt;100000000,VALUE(MID($C1338,2,20)),1000000000),1000000000))+ROW()/100000,"")</f>
        <v/>
      </c>
    </row>
    <row r="1339">
      <c r="F1339" s="11" t="n"/>
      <c r="N1339" s="7">
        <f>IF($C1339="","",M1339*U1339/100)</f>
        <v/>
      </c>
      <c r="T1339" s="7" t="n"/>
      <c r="U1339" s="7" t="n"/>
      <c r="V1339" s="7">
        <f>IF($C1339="","",U1339*AA1339/100)</f>
        <v/>
      </c>
      <c r="W1339" s="7">
        <f>IF($C1339="","",U1339-V1339)</f>
        <v/>
      </c>
      <c r="X1339" s="7">
        <f>IF($C1339="","",W1339-N1339)</f>
        <v/>
      </c>
      <c r="AA1339">
        <f>IF($C1339="","",IF($AN1339=1,0,IF($AM1339=1,Settings!$C$6,Settings!$C$7))*100)</f>
        <v/>
      </c>
      <c r="AE1339" s="7" t="n"/>
      <c r="AH1339" s="11" t="n"/>
      <c r="AJ1339">
        <f>IF($C1339="","",$C1339&amp;"|"&amp;$D1339&amp;"")</f>
        <v/>
      </c>
      <c r="AK1339">
        <f>IF($C1339="","",IF(COUNTIF($AJ$2:$AJ1339,$AJ1339)=1,1,0))</f>
        <v/>
      </c>
      <c r="AL1339">
        <f>IF($AK1339=1,SUMPRODUCT(--($AO$2:$AO$1501&lt;$AO1339))+1,"")</f>
        <v/>
      </c>
      <c r="AM1339">
        <f>IF($C1339="","",IF(OR($Q1339=TRUE(),$Q1339="TRUE"),1,0))</f>
        <v/>
      </c>
      <c r="AN1339">
        <f>IF($C1339="","",IF($Z1339="Yes",1,0))</f>
        <v/>
      </c>
      <c r="AO1339">
        <f>IF($AK1339=1,IFERROR(IF(VALUE($C1339)&lt;100000000,VALUE($C1339),1000000000),IFERROR(IF(VALUE(MID($C1339,2,20))&lt;100000000,VALUE(MID($C1339,2,20)),1000000000),1000000000))+ROW()/100000,"")</f>
        <v/>
      </c>
    </row>
    <row r="1340">
      <c r="F1340" s="11" t="n"/>
      <c r="N1340" s="7">
        <f>IF($C1340="","",M1340*U1340/100)</f>
        <v/>
      </c>
      <c r="T1340" s="7" t="n"/>
      <c r="U1340" s="7" t="n"/>
      <c r="V1340" s="7">
        <f>IF($C1340="","",U1340*AA1340/100)</f>
        <v/>
      </c>
      <c r="W1340" s="7">
        <f>IF($C1340="","",U1340-V1340)</f>
        <v/>
      </c>
      <c r="X1340" s="7">
        <f>IF($C1340="","",W1340-N1340)</f>
        <v/>
      </c>
      <c r="AA1340">
        <f>IF($C1340="","",IF($AN1340=1,0,IF($AM1340=1,Settings!$C$6,Settings!$C$7))*100)</f>
        <v/>
      </c>
      <c r="AE1340" s="7" t="n"/>
      <c r="AH1340" s="11" t="n"/>
      <c r="AJ1340">
        <f>IF($C1340="","",$C1340&amp;"|"&amp;$D1340&amp;"")</f>
        <v/>
      </c>
      <c r="AK1340">
        <f>IF($C1340="","",IF(COUNTIF($AJ$2:$AJ1340,$AJ1340)=1,1,0))</f>
        <v/>
      </c>
      <c r="AL1340">
        <f>IF($AK1340=1,SUMPRODUCT(--($AO$2:$AO$1501&lt;$AO1340))+1,"")</f>
        <v/>
      </c>
      <c r="AM1340">
        <f>IF($C1340="","",IF(OR($Q1340=TRUE(),$Q1340="TRUE"),1,0))</f>
        <v/>
      </c>
      <c r="AN1340">
        <f>IF($C1340="","",IF($Z1340="Yes",1,0))</f>
        <v/>
      </c>
      <c r="AO1340">
        <f>IF($AK1340=1,IFERROR(IF(VALUE($C1340)&lt;100000000,VALUE($C1340),1000000000),IFERROR(IF(VALUE(MID($C1340,2,20))&lt;100000000,VALUE(MID($C1340,2,20)),1000000000),1000000000))+ROW()/100000,"")</f>
        <v/>
      </c>
    </row>
    <row r="1341">
      <c r="F1341" s="11" t="n"/>
      <c r="N1341" s="7">
        <f>IF($C1341="","",M1341*U1341/100)</f>
        <v/>
      </c>
      <c r="T1341" s="7" t="n"/>
      <c r="U1341" s="7" t="n"/>
      <c r="V1341" s="7">
        <f>IF($C1341="","",U1341*AA1341/100)</f>
        <v/>
      </c>
      <c r="W1341" s="7">
        <f>IF($C1341="","",U1341-V1341)</f>
        <v/>
      </c>
      <c r="X1341" s="7">
        <f>IF($C1341="","",W1341-N1341)</f>
        <v/>
      </c>
      <c r="AA1341">
        <f>IF($C1341="","",IF($AN1341=1,0,IF($AM1341=1,Settings!$C$6,Settings!$C$7))*100)</f>
        <v/>
      </c>
      <c r="AE1341" s="7" t="n"/>
      <c r="AH1341" s="11" t="n"/>
      <c r="AJ1341">
        <f>IF($C1341="","",$C1341&amp;"|"&amp;$D1341&amp;"")</f>
        <v/>
      </c>
      <c r="AK1341">
        <f>IF($C1341="","",IF(COUNTIF($AJ$2:$AJ1341,$AJ1341)=1,1,0))</f>
        <v/>
      </c>
      <c r="AL1341">
        <f>IF($AK1341=1,SUMPRODUCT(--($AO$2:$AO$1501&lt;$AO1341))+1,"")</f>
        <v/>
      </c>
      <c r="AM1341">
        <f>IF($C1341="","",IF(OR($Q1341=TRUE(),$Q1341="TRUE"),1,0))</f>
        <v/>
      </c>
      <c r="AN1341">
        <f>IF($C1341="","",IF($Z1341="Yes",1,0))</f>
        <v/>
      </c>
      <c r="AO1341">
        <f>IF($AK1341=1,IFERROR(IF(VALUE($C1341)&lt;100000000,VALUE($C1341),1000000000),IFERROR(IF(VALUE(MID($C1341,2,20))&lt;100000000,VALUE(MID($C1341,2,20)),1000000000),1000000000))+ROW()/100000,"")</f>
        <v/>
      </c>
    </row>
    <row r="1342">
      <c r="F1342" s="11" t="n"/>
      <c r="N1342" s="7">
        <f>IF($C1342="","",M1342*U1342/100)</f>
        <v/>
      </c>
      <c r="T1342" s="7" t="n"/>
      <c r="U1342" s="7" t="n"/>
      <c r="V1342" s="7">
        <f>IF($C1342="","",U1342*AA1342/100)</f>
        <v/>
      </c>
      <c r="W1342" s="7">
        <f>IF($C1342="","",U1342-V1342)</f>
        <v/>
      </c>
      <c r="X1342" s="7">
        <f>IF($C1342="","",W1342-N1342)</f>
        <v/>
      </c>
      <c r="AA1342">
        <f>IF($C1342="","",IF($AN1342=1,0,IF($AM1342=1,Settings!$C$6,Settings!$C$7))*100)</f>
        <v/>
      </c>
      <c r="AE1342" s="7" t="n"/>
      <c r="AH1342" s="11" t="n"/>
      <c r="AJ1342">
        <f>IF($C1342="","",$C1342&amp;"|"&amp;$D1342&amp;"")</f>
        <v/>
      </c>
      <c r="AK1342">
        <f>IF($C1342="","",IF(COUNTIF($AJ$2:$AJ1342,$AJ1342)=1,1,0))</f>
        <v/>
      </c>
      <c r="AL1342">
        <f>IF($AK1342=1,SUMPRODUCT(--($AO$2:$AO$1501&lt;$AO1342))+1,"")</f>
        <v/>
      </c>
      <c r="AM1342">
        <f>IF($C1342="","",IF(OR($Q1342=TRUE(),$Q1342="TRUE"),1,0))</f>
        <v/>
      </c>
      <c r="AN1342">
        <f>IF($C1342="","",IF($Z1342="Yes",1,0))</f>
        <v/>
      </c>
      <c r="AO1342">
        <f>IF($AK1342=1,IFERROR(IF(VALUE($C1342)&lt;100000000,VALUE($C1342),1000000000),IFERROR(IF(VALUE(MID($C1342,2,20))&lt;100000000,VALUE(MID($C1342,2,20)),1000000000),1000000000))+ROW()/100000,"")</f>
        <v/>
      </c>
    </row>
    <row r="1343">
      <c r="F1343" s="11" t="n"/>
      <c r="N1343" s="7">
        <f>IF($C1343="","",M1343*U1343/100)</f>
        <v/>
      </c>
      <c r="T1343" s="7" t="n"/>
      <c r="U1343" s="7" t="n"/>
      <c r="V1343" s="7">
        <f>IF($C1343="","",U1343*AA1343/100)</f>
        <v/>
      </c>
      <c r="W1343" s="7">
        <f>IF($C1343="","",U1343-V1343)</f>
        <v/>
      </c>
      <c r="X1343" s="7">
        <f>IF($C1343="","",W1343-N1343)</f>
        <v/>
      </c>
      <c r="AA1343">
        <f>IF($C1343="","",IF($AN1343=1,0,IF($AM1343=1,Settings!$C$6,Settings!$C$7))*100)</f>
        <v/>
      </c>
      <c r="AE1343" s="7" t="n"/>
      <c r="AH1343" s="11" t="n"/>
      <c r="AJ1343">
        <f>IF($C1343="","",$C1343&amp;"|"&amp;$D1343&amp;"")</f>
        <v/>
      </c>
      <c r="AK1343">
        <f>IF($C1343="","",IF(COUNTIF($AJ$2:$AJ1343,$AJ1343)=1,1,0))</f>
        <v/>
      </c>
      <c r="AL1343">
        <f>IF($AK1343=1,SUMPRODUCT(--($AO$2:$AO$1501&lt;$AO1343))+1,"")</f>
        <v/>
      </c>
      <c r="AM1343">
        <f>IF($C1343="","",IF(OR($Q1343=TRUE(),$Q1343="TRUE"),1,0))</f>
        <v/>
      </c>
      <c r="AN1343">
        <f>IF($C1343="","",IF($Z1343="Yes",1,0))</f>
        <v/>
      </c>
      <c r="AO1343">
        <f>IF($AK1343=1,IFERROR(IF(VALUE($C1343)&lt;100000000,VALUE($C1343),1000000000),IFERROR(IF(VALUE(MID($C1343,2,20))&lt;100000000,VALUE(MID($C1343,2,20)),1000000000),1000000000))+ROW()/100000,"")</f>
        <v/>
      </c>
    </row>
    <row r="1344">
      <c r="F1344" s="11" t="n"/>
      <c r="N1344" s="7">
        <f>IF($C1344="","",M1344*U1344/100)</f>
        <v/>
      </c>
      <c r="T1344" s="7" t="n"/>
      <c r="U1344" s="7" t="n"/>
      <c r="V1344" s="7">
        <f>IF($C1344="","",U1344*AA1344/100)</f>
        <v/>
      </c>
      <c r="W1344" s="7">
        <f>IF($C1344="","",U1344-V1344)</f>
        <v/>
      </c>
      <c r="X1344" s="7">
        <f>IF($C1344="","",W1344-N1344)</f>
        <v/>
      </c>
      <c r="AA1344">
        <f>IF($C1344="","",IF($AN1344=1,0,IF($AM1344=1,Settings!$C$6,Settings!$C$7))*100)</f>
        <v/>
      </c>
      <c r="AE1344" s="7" t="n"/>
      <c r="AH1344" s="11" t="n"/>
      <c r="AJ1344">
        <f>IF($C1344="","",$C1344&amp;"|"&amp;$D1344&amp;"")</f>
        <v/>
      </c>
      <c r="AK1344">
        <f>IF($C1344="","",IF(COUNTIF($AJ$2:$AJ1344,$AJ1344)=1,1,0))</f>
        <v/>
      </c>
      <c r="AL1344">
        <f>IF($AK1344=1,SUMPRODUCT(--($AO$2:$AO$1501&lt;$AO1344))+1,"")</f>
        <v/>
      </c>
      <c r="AM1344">
        <f>IF($C1344="","",IF(OR($Q1344=TRUE(),$Q1344="TRUE"),1,0))</f>
        <v/>
      </c>
      <c r="AN1344">
        <f>IF($C1344="","",IF($Z1344="Yes",1,0))</f>
        <v/>
      </c>
      <c r="AO1344">
        <f>IF($AK1344=1,IFERROR(IF(VALUE($C1344)&lt;100000000,VALUE($C1344),1000000000),IFERROR(IF(VALUE(MID($C1344,2,20))&lt;100000000,VALUE(MID($C1344,2,20)),1000000000),1000000000))+ROW()/100000,"")</f>
        <v/>
      </c>
    </row>
    <row r="1345">
      <c r="F1345" s="11" t="n"/>
      <c r="N1345" s="7">
        <f>IF($C1345="","",M1345*U1345/100)</f>
        <v/>
      </c>
      <c r="T1345" s="7" t="n"/>
      <c r="U1345" s="7" t="n"/>
      <c r="V1345" s="7">
        <f>IF($C1345="","",U1345*AA1345/100)</f>
        <v/>
      </c>
      <c r="W1345" s="7">
        <f>IF($C1345="","",U1345-V1345)</f>
        <v/>
      </c>
      <c r="X1345" s="7">
        <f>IF($C1345="","",W1345-N1345)</f>
        <v/>
      </c>
      <c r="AA1345">
        <f>IF($C1345="","",IF($AN1345=1,0,IF($AM1345=1,Settings!$C$6,Settings!$C$7))*100)</f>
        <v/>
      </c>
      <c r="AE1345" s="7" t="n"/>
      <c r="AH1345" s="11" t="n"/>
      <c r="AJ1345">
        <f>IF($C1345="","",$C1345&amp;"|"&amp;$D1345&amp;"")</f>
        <v/>
      </c>
      <c r="AK1345">
        <f>IF($C1345="","",IF(COUNTIF($AJ$2:$AJ1345,$AJ1345)=1,1,0))</f>
        <v/>
      </c>
      <c r="AL1345">
        <f>IF($AK1345=1,SUMPRODUCT(--($AO$2:$AO$1501&lt;$AO1345))+1,"")</f>
        <v/>
      </c>
      <c r="AM1345">
        <f>IF($C1345="","",IF(OR($Q1345=TRUE(),$Q1345="TRUE"),1,0))</f>
        <v/>
      </c>
      <c r="AN1345">
        <f>IF($C1345="","",IF($Z1345="Yes",1,0))</f>
        <v/>
      </c>
      <c r="AO1345">
        <f>IF($AK1345=1,IFERROR(IF(VALUE($C1345)&lt;100000000,VALUE($C1345),1000000000),IFERROR(IF(VALUE(MID($C1345,2,20))&lt;100000000,VALUE(MID($C1345,2,20)),1000000000),1000000000))+ROW()/100000,"")</f>
        <v/>
      </c>
    </row>
    <row r="1346">
      <c r="F1346" s="11" t="n"/>
      <c r="N1346" s="7">
        <f>IF($C1346="","",M1346*U1346/100)</f>
        <v/>
      </c>
      <c r="T1346" s="7" t="n"/>
      <c r="U1346" s="7" t="n"/>
      <c r="V1346" s="7">
        <f>IF($C1346="","",U1346*AA1346/100)</f>
        <v/>
      </c>
      <c r="W1346" s="7">
        <f>IF($C1346="","",U1346-V1346)</f>
        <v/>
      </c>
      <c r="X1346" s="7">
        <f>IF($C1346="","",W1346-N1346)</f>
        <v/>
      </c>
      <c r="AA1346">
        <f>IF($C1346="","",IF($AN1346=1,0,IF($AM1346=1,Settings!$C$6,Settings!$C$7))*100)</f>
        <v/>
      </c>
      <c r="AE1346" s="7" t="n"/>
      <c r="AH1346" s="11" t="n"/>
      <c r="AJ1346">
        <f>IF($C1346="","",$C1346&amp;"|"&amp;$D1346&amp;"")</f>
        <v/>
      </c>
      <c r="AK1346">
        <f>IF($C1346="","",IF(COUNTIF($AJ$2:$AJ1346,$AJ1346)=1,1,0))</f>
        <v/>
      </c>
      <c r="AL1346">
        <f>IF($AK1346=1,SUMPRODUCT(--($AO$2:$AO$1501&lt;$AO1346))+1,"")</f>
        <v/>
      </c>
      <c r="AM1346">
        <f>IF($C1346="","",IF(OR($Q1346=TRUE(),$Q1346="TRUE"),1,0))</f>
        <v/>
      </c>
      <c r="AN1346">
        <f>IF($C1346="","",IF($Z1346="Yes",1,0))</f>
        <v/>
      </c>
      <c r="AO1346">
        <f>IF($AK1346=1,IFERROR(IF(VALUE($C1346)&lt;100000000,VALUE($C1346),1000000000),IFERROR(IF(VALUE(MID($C1346,2,20))&lt;100000000,VALUE(MID($C1346,2,20)),1000000000),1000000000))+ROW()/100000,"")</f>
        <v/>
      </c>
    </row>
    <row r="1347">
      <c r="F1347" s="11" t="n"/>
      <c r="N1347" s="7">
        <f>IF($C1347="","",M1347*U1347/100)</f>
        <v/>
      </c>
      <c r="T1347" s="7" t="n"/>
      <c r="U1347" s="7" t="n"/>
      <c r="V1347" s="7">
        <f>IF($C1347="","",U1347*AA1347/100)</f>
        <v/>
      </c>
      <c r="W1347" s="7">
        <f>IF($C1347="","",U1347-V1347)</f>
        <v/>
      </c>
      <c r="X1347" s="7">
        <f>IF($C1347="","",W1347-N1347)</f>
        <v/>
      </c>
      <c r="AA1347">
        <f>IF($C1347="","",IF($AN1347=1,0,IF($AM1347=1,Settings!$C$6,Settings!$C$7))*100)</f>
        <v/>
      </c>
      <c r="AE1347" s="7" t="n"/>
      <c r="AH1347" s="11" t="n"/>
      <c r="AJ1347">
        <f>IF($C1347="","",$C1347&amp;"|"&amp;$D1347&amp;"")</f>
        <v/>
      </c>
      <c r="AK1347">
        <f>IF($C1347="","",IF(COUNTIF($AJ$2:$AJ1347,$AJ1347)=1,1,0))</f>
        <v/>
      </c>
      <c r="AL1347">
        <f>IF($AK1347=1,SUMPRODUCT(--($AO$2:$AO$1501&lt;$AO1347))+1,"")</f>
        <v/>
      </c>
      <c r="AM1347">
        <f>IF($C1347="","",IF(OR($Q1347=TRUE(),$Q1347="TRUE"),1,0))</f>
        <v/>
      </c>
      <c r="AN1347">
        <f>IF($C1347="","",IF($Z1347="Yes",1,0))</f>
        <v/>
      </c>
      <c r="AO1347">
        <f>IF($AK1347=1,IFERROR(IF(VALUE($C1347)&lt;100000000,VALUE($C1347),1000000000),IFERROR(IF(VALUE(MID($C1347,2,20))&lt;100000000,VALUE(MID($C1347,2,20)),1000000000),1000000000))+ROW()/100000,"")</f>
        <v/>
      </c>
    </row>
    <row r="1348">
      <c r="F1348" s="11" t="n"/>
      <c r="N1348" s="7">
        <f>IF($C1348="","",M1348*U1348/100)</f>
        <v/>
      </c>
      <c r="T1348" s="7" t="n"/>
      <c r="U1348" s="7" t="n"/>
      <c r="V1348" s="7">
        <f>IF($C1348="","",U1348*AA1348/100)</f>
        <v/>
      </c>
      <c r="W1348" s="7">
        <f>IF($C1348="","",U1348-V1348)</f>
        <v/>
      </c>
      <c r="X1348" s="7">
        <f>IF($C1348="","",W1348-N1348)</f>
        <v/>
      </c>
      <c r="AA1348">
        <f>IF($C1348="","",IF($AN1348=1,0,IF($AM1348=1,Settings!$C$6,Settings!$C$7))*100)</f>
        <v/>
      </c>
      <c r="AE1348" s="7" t="n"/>
      <c r="AH1348" s="11" t="n"/>
      <c r="AJ1348">
        <f>IF($C1348="","",$C1348&amp;"|"&amp;$D1348&amp;"")</f>
        <v/>
      </c>
      <c r="AK1348">
        <f>IF($C1348="","",IF(COUNTIF($AJ$2:$AJ1348,$AJ1348)=1,1,0))</f>
        <v/>
      </c>
      <c r="AL1348">
        <f>IF($AK1348=1,SUMPRODUCT(--($AO$2:$AO$1501&lt;$AO1348))+1,"")</f>
        <v/>
      </c>
      <c r="AM1348">
        <f>IF($C1348="","",IF(OR($Q1348=TRUE(),$Q1348="TRUE"),1,0))</f>
        <v/>
      </c>
      <c r="AN1348">
        <f>IF($C1348="","",IF($Z1348="Yes",1,0))</f>
        <v/>
      </c>
      <c r="AO1348">
        <f>IF($AK1348=1,IFERROR(IF(VALUE($C1348)&lt;100000000,VALUE($C1348),1000000000),IFERROR(IF(VALUE(MID($C1348,2,20))&lt;100000000,VALUE(MID($C1348,2,20)),1000000000),1000000000))+ROW()/100000,"")</f>
        <v/>
      </c>
    </row>
    <row r="1349">
      <c r="F1349" s="11" t="n"/>
      <c r="N1349" s="7">
        <f>IF($C1349="","",M1349*U1349/100)</f>
        <v/>
      </c>
      <c r="T1349" s="7" t="n"/>
      <c r="U1349" s="7" t="n"/>
      <c r="V1349" s="7">
        <f>IF($C1349="","",U1349*AA1349/100)</f>
        <v/>
      </c>
      <c r="W1349" s="7">
        <f>IF($C1349="","",U1349-V1349)</f>
        <v/>
      </c>
      <c r="X1349" s="7">
        <f>IF($C1349="","",W1349-N1349)</f>
        <v/>
      </c>
      <c r="AA1349">
        <f>IF($C1349="","",IF($AN1349=1,0,IF($AM1349=1,Settings!$C$6,Settings!$C$7))*100)</f>
        <v/>
      </c>
      <c r="AE1349" s="7" t="n"/>
      <c r="AH1349" s="11" t="n"/>
      <c r="AJ1349">
        <f>IF($C1349="","",$C1349&amp;"|"&amp;$D1349&amp;"")</f>
        <v/>
      </c>
      <c r="AK1349">
        <f>IF($C1349="","",IF(COUNTIF($AJ$2:$AJ1349,$AJ1349)=1,1,0))</f>
        <v/>
      </c>
      <c r="AL1349">
        <f>IF($AK1349=1,SUMPRODUCT(--($AO$2:$AO$1501&lt;$AO1349))+1,"")</f>
        <v/>
      </c>
      <c r="AM1349">
        <f>IF($C1349="","",IF(OR($Q1349=TRUE(),$Q1349="TRUE"),1,0))</f>
        <v/>
      </c>
      <c r="AN1349">
        <f>IF($C1349="","",IF($Z1349="Yes",1,0))</f>
        <v/>
      </c>
      <c r="AO1349">
        <f>IF($AK1349=1,IFERROR(IF(VALUE($C1349)&lt;100000000,VALUE($C1349),1000000000),IFERROR(IF(VALUE(MID($C1349,2,20))&lt;100000000,VALUE(MID($C1349,2,20)),1000000000),1000000000))+ROW()/100000,"")</f>
        <v/>
      </c>
    </row>
    <row r="1350">
      <c r="F1350" s="11" t="n"/>
      <c r="N1350" s="7">
        <f>IF($C1350="","",M1350*U1350/100)</f>
        <v/>
      </c>
      <c r="T1350" s="7" t="n"/>
      <c r="U1350" s="7" t="n"/>
      <c r="V1350" s="7">
        <f>IF($C1350="","",U1350*AA1350/100)</f>
        <v/>
      </c>
      <c r="W1350" s="7">
        <f>IF($C1350="","",U1350-V1350)</f>
        <v/>
      </c>
      <c r="X1350" s="7">
        <f>IF($C1350="","",W1350-N1350)</f>
        <v/>
      </c>
      <c r="AA1350">
        <f>IF($C1350="","",IF($AN1350=1,0,IF($AM1350=1,Settings!$C$6,Settings!$C$7))*100)</f>
        <v/>
      </c>
      <c r="AE1350" s="7" t="n"/>
      <c r="AH1350" s="11" t="n"/>
      <c r="AJ1350">
        <f>IF($C1350="","",$C1350&amp;"|"&amp;$D1350&amp;"")</f>
        <v/>
      </c>
      <c r="AK1350">
        <f>IF($C1350="","",IF(COUNTIF($AJ$2:$AJ1350,$AJ1350)=1,1,0))</f>
        <v/>
      </c>
      <c r="AL1350">
        <f>IF($AK1350=1,SUMPRODUCT(--($AO$2:$AO$1501&lt;$AO1350))+1,"")</f>
        <v/>
      </c>
      <c r="AM1350">
        <f>IF($C1350="","",IF(OR($Q1350=TRUE(),$Q1350="TRUE"),1,0))</f>
        <v/>
      </c>
      <c r="AN1350">
        <f>IF($C1350="","",IF($Z1350="Yes",1,0))</f>
        <v/>
      </c>
      <c r="AO1350">
        <f>IF($AK1350=1,IFERROR(IF(VALUE($C1350)&lt;100000000,VALUE($C1350),1000000000),IFERROR(IF(VALUE(MID($C1350,2,20))&lt;100000000,VALUE(MID($C1350,2,20)),1000000000),1000000000))+ROW()/100000,"")</f>
        <v/>
      </c>
    </row>
    <row r="1351">
      <c r="F1351" s="11" t="n"/>
      <c r="N1351" s="7">
        <f>IF($C1351="","",M1351*U1351/100)</f>
        <v/>
      </c>
      <c r="T1351" s="7" t="n"/>
      <c r="U1351" s="7" t="n"/>
      <c r="V1351" s="7">
        <f>IF($C1351="","",U1351*AA1351/100)</f>
        <v/>
      </c>
      <c r="W1351" s="7">
        <f>IF($C1351="","",U1351-V1351)</f>
        <v/>
      </c>
      <c r="X1351" s="7">
        <f>IF($C1351="","",W1351-N1351)</f>
        <v/>
      </c>
      <c r="AA1351">
        <f>IF($C1351="","",IF($AN1351=1,0,IF($AM1351=1,Settings!$C$6,Settings!$C$7))*100)</f>
        <v/>
      </c>
      <c r="AE1351" s="7" t="n"/>
      <c r="AH1351" s="11" t="n"/>
      <c r="AJ1351">
        <f>IF($C1351="","",$C1351&amp;"|"&amp;$D1351&amp;"")</f>
        <v/>
      </c>
      <c r="AK1351">
        <f>IF($C1351="","",IF(COUNTIF($AJ$2:$AJ1351,$AJ1351)=1,1,0))</f>
        <v/>
      </c>
      <c r="AL1351">
        <f>IF($AK1351=1,SUMPRODUCT(--($AO$2:$AO$1501&lt;$AO1351))+1,"")</f>
        <v/>
      </c>
      <c r="AM1351">
        <f>IF($C1351="","",IF(OR($Q1351=TRUE(),$Q1351="TRUE"),1,0))</f>
        <v/>
      </c>
      <c r="AN1351">
        <f>IF($C1351="","",IF($Z1351="Yes",1,0))</f>
        <v/>
      </c>
      <c r="AO1351">
        <f>IF($AK1351=1,IFERROR(IF(VALUE($C1351)&lt;100000000,VALUE($C1351),1000000000),IFERROR(IF(VALUE(MID($C1351,2,20))&lt;100000000,VALUE(MID($C1351,2,20)),1000000000),1000000000))+ROW()/100000,"")</f>
        <v/>
      </c>
    </row>
    <row r="1352">
      <c r="F1352" s="11" t="n"/>
      <c r="N1352" s="7">
        <f>IF($C1352="","",M1352*U1352/100)</f>
        <v/>
      </c>
      <c r="T1352" s="7" t="n"/>
      <c r="U1352" s="7" t="n"/>
      <c r="V1352" s="7">
        <f>IF($C1352="","",U1352*AA1352/100)</f>
        <v/>
      </c>
      <c r="W1352" s="7">
        <f>IF($C1352="","",U1352-V1352)</f>
        <v/>
      </c>
      <c r="X1352" s="7">
        <f>IF($C1352="","",W1352-N1352)</f>
        <v/>
      </c>
      <c r="AA1352">
        <f>IF($C1352="","",IF($AN1352=1,0,IF($AM1352=1,Settings!$C$6,Settings!$C$7))*100)</f>
        <v/>
      </c>
      <c r="AE1352" s="7" t="n"/>
      <c r="AH1352" s="11" t="n"/>
      <c r="AJ1352">
        <f>IF($C1352="","",$C1352&amp;"|"&amp;$D1352&amp;"")</f>
        <v/>
      </c>
      <c r="AK1352">
        <f>IF($C1352="","",IF(COUNTIF($AJ$2:$AJ1352,$AJ1352)=1,1,0))</f>
        <v/>
      </c>
      <c r="AL1352">
        <f>IF($AK1352=1,SUMPRODUCT(--($AO$2:$AO$1501&lt;$AO1352))+1,"")</f>
        <v/>
      </c>
      <c r="AM1352">
        <f>IF($C1352="","",IF(OR($Q1352=TRUE(),$Q1352="TRUE"),1,0))</f>
        <v/>
      </c>
      <c r="AN1352">
        <f>IF($C1352="","",IF($Z1352="Yes",1,0))</f>
        <v/>
      </c>
      <c r="AO1352">
        <f>IF($AK1352=1,IFERROR(IF(VALUE($C1352)&lt;100000000,VALUE($C1352),1000000000),IFERROR(IF(VALUE(MID($C1352,2,20))&lt;100000000,VALUE(MID($C1352,2,20)),1000000000),1000000000))+ROW()/100000,"")</f>
        <v/>
      </c>
    </row>
    <row r="1353">
      <c r="F1353" s="11" t="n"/>
      <c r="N1353" s="7">
        <f>IF($C1353="","",M1353*U1353/100)</f>
        <v/>
      </c>
      <c r="T1353" s="7" t="n"/>
      <c r="U1353" s="7" t="n"/>
      <c r="V1353" s="7">
        <f>IF($C1353="","",U1353*AA1353/100)</f>
        <v/>
      </c>
      <c r="W1353" s="7">
        <f>IF($C1353="","",U1353-V1353)</f>
        <v/>
      </c>
      <c r="X1353" s="7">
        <f>IF($C1353="","",W1353-N1353)</f>
        <v/>
      </c>
      <c r="AA1353">
        <f>IF($C1353="","",IF($AN1353=1,0,IF($AM1353=1,Settings!$C$6,Settings!$C$7))*100)</f>
        <v/>
      </c>
      <c r="AE1353" s="7" t="n"/>
      <c r="AH1353" s="11" t="n"/>
      <c r="AJ1353">
        <f>IF($C1353="","",$C1353&amp;"|"&amp;$D1353&amp;"")</f>
        <v/>
      </c>
      <c r="AK1353">
        <f>IF($C1353="","",IF(COUNTIF($AJ$2:$AJ1353,$AJ1353)=1,1,0))</f>
        <v/>
      </c>
      <c r="AL1353">
        <f>IF($AK1353=1,SUMPRODUCT(--($AO$2:$AO$1501&lt;$AO1353))+1,"")</f>
        <v/>
      </c>
      <c r="AM1353">
        <f>IF($C1353="","",IF(OR($Q1353=TRUE(),$Q1353="TRUE"),1,0))</f>
        <v/>
      </c>
      <c r="AN1353">
        <f>IF($C1353="","",IF($Z1353="Yes",1,0))</f>
        <v/>
      </c>
      <c r="AO1353">
        <f>IF($AK1353=1,IFERROR(IF(VALUE($C1353)&lt;100000000,VALUE($C1353),1000000000),IFERROR(IF(VALUE(MID($C1353,2,20))&lt;100000000,VALUE(MID($C1353,2,20)),1000000000),1000000000))+ROW()/100000,"")</f>
        <v/>
      </c>
    </row>
    <row r="1354">
      <c r="F1354" s="11" t="n"/>
      <c r="N1354" s="7">
        <f>IF($C1354="","",M1354*U1354/100)</f>
        <v/>
      </c>
      <c r="T1354" s="7" t="n"/>
      <c r="U1354" s="7" t="n"/>
      <c r="V1354" s="7">
        <f>IF($C1354="","",U1354*AA1354/100)</f>
        <v/>
      </c>
      <c r="W1354" s="7">
        <f>IF($C1354="","",U1354-V1354)</f>
        <v/>
      </c>
      <c r="X1354" s="7">
        <f>IF($C1354="","",W1354-N1354)</f>
        <v/>
      </c>
      <c r="AA1354">
        <f>IF($C1354="","",IF($AN1354=1,0,IF($AM1354=1,Settings!$C$6,Settings!$C$7))*100)</f>
        <v/>
      </c>
      <c r="AE1354" s="7" t="n"/>
      <c r="AH1354" s="11" t="n"/>
      <c r="AJ1354">
        <f>IF($C1354="","",$C1354&amp;"|"&amp;$D1354&amp;"")</f>
        <v/>
      </c>
      <c r="AK1354">
        <f>IF($C1354="","",IF(COUNTIF($AJ$2:$AJ1354,$AJ1354)=1,1,0))</f>
        <v/>
      </c>
      <c r="AL1354">
        <f>IF($AK1354=1,SUMPRODUCT(--($AO$2:$AO$1501&lt;$AO1354))+1,"")</f>
        <v/>
      </c>
      <c r="AM1354">
        <f>IF($C1354="","",IF(OR($Q1354=TRUE(),$Q1354="TRUE"),1,0))</f>
        <v/>
      </c>
      <c r="AN1354">
        <f>IF($C1354="","",IF($Z1354="Yes",1,0))</f>
        <v/>
      </c>
      <c r="AO1354">
        <f>IF($AK1354=1,IFERROR(IF(VALUE($C1354)&lt;100000000,VALUE($C1354),1000000000),IFERROR(IF(VALUE(MID($C1354,2,20))&lt;100000000,VALUE(MID($C1354,2,20)),1000000000),1000000000))+ROW()/100000,"")</f>
        <v/>
      </c>
    </row>
    <row r="1355">
      <c r="F1355" s="11" t="n"/>
      <c r="N1355" s="7">
        <f>IF($C1355="","",M1355*U1355/100)</f>
        <v/>
      </c>
      <c r="T1355" s="7" t="n"/>
      <c r="U1355" s="7" t="n"/>
      <c r="V1355" s="7">
        <f>IF($C1355="","",U1355*AA1355/100)</f>
        <v/>
      </c>
      <c r="W1355" s="7">
        <f>IF($C1355="","",U1355-V1355)</f>
        <v/>
      </c>
      <c r="X1355" s="7">
        <f>IF($C1355="","",W1355-N1355)</f>
        <v/>
      </c>
      <c r="AA1355">
        <f>IF($C1355="","",IF($AN1355=1,0,IF($AM1355=1,Settings!$C$6,Settings!$C$7))*100)</f>
        <v/>
      </c>
      <c r="AE1355" s="7" t="n"/>
      <c r="AH1355" s="11" t="n"/>
      <c r="AJ1355">
        <f>IF($C1355="","",$C1355&amp;"|"&amp;$D1355&amp;"")</f>
        <v/>
      </c>
      <c r="AK1355">
        <f>IF($C1355="","",IF(COUNTIF($AJ$2:$AJ1355,$AJ1355)=1,1,0))</f>
        <v/>
      </c>
      <c r="AL1355">
        <f>IF($AK1355=1,SUMPRODUCT(--($AO$2:$AO$1501&lt;$AO1355))+1,"")</f>
        <v/>
      </c>
      <c r="AM1355">
        <f>IF($C1355="","",IF(OR($Q1355=TRUE(),$Q1355="TRUE"),1,0))</f>
        <v/>
      </c>
      <c r="AN1355">
        <f>IF($C1355="","",IF($Z1355="Yes",1,0))</f>
        <v/>
      </c>
      <c r="AO1355">
        <f>IF($AK1355=1,IFERROR(IF(VALUE($C1355)&lt;100000000,VALUE($C1355),1000000000),IFERROR(IF(VALUE(MID($C1355,2,20))&lt;100000000,VALUE(MID($C1355,2,20)),1000000000),1000000000))+ROW()/100000,"")</f>
        <v/>
      </c>
    </row>
    <row r="1356">
      <c r="F1356" s="11" t="n"/>
      <c r="N1356" s="7">
        <f>IF($C1356="","",M1356*U1356/100)</f>
        <v/>
      </c>
      <c r="T1356" s="7" t="n"/>
      <c r="U1356" s="7" t="n"/>
      <c r="V1356" s="7">
        <f>IF($C1356="","",U1356*AA1356/100)</f>
        <v/>
      </c>
      <c r="W1356" s="7">
        <f>IF($C1356="","",U1356-V1356)</f>
        <v/>
      </c>
      <c r="X1356" s="7">
        <f>IF($C1356="","",W1356-N1356)</f>
        <v/>
      </c>
      <c r="AA1356">
        <f>IF($C1356="","",IF($AN1356=1,0,IF($AM1356=1,Settings!$C$6,Settings!$C$7))*100)</f>
        <v/>
      </c>
      <c r="AE1356" s="7" t="n"/>
      <c r="AH1356" s="11" t="n"/>
      <c r="AJ1356">
        <f>IF($C1356="","",$C1356&amp;"|"&amp;$D1356&amp;"")</f>
        <v/>
      </c>
      <c r="AK1356">
        <f>IF($C1356="","",IF(COUNTIF($AJ$2:$AJ1356,$AJ1356)=1,1,0))</f>
        <v/>
      </c>
      <c r="AL1356">
        <f>IF($AK1356=1,SUMPRODUCT(--($AO$2:$AO$1501&lt;$AO1356))+1,"")</f>
        <v/>
      </c>
      <c r="AM1356">
        <f>IF($C1356="","",IF(OR($Q1356=TRUE(),$Q1356="TRUE"),1,0))</f>
        <v/>
      </c>
      <c r="AN1356">
        <f>IF($C1356="","",IF($Z1356="Yes",1,0))</f>
        <v/>
      </c>
      <c r="AO1356">
        <f>IF($AK1356=1,IFERROR(IF(VALUE($C1356)&lt;100000000,VALUE($C1356),1000000000),IFERROR(IF(VALUE(MID($C1356,2,20))&lt;100000000,VALUE(MID($C1356,2,20)),1000000000),1000000000))+ROW()/100000,"")</f>
        <v/>
      </c>
    </row>
    <row r="1357">
      <c r="F1357" s="11" t="n"/>
      <c r="N1357" s="7">
        <f>IF($C1357="","",M1357*U1357/100)</f>
        <v/>
      </c>
      <c r="T1357" s="7" t="n"/>
      <c r="U1357" s="7" t="n"/>
      <c r="V1357" s="7">
        <f>IF($C1357="","",U1357*AA1357/100)</f>
        <v/>
      </c>
      <c r="W1357" s="7">
        <f>IF($C1357="","",U1357-V1357)</f>
        <v/>
      </c>
      <c r="X1357" s="7">
        <f>IF($C1357="","",W1357-N1357)</f>
        <v/>
      </c>
      <c r="AA1357">
        <f>IF($C1357="","",IF($AN1357=1,0,IF($AM1357=1,Settings!$C$6,Settings!$C$7))*100)</f>
        <v/>
      </c>
      <c r="AE1357" s="7" t="n"/>
      <c r="AH1357" s="11" t="n"/>
      <c r="AJ1357">
        <f>IF($C1357="","",$C1357&amp;"|"&amp;$D1357&amp;"")</f>
        <v/>
      </c>
      <c r="AK1357">
        <f>IF($C1357="","",IF(COUNTIF($AJ$2:$AJ1357,$AJ1357)=1,1,0))</f>
        <v/>
      </c>
      <c r="AL1357">
        <f>IF($AK1357=1,SUMPRODUCT(--($AO$2:$AO$1501&lt;$AO1357))+1,"")</f>
        <v/>
      </c>
      <c r="AM1357">
        <f>IF($C1357="","",IF(OR($Q1357=TRUE(),$Q1357="TRUE"),1,0))</f>
        <v/>
      </c>
      <c r="AN1357">
        <f>IF($C1357="","",IF($Z1357="Yes",1,0))</f>
        <v/>
      </c>
      <c r="AO1357">
        <f>IF($AK1357=1,IFERROR(IF(VALUE($C1357)&lt;100000000,VALUE($C1357),1000000000),IFERROR(IF(VALUE(MID($C1357,2,20))&lt;100000000,VALUE(MID($C1357,2,20)),1000000000),1000000000))+ROW()/100000,"")</f>
        <v/>
      </c>
    </row>
    <row r="1358">
      <c r="F1358" s="11" t="n"/>
      <c r="N1358" s="7">
        <f>IF($C1358="","",M1358*U1358/100)</f>
        <v/>
      </c>
      <c r="T1358" s="7" t="n"/>
      <c r="U1358" s="7" t="n"/>
      <c r="V1358" s="7">
        <f>IF($C1358="","",U1358*AA1358/100)</f>
        <v/>
      </c>
      <c r="W1358" s="7">
        <f>IF($C1358="","",U1358-V1358)</f>
        <v/>
      </c>
      <c r="X1358" s="7">
        <f>IF($C1358="","",W1358-N1358)</f>
        <v/>
      </c>
      <c r="AA1358">
        <f>IF($C1358="","",IF($AN1358=1,0,IF($AM1358=1,Settings!$C$6,Settings!$C$7))*100)</f>
        <v/>
      </c>
      <c r="AE1358" s="7" t="n"/>
      <c r="AH1358" s="11" t="n"/>
      <c r="AJ1358">
        <f>IF($C1358="","",$C1358&amp;"|"&amp;$D1358&amp;"")</f>
        <v/>
      </c>
      <c r="AK1358">
        <f>IF($C1358="","",IF(COUNTIF($AJ$2:$AJ1358,$AJ1358)=1,1,0))</f>
        <v/>
      </c>
      <c r="AL1358">
        <f>IF($AK1358=1,SUMPRODUCT(--($AO$2:$AO$1501&lt;$AO1358))+1,"")</f>
        <v/>
      </c>
      <c r="AM1358">
        <f>IF($C1358="","",IF(OR($Q1358=TRUE(),$Q1358="TRUE"),1,0))</f>
        <v/>
      </c>
      <c r="AN1358">
        <f>IF($C1358="","",IF($Z1358="Yes",1,0))</f>
        <v/>
      </c>
      <c r="AO1358">
        <f>IF($AK1358=1,IFERROR(IF(VALUE($C1358)&lt;100000000,VALUE($C1358),1000000000),IFERROR(IF(VALUE(MID($C1358,2,20))&lt;100000000,VALUE(MID($C1358,2,20)),1000000000),1000000000))+ROW()/100000,"")</f>
        <v/>
      </c>
    </row>
    <row r="1359">
      <c r="F1359" s="11" t="n"/>
      <c r="N1359" s="7">
        <f>IF($C1359="","",M1359*U1359/100)</f>
        <v/>
      </c>
      <c r="T1359" s="7" t="n"/>
      <c r="U1359" s="7" t="n"/>
      <c r="V1359" s="7">
        <f>IF($C1359="","",U1359*AA1359/100)</f>
        <v/>
      </c>
      <c r="W1359" s="7">
        <f>IF($C1359="","",U1359-V1359)</f>
        <v/>
      </c>
      <c r="X1359" s="7">
        <f>IF($C1359="","",W1359-N1359)</f>
        <v/>
      </c>
      <c r="AA1359">
        <f>IF($C1359="","",IF($AN1359=1,0,IF($AM1359=1,Settings!$C$6,Settings!$C$7))*100)</f>
        <v/>
      </c>
      <c r="AE1359" s="7" t="n"/>
      <c r="AH1359" s="11" t="n"/>
      <c r="AJ1359">
        <f>IF($C1359="","",$C1359&amp;"|"&amp;$D1359&amp;"")</f>
        <v/>
      </c>
      <c r="AK1359">
        <f>IF($C1359="","",IF(COUNTIF($AJ$2:$AJ1359,$AJ1359)=1,1,0))</f>
        <v/>
      </c>
      <c r="AL1359">
        <f>IF($AK1359=1,SUMPRODUCT(--($AO$2:$AO$1501&lt;$AO1359))+1,"")</f>
        <v/>
      </c>
      <c r="AM1359">
        <f>IF($C1359="","",IF(OR($Q1359=TRUE(),$Q1359="TRUE"),1,0))</f>
        <v/>
      </c>
      <c r="AN1359">
        <f>IF($C1359="","",IF($Z1359="Yes",1,0))</f>
        <v/>
      </c>
      <c r="AO1359">
        <f>IF($AK1359=1,IFERROR(IF(VALUE($C1359)&lt;100000000,VALUE($C1359),1000000000),IFERROR(IF(VALUE(MID($C1359,2,20))&lt;100000000,VALUE(MID($C1359,2,20)),1000000000),1000000000))+ROW()/100000,"")</f>
        <v/>
      </c>
    </row>
    <row r="1360">
      <c r="F1360" s="11" t="n"/>
      <c r="N1360" s="7">
        <f>IF($C1360="","",M1360*U1360/100)</f>
        <v/>
      </c>
      <c r="T1360" s="7" t="n"/>
      <c r="U1360" s="7" t="n"/>
      <c r="V1360" s="7">
        <f>IF($C1360="","",U1360*AA1360/100)</f>
        <v/>
      </c>
      <c r="W1360" s="7">
        <f>IF($C1360="","",U1360-V1360)</f>
        <v/>
      </c>
      <c r="X1360" s="7">
        <f>IF($C1360="","",W1360-N1360)</f>
        <v/>
      </c>
      <c r="AA1360">
        <f>IF($C1360="","",IF($AN1360=1,0,IF($AM1360=1,Settings!$C$6,Settings!$C$7))*100)</f>
        <v/>
      </c>
      <c r="AE1360" s="7" t="n"/>
      <c r="AH1360" s="11" t="n"/>
      <c r="AJ1360">
        <f>IF($C1360="","",$C1360&amp;"|"&amp;$D1360&amp;"")</f>
        <v/>
      </c>
      <c r="AK1360">
        <f>IF($C1360="","",IF(COUNTIF($AJ$2:$AJ1360,$AJ1360)=1,1,0))</f>
        <v/>
      </c>
      <c r="AL1360">
        <f>IF($AK1360=1,SUMPRODUCT(--($AO$2:$AO$1501&lt;$AO1360))+1,"")</f>
        <v/>
      </c>
      <c r="AM1360">
        <f>IF($C1360="","",IF(OR($Q1360=TRUE(),$Q1360="TRUE"),1,0))</f>
        <v/>
      </c>
      <c r="AN1360">
        <f>IF($C1360="","",IF($Z1360="Yes",1,0))</f>
        <v/>
      </c>
      <c r="AO1360">
        <f>IF($AK1360=1,IFERROR(IF(VALUE($C1360)&lt;100000000,VALUE($C1360),1000000000),IFERROR(IF(VALUE(MID($C1360,2,20))&lt;100000000,VALUE(MID($C1360,2,20)),1000000000),1000000000))+ROW()/100000,"")</f>
        <v/>
      </c>
    </row>
    <row r="1361">
      <c r="F1361" s="11" t="n"/>
      <c r="N1361" s="7">
        <f>IF($C1361="","",M1361*U1361/100)</f>
        <v/>
      </c>
      <c r="T1361" s="7" t="n"/>
      <c r="U1361" s="7" t="n"/>
      <c r="V1361" s="7">
        <f>IF($C1361="","",U1361*AA1361/100)</f>
        <v/>
      </c>
      <c r="W1361" s="7">
        <f>IF($C1361="","",U1361-V1361)</f>
        <v/>
      </c>
      <c r="X1361" s="7">
        <f>IF($C1361="","",W1361-N1361)</f>
        <v/>
      </c>
      <c r="AA1361">
        <f>IF($C1361="","",IF($AN1361=1,0,IF($AM1361=1,Settings!$C$6,Settings!$C$7))*100)</f>
        <v/>
      </c>
      <c r="AE1361" s="7" t="n"/>
      <c r="AH1361" s="11" t="n"/>
      <c r="AJ1361">
        <f>IF($C1361="","",$C1361&amp;"|"&amp;$D1361&amp;"")</f>
        <v/>
      </c>
      <c r="AK1361">
        <f>IF($C1361="","",IF(COUNTIF($AJ$2:$AJ1361,$AJ1361)=1,1,0))</f>
        <v/>
      </c>
      <c r="AL1361">
        <f>IF($AK1361=1,SUMPRODUCT(--($AO$2:$AO$1501&lt;$AO1361))+1,"")</f>
        <v/>
      </c>
      <c r="AM1361">
        <f>IF($C1361="","",IF(OR($Q1361=TRUE(),$Q1361="TRUE"),1,0))</f>
        <v/>
      </c>
      <c r="AN1361">
        <f>IF($C1361="","",IF($Z1361="Yes",1,0))</f>
        <v/>
      </c>
      <c r="AO1361">
        <f>IF($AK1361=1,IFERROR(IF(VALUE($C1361)&lt;100000000,VALUE($C1361),1000000000),IFERROR(IF(VALUE(MID($C1361,2,20))&lt;100000000,VALUE(MID($C1361,2,20)),1000000000),1000000000))+ROW()/100000,"")</f>
        <v/>
      </c>
    </row>
    <row r="1362">
      <c r="F1362" s="11" t="n"/>
      <c r="N1362" s="7">
        <f>IF($C1362="","",M1362*U1362/100)</f>
        <v/>
      </c>
      <c r="T1362" s="7" t="n"/>
      <c r="U1362" s="7" t="n"/>
      <c r="V1362" s="7">
        <f>IF($C1362="","",U1362*AA1362/100)</f>
        <v/>
      </c>
      <c r="W1362" s="7">
        <f>IF($C1362="","",U1362-V1362)</f>
        <v/>
      </c>
      <c r="X1362" s="7">
        <f>IF($C1362="","",W1362-N1362)</f>
        <v/>
      </c>
      <c r="AA1362">
        <f>IF($C1362="","",IF($AN1362=1,0,IF($AM1362=1,Settings!$C$6,Settings!$C$7))*100)</f>
        <v/>
      </c>
      <c r="AE1362" s="7" t="n"/>
      <c r="AH1362" s="11" t="n"/>
      <c r="AJ1362">
        <f>IF($C1362="","",$C1362&amp;"|"&amp;$D1362&amp;"")</f>
        <v/>
      </c>
      <c r="AK1362">
        <f>IF($C1362="","",IF(COUNTIF($AJ$2:$AJ1362,$AJ1362)=1,1,0))</f>
        <v/>
      </c>
      <c r="AL1362">
        <f>IF($AK1362=1,SUMPRODUCT(--($AO$2:$AO$1501&lt;$AO1362))+1,"")</f>
        <v/>
      </c>
      <c r="AM1362">
        <f>IF($C1362="","",IF(OR($Q1362=TRUE(),$Q1362="TRUE"),1,0))</f>
        <v/>
      </c>
      <c r="AN1362">
        <f>IF($C1362="","",IF($Z1362="Yes",1,0))</f>
        <v/>
      </c>
      <c r="AO1362">
        <f>IF($AK1362=1,IFERROR(IF(VALUE($C1362)&lt;100000000,VALUE($C1362),1000000000),IFERROR(IF(VALUE(MID($C1362,2,20))&lt;100000000,VALUE(MID($C1362,2,20)),1000000000),1000000000))+ROW()/100000,"")</f>
        <v/>
      </c>
    </row>
    <row r="1363">
      <c r="F1363" s="11" t="n"/>
      <c r="N1363" s="7">
        <f>IF($C1363="","",M1363*U1363/100)</f>
        <v/>
      </c>
      <c r="T1363" s="7" t="n"/>
      <c r="U1363" s="7" t="n"/>
      <c r="V1363" s="7">
        <f>IF($C1363="","",U1363*AA1363/100)</f>
        <v/>
      </c>
      <c r="W1363" s="7">
        <f>IF($C1363="","",U1363-V1363)</f>
        <v/>
      </c>
      <c r="X1363" s="7">
        <f>IF($C1363="","",W1363-N1363)</f>
        <v/>
      </c>
      <c r="AA1363">
        <f>IF($C1363="","",IF($AN1363=1,0,IF($AM1363=1,Settings!$C$6,Settings!$C$7))*100)</f>
        <v/>
      </c>
      <c r="AE1363" s="7" t="n"/>
      <c r="AH1363" s="11" t="n"/>
      <c r="AJ1363">
        <f>IF($C1363="","",$C1363&amp;"|"&amp;$D1363&amp;"")</f>
        <v/>
      </c>
      <c r="AK1363">
        <f>IF($C1363="","",IF(COUNTIF($AJ$2:$AJ1363,$AJ1363)=1,1,0))</f>
        <v/>
      </c>
      <c r="AL1363">
        <f>IF($AK1363=1,SUMPRODUCT(--($AO$2:$AO$1501&lt;$AO1363))+1,"")</f>
        <v/>
      </c>
      <c r="AM1363">
        <f>IF($C1363="","",IF(OR($Q1363=TRUE(),$Q1363="TRUE"),1,0))</f>
        <v/>
      </c>
      <c r="AN1363">
        <f>IF($C1363="","",IF($Z1363="Yes",1,0))</f>
        <v/>
      </c>
      <c r="AO1363">
        <f>IF($AK1363=1,IFERROR(IF(VALUE($C1363)&lt;100000000,VALUE($C1363),1000000000),IFERROR(IF(VALUE(MID($C1363,2,20))&lt;100000000,VALUE(MID($C1363,2,20)),1000000000),1000000000))+ROW()/100000,"")</f>
        <v/>
      </c>
    </row>
    <row r="1364">
      <c r="F1364" s="11" t="n"/>
      <c r="N1364" s="7">
        <f>IF($C1364="","",M1364*U1364/100)</f>
        <v/>
      </c>
      <c r="T1364" s="7" t="n"/>
      <c r="U1364" s="7" t="n"/>
      <c r="V1364" s="7">
        <f>IF($C1364="","",U1364*AA1364/100)</f>
        <v/>
      </c>
      <c r="W1364" s="7">
        <f>IF($C1364="","",U1364-V1364)</f>
        <v/>
      </c>
      <c r="X1364" s="7">
        <f>IF($C1364="","",W1364-N1364)</f>
        <v/>
      </c>
      <c r="AA1364">
        <f>IF($C1364="","",IF($AN1364=1,0,IF($AM1364=1,Settings!$C$6,Settings!$C$7))*100)</f>
        <v/>
      </c>
      <c r="AE1364" s="7" t="n"/>
      <c r="AH1364" s="11" t="n"/>
      <c r="AJ1364">
        <f>IF($C1364="","",$C1364&amp;"|"&amp;$D1364&amp;"")</f>
        <v/>
      </c>
      <c r="AK1364">
        <f>IF($C1364="","",IF(COUNTIF($AJ$2:$AJ1364,$AJ1364)=1,1,0))</f>
        <v/>
      </c>
      <c r="AL1364">
        <f>IF($AK1364=1,SUMPRODUCT(--($AO$2:$AO$1501&lt;$AO1364))+1,"")</f>
        <v/>
      </c>
      <c r="AM1364">
        <f>IF($C1364="","",IF(OR($Q1364=TRUE(),$Q1364="TRUE"),1,0))</f>
        <v/>
      </c>
      <c r="AN1364">
        <f>IF($C1364="","",IF($Z1364="Yes",1,0))</f>
        <v/>
      </c>
      <c r="AO1364">
        <f>IF($AK1364=1,IFERROR(IF(VALUE($C1364)&lt;100000000,VALUE($C1364),1000000000),IFERROR(IF(VALUE(MID($C1364,2,20))&lt;100000000,VALUE(MID($C1364,2,20)),1000000000),1000000000))+ROW()/100000,"")</f>
        <v/>
      </c>
    </row>
    <row r="1365">
      <c r="F1365" s="11" t="n"/>
      <c r="N1365" s="7">
        <f>IF($C1365="","",M1365*U1365/100)</f>
        <v/>
      </c>
      <c r="T1365" s="7" t="n"/>
      <c r="U1365" s="7" t="n"/>
      <c r="V1365" s="7">
        <f>IF($C1365="","",U1365*AA1365/100)</f>
        <v/>
      </c>
      <c r="W1365" s="7">
        <f>IF($C1365="","",U1365-V1365)</f>
        <v/>
      </c>
      <c r="X1365" s="7">
        <f>IF($C1365="","",W1365-N1365)</f>
        <v/>
      </c>
      <c r="AA1365">
        <f>IF($C1365="","",IF($AN1365=1,0,IF($AM1365=1,Settings!$C$6,Settings!$C$7))*100)</f>
        <v/>
      </c>
      <c r="AE1365" s="7" t="n"/>
      <c r="AH1365" s="11" t="n"/>
      <c r="AJ1365">
        <f>IF($C1365="","",$C1365&amp;"|"&amp;$D1365&amp;"")</f>
        <v/>
      </c>
      <c r="AK1365">
        <f>IF($C1365="","",IF(COUNTIF($AJ$2:$AJ1365,$AJ1365)=1,1,0))</f>
        <v/>
      </c>
      <c r="AL1365">
        <f>IF($AK1365=1,SUMPRODUCT(--($AO$2:$AO$1501&lt;$AO1365))+1,"")</f>
        <v/>
      </c>
      <c r="AM1365">
        <f>IF($C1365="","",IF(OR($Q1365=TRUE(),$Q1365="TRUE"),1,0))</f>
        <v/>
      </c>
      <c r="AN1365">
        <f>IF($C1365="","",IF($Z1365="Yes",1,0))</f>
        <v/>
      </c>
      <c r="AO1365">
        <f>IF($AK1365=1,IFERROR(IF(VALUE($C1365)&lt;100000000,VALUE($C1365),1000000000),IFERROR(IF(VALUE(MID($C1365,2,20))&lt;100000000,VALUE(MID($C1365,2,20)),1000000000),1000000000))+ROW()/100000,"")</f>
        <v/>
      </c>
    </row>
    <row r="1366">
      <c r="F1366" s="11" t="n"/>
      <c r="N1366" s="7">
        <f>IF($C1366="","",M1366*U1366/100)</f>
        <v/>
      </c>
      <c r="T1366" s="7" t="n"/>
      <c r="U1366" s="7" t="n"/>
      <c r="V1366" s="7">
        <f>IF($C1366="","",U1366*AA1366/100)</f>
        <v/>
      </c>
      <c r="W1366" s="7">
        <f>IF($C1366="","",U1366-V1366)</f>
        <v/>
      </c>
      <c r="X1366" s="7">
        <f>IF($C1366="","",W1366-N1366)</f>
        <v/>
      </c>
      <c r="AA1366">
        <f>IF($C1366="","",IF($AN1366=1,0,IF($AM1366=1,Settings!$C$6,Settings!$C$7))*100)</f>
        <v/>
      </c>
      <c r="AE1366" s="7" t="n"/>
      <c r="AH1366" s="11" t="n"/>
      <c r="AJ1366">
        <f>IF($C1366="","",$C1366&amp;"|"&amp;$D1366&amp;"")</f>
        <v/>
      </c>
      <c r="AK1366">
        <f>IF($C1366="","",IF(COUNTIF($AJ$2:$AJ1366,$AJ1366)=1,1,0))</f>
        <v/>
      </c>
      <c r="AL1366">
        <f>IF($AK1366=1,SUMPRODUCT(--($AO$2:$AO$1501&lt;$AO1366))+1,"")</f>
        <v/>
      </c>
      <c r="AM1366">
        <f>IF($C1366="","",IF(OR($Q1366=TRUE(),$Q1366="TRUE"),1,0))</f>
        <v/>
      </c>
      <c r="AN1366">
        <f>IF($C1366="","",IF($Z1366="Yes",1,0))</f>
        <v/>
      </c>
      <c r="AO1366">
        <f>IF($AK1366=1,IFERROR(IF(VALUE($C1366)&lt;100000000,VALUE($C1366),1000000000),IFERROR(IF(VALUE(MID($C1366,2,20))&lt;100000000,VALUE(MID($C1366,2,20)),1000000000),1000000000))+ROW()/100000,"")</f>
        <v/>
      </c>
    </row>
    <row r="1367">
      <c r="F1367" s="11" t="n"/>
      <c r="N1367" s="7">
        <f>IF($C1367="","",M1367*U1367/100)</f>
        <v/>
      </c>
      <c r="T1367" s="7" t="n"/>
      <c r="U1367" s="7" t="n"/>
      <c r="V1367" s="7">
        <f>IF($C1367="","",U1367*AA1367/100)</f>
        <v/>
      </c>
      <c r="W1367" s="7">
        <f>IF($C1367="","",U1367-V1367)</f>
        <v/>
      </c>
      <c r="X1367" s="7">
        <f>IF($C1367="","",W1367-N1367)</f>
        <v/>
      </c>
      <c r="AA1367">
        <f>IF($C1367="","",IF($AN1367=1,0,IF($AM1367=1,Settings!$C$6,Settings!$C$7))*100)</f>
        <v/>
      </c>
      <c r="AE1367" s="7" t="n"/>
      <c r="AH1367" s="11" t="n"/>
      <c r="AJ1367">
        <f>IF($C1367="","",$C1367&amp;"|"&amp;$D1367&amp;"")</f>
        <v/>
      </c>
      <c r="AK1367">
        <f>IF($C1367="","",IF(COUNTIF($AJ$2:$AJ1367,$AJ1367)=1,1,0))</f>
        <v/>
      </c>
      <c r="AL1367">
        <f>IF($AK1367=1,SUMPRODUCT(--($AO$2:$AO$1501&lt;$AO1367))+1,"")</f>
        <v/>
      </c>
      <c r="AM1367">
        <f>IF($C1367="","",IF(OR($Q1367=TRUE(),$Q1367="TRUE"),1,0))</f>
        <v/>
      </c>
      <c r="AN1367">
        <f>IF($C1367="","",IF($Z1367="Yes",1,0))</f>
        <v/>
      </c>
      <c r="AO1367">
        <f>IF($AK1367=1,IFERROR(IF(VALUE($C1367)&lt;100000000,VALUE($C1367),1000000000),IFERROR(IF(VALUE(MID($C1367,2,20))&lt;100000000,VALUE(MID($C1367,2,20)),1000000000),1000000000))+ROW()/100000,"")</f>
        <v/>
      </c>
    </row>
    <row r="1368">
      <c r="F1368" s="11" t="n"/>
      <c r="N1368" s="7">
        <f>IF($C1368="","",M1368*U1368/100)</f>
        <v/>
      </c>
      <c r="T1368" s="7" t="n"/>
      <c r="U1368" s="7" t="n"/>
      <c r="V1368" s="7">
        <f>IF($C1368="","",U1368*AA1368/100)</f>
        <v/>
      </c>
      <c r="W1368" s="7">
        <f>IF($C1368="","",U1368-V1368)</f>
        <v/>
      </c>
      <c r="X1368" s="7">
        <f>IF($C1368="","",W1368-N1368)</f>
        <v/>
      </c>
      <c r="AA1368">
        <f>IF($C1368="","",IF($AN1368=1,0,IF($AM1368=1,Settings!$C$6,Settings!$C$7))*100)</f>
        <v/>
      </c>
      <c r="AE1368" s="7" t="n"/>
      <c r="AH1368" s="11" t="n"/>
      <c r="AJ1368">
        <f>IF($C1368="","",$C1368&amp;"|"&amp;$D1368&amp;"")</f>
        <v/>
      </c>
      <c r="AK1368">
        <f>IF($C1368="","",IF(COUNTIF($AJ$2:$AJ1368,$AJ1368)=1,1,0))</f>
        <v/>
      </c>
      <c r="AL1368">
        <f>IF($AK1368=1,SUMPRODUCT(--($AO$2:$AO$1501&lt;$AO1368))+1,"")</f>
        <v/>
      </c>
      <c r="AM1368">
        <f>IF($C1368="","",IF(OR($Q1368=TRUE(),$Q1368="TRUE"),1,0))</f>
        <v/>
      </c>
      <c r="AN1368">
        <f>IF($C1368="","",IF($Z1368="Yes",1,0))</f>
        <v/>
      </c>
      <c r="AO1368">
        <f>IF($AK1368=1,IFERROR(IF(VALUE($C1368)&lt;100000000,VALUE($C1368),1000000000),IFERROR(IF(VALUE(MID($C1368,2,20))&lt;100000000,VALUE(MID($C1368,2,20)),1000000000),1000000000))+ROW()/100000,"")</f>
        <v/>
      </c>
    </row>
    <row r="1369">
      <c r="F1369" s="11" t="n"/>
      <c r="N1369" s="7">
        <f>IF($C1369="","",M1369*U1369/100)</f>
        <v/>
      </c>
      <c r="T1369" s="7" t="n"/>
      <c r="U1369" s="7" t="n"/>
      <c r="V1369" s="7">
        <f>IF($C1369="","",U1369*AA1369/100)</f>
        <v/>
      </c>
      <c r="W1369" s="7">
        <f>IF($C1369="","",U1369-V1369)</f>
        <v/>
      </c>
      <c r="X1369" s="7">
        <f>IF($C1369="","",W1369-N1369)</f>
        <v/>
      </c>
      <c r="AA1369">
        <f>IF($C1369="","",IF($AN1369=1,0,IF($AM1369=1,Settings!$C$6,Settings!$C$7))*100)</f>
        <v/>
      </c>
      <c r="AE1369" s="7" t="n"/>
      <c r="AH1369" s="11" t="n"/>
      <c r="AJ1369">
        <f>IF($C1369="","",$C1369&amp;"|"&amp;$D1369&amp;"")</f>
        <v/>
      </c>
      <c r="AK1369">
        <f>IF($C1369="","",IF(COUNTIF($AJ$2:$AJ1369,$AJ1369)=1,1,0))</f>
        <v/>
      </c>
      <c r="AL1369">
        <f>IF($AK1369=1,SUMPRODUCT(--($AO$2:$AO$1501&lt;$AO1369))+1,"")</f>
        <v/>
      </c>
      <c r="AM1369">
        <f>IF($C1369="","",IF(OR($Q1369=TRUE(),$Q1369="TRUE"),1,0))</f>
        <v/>
      </c>
      <c r="AN1369">
        <f>IF($C1369="","",IF($Z1369="Yes",1,0))</f>
        <v/>
      </c>
      <c r="AO1369">
        <f>IF($AK1369=1,IFERROR(IF(VALUE($C1369)&lt;100000000,VALUE($C1369),1000000000),IFERROR(IF(VALUE(MID($C1369,2,20))&lt;100000000,VALUE(MID($C1369,2,20)),1000000000),1000000000))+ROW()/100000,"")</f>
        <v/>
      </c>
    </row>
    <row r="1370">
      <c r="F1370" s="11" t="n"/>
      <c r="N1370" s="7">
        <f>IF($C1370="","",M1370*U1370/100)</f>
        <v/>
      </c>
      <c r="T1370" s="7" t="n"/>
      <c r="U1370" s="7" t="n"/>
      <c r="V1370" s="7">
        <f>IF($C1370="","",U1370*AA1370/100)</f>
        <v/>
      </c>
      <c r="W1370" s="7">
        <f>IF($C1370="","",U1370-V1370)</f>
        <v/>
      </c>
      <c r="X1370" s="7">
        <f>IF($C1370="","",W1370-N1370)</f>
        <v/>
      </c>
      <c r="AA1370">
        <f>IF($C1370="","",IF($AN1370=1,0,IF($AM1370=1,Settings!$C$6,Settings!$C$7))*100)</f>
        <v/>
      </c>
      <c r="AE1370" s="7" t="n"/>
      <c r="AH1370" s="11" t="n"/>
      <c r="AJ1370">
        <f>IF($C1370="","",$C1370&amp;"|"&amp;$D1370&amp;"")</f>
        <v/>
      </c>
      <c r="AK1370">
        <f>IF($C1370="","",IF(COUNTIF($AJ$2:$AJ1370,$AJ1370)=1,1,0))</f>
        <v/>
      </c>
      <c r="AL1370">
        <f>IF($AK1370=1,SUMPRODUCT(--($AO$2:$AO$1501&lt;$AO1370))+1,"")</f>
        <v/>
      </c>
      <c r="AM1370">
        <f>IF($C1370="","",IF(OR($Q1370=TRUE(),$Q1370="TRUE"),1,0))</f>
        <v/>
      </c>
      <c r="AN1370">
        <f>IF($C1370="","",IF($Z1370="Yes",1,0))</f>
        <v/>
      </c>
      <c r="AO1370">
        <f>IF($AK1370=1,IFERROR(IF(VALUE($C1370)&lt;100000000,VALUE($C1370),1000000000),IFERROR(IF(VALUE(MID($C1370,2,20))&lt;100000000,VALUE(MID($C1370,2,20)),1000000000),1000000000))+ROW()/100000,"")</f>
        <v/>
      </c>
    </row>
    <row r="1371">
      <c r="F1371" s="11" t="n"/>
      <c r="N1371" s="7">
        <f>IF($C1371="","",M1371*U1371/100)</f>
        <v/>
      </c>
      <c r="T1371" s="7" t="n"/>
      <c r="U1371" s="7" t="n"/>
      <c r="V1371" s="7">
        <f>IF($C1371="","",U1371*AA1371/100)</f>
        <v/>
      </c>
      <c r="W1371" s="7">
        <f>IF($C1371="","",U1371-V1371)</f>
        <v/>
      </c>
      <c r="X1371" s="7">
        <f>IF($C1371="","",W1371-N1371)</f>
        <v/>
      </c>
      <c r="AA1371">
        <f>IF($C1371="","",IF($AN1371=1,0,IF($AM1371=1,Settings!$C$6,Settings!$C$7))*100)</f>
        <v/>
      </c>
      <c r="AE1371" s="7" t="n"/>
      <c r="AH1371" s="11" t="n"/>
      <c r="AJ1371">
        <f>IF($C1371="","",$C1371&amp;"|"&amp;$D1371&amp;"")</f>
        <v/>
      </c>
      <c r="AK1371">
        <f>IF($C1371="","",IF(COUNTIF($AJ$2:$AJ1371,$AJ1371)=1,1,0))</f>
        <v/>
      </c>
      <c r="AL1371">
        <f>IF($AK1371=1,SUMPRODUCT(--($AO$2:$AO$1501&lt;$AO1371))+1,"")</f>
        <v/>
      </c>
      <c r="AM1371">
        <f>IF($C1371="","",IF(OR($Q1371=TRUE(),$Q1371="TRUE"),1,0))</f>
        <v/>
      </c>
      <c r="AN1371">
        <f>IF($C1371="","",IF($Z1371="Yes",1,0))</f>
        <v/>
      </c>
      <c r="AO1371">
        <f>IF($AK1371=1,IFERROR(IF(VALUE($C1371)&lt;100000000,VALUE($C1371),1000000000),IFERROR(IF(VALUE(MID($C1371,2,20))&lt;100000000,VALUE(MID($C1371,2,20)),1000000000),1000000000))+ROW()/100000,"")</f>
        <v/>
      </c>
    </row>
    <row r="1372">
      <c r="F1372" s="11" t="n"/>
      <c r="N1372" s="7">
        <f>IF($C1372="","",M1372*U1372/100)</f>
        <v/>
      </c>
      <c r="T1372" s="7" t="n"/>
      <c r="U1372" s="7" t="n"/>
      <c r="V1372" s="7">
        <f>IF($C1372="","",U1372*AA1372/100)</f>
        <v/>
      </c>
      <c r="W1372" s="7">
        <f>IF($C1372="","",U1372-V1372)</f>
        <v/>
      </c>
      <c r="X1372" s="7">
        <f>IF($C1372="","",W1372-N1372)</f>
        <v/>
      </c>
      <c r="AA1372">
        <f>IF($C1372="","",IF($AN1372=1,0,IF($AM1372=1,Settings!$C$6,Settings!$C$7))*100)</f>
        <v/>
      </c>
      <c r="AE1372" s="7" t="n"/>
      <c r="AH1372" s="11" t="n"/>
      <c r="AJ1372">
        <f>IF($C1372="","",$C1372&amp;"|"&amp;$D1372&amp;"")</f>
        <v/>
      </c>
      <c r="AK1372">
        <f>IF($C1372="","",IF(COUNTIF($AJ$2:$AJ1372,$AJ1372)=1,1,0))</f>
        <v/>
      </c>
      <c r="AL1372">
        <f>IF($AK1372=1,SUMPRODUCT(--($AO$2:$AO$1501&lt;$AO1372))+1,"")</f>
        <v/>
      </c>
      <c r="AM1372">
        <f>IF($C1372="","",IF(OR($Q1372=TRUE(),$Q1372="TRUE"),1,0))</f>
        <v/>
      </c>
      <c r="AN1372">
        <f>IF($C1372="","",IF($Z1372="Yes",1,0))</f>
        <v/>
      </c>
      <c r="AO1372">
        <f>IF($AK1372=1,IFERROR(IF(VALUE($C1372)&lt;100000000,VALUE($C1372),1000000000),IFERROR(IF(VALUE(MID($C1372,2,20))&lt;100000000,VALUE(MID($C1372,2,20)),1000000000),1000000000))+ROW()/100000,"")</f>
        <v/>
      </c>
    </row>
    <row r="1373">
      <c r="F1373" s="11" t="n"/>
      <c r="N1373" s="7">
        <f>IF($C1373="","",M1373*U1373/100)</f>
        <v/>
      </c>
      <c r="T1373" s="7" t="n"/>
      <c r="U1373" s="7" t="n"/>
      <c r="V1373" s="7">
        <f>IF($C1373="","",U1373*AA1373/100)</f>
        <v/>
      </c>
      <c r="W1373" s="7">
        <f>IF($C1373="","",U1373-V1373)</f>
        <v/>
      </c>
      <c r="X1373" s="7">
        <f>IF($C1373="","",W1373-N1373)</f>
        <v/>
      </c>
      <c r="AA1373">
        <f>IF($C1373="","",IF($AN1373=1,0,IF($AM1373=1,Settings!$C$6,Settings!$C$7))*100)</f>
        <v/>
      </c>
      <c r="AE1373" s="7" t="n"/>
      <c r="AH1373" s="11" t="n"/>
      <c r="AJ1373">
        <f>IF($C1373="","",$C1373&amp;"|"&amp;$D1373&amp;"")</f>
        <v/>
      </c>
      <c r="AK1373">
        <f>IF($C1373="","",IF(COUNTIF($AJ$2:$AJ1373,$AJ1373)=1,1,0))</f>
        <v/>
      </c>
      <c r="AL1373">
        <f>IF($AK1373=1,SUMPRODUCT(--($AO$2:$AO$1501&lt;$AO1373))+1,"")</f>
        <v/>
      </c>
      <c r="AM1373">
        <f>IF($C1373="","",IF(OR($Q1373=TRUE(),$Q1373="TRUE"),1,0))</f>
        <v/>
      </c>
      <c r="AN1373">
        <f>IF($C1373="","",IF($Z1373="Yes",1,0))</f>
        <v/>
      </c>
      <c r="AO1373">
        <f>IF($AK1373=1,IFERROR(IF(VALUE($C1373)&lt;100000000,VALUE($C1373),1000000000),IFERROR(IF(VALUE(MID($C1373,2,20))&lt;100000000,VALUE(MID($C1373,2,20)),1000000000),1000000000))+ROW()/100000,"")</f>
        <v/>
      </c>
    </row>
    <row r="1374">
      <c r="F1374" s="11" t="n"/>
      <c r="N1374" s="7">
        <f>IF($C1374="","",M1374*U1374/100)</f>
        <v/>
      </c>
      <c r="T1374" s="7" t="n"/>
      <c r="U1374" s="7" t="n"/>
      <c r="V1374" s="7">
        <f>IF($C1374="","",U1374*AA1374/100)</f>
        <v/>
      </c>
      <c r="W1374" s="7">
        <f>IF($C1374="","",U1374-V1374)</f>
        <v/>
      </c>
      <c r="X1374" s="7">
        <f>IF($C1374="","",W1374-N1374)</f>
        <v/>
      </c>
      <c r="AA1374">
        <f>IF($C1374="","",IF($AN1374=1,0,IF($AM1374=1,Settings!$C$6,Settings!$C$7))*100)</f>
        <v/>
      </c>
      <c r="AE1374" s="7" t="n"/>
      <c r="AH1374" s="11" t="n"/>
      <c r="AJ1374">
        <f>IF($C1374="","",$C1374&amp;"|"&amp;$D1374&amp;"")</f>
        <v/>
      </c>
      <c r="AK1374">
        <f>IF($C1374="","",IF(COUNTIF($AJ$2:$AJ1374,$AJ1374)=1,1,0))</f>
        <v/>
      </c>
      <c r="AL1374">
        <f>IF($AK1374=1,SUMPRODUCT(--($AO$2:$AO$1501&lt;$AO1374))+1,"")</f>
        <v/>
      </c>
      <c r="AM1374">
        <f>IF($C1374="","",IF(OR($Q1374=TRUE(),$Q1374="TRUE"),1,0))</f>
        <v/>
      </c>
      <c r="AN1374">
        <f>IF($C1374="","",IF($Z1374="Yes",1,0))</f>
        <v/>
      </c>
      <c r="AO1374">
        <f>IF($AK1374=1,IFERROR(IF(VALUE($C1374)&lt;100000000,VALUE($C1374),1000000000),IFERROR(IF(VALUE(MID($C1374,2,20))&lt;100000000,VALUE(MID($C1374,2,20)),1000000000),1000000000))+ROW()/100000,"")</f>
        <v/>
      </c>
    </row>
    <row r="1375">
      <c r="F1375" s="11" t="n"/>
      <c r="N1375" s="7">
        <f>IF($C1375="","",M1375*U1375/100)</f>
        <v/>
      </c>
      <c r="T1375" s="7" t="n"/>
      <c r="U1375" s="7" t="n"/>
      <c r="V1375" s="7">
        <f>IF($C1375="","",U1375*AA1375/100)</f>
        <v/>
      </c>
      <c r="W1375" s="7">
        <f>IF($C1375="","",U1375-V1375)</f>
        <v/>
      </c>
      <c r="X1375" s="7">
        <f>IF($C1375="","",W1375-N1375)</f>
        <v/>
      </c>
      <c r="AA1375">
        <f>IF($C1375="","",IF($AN1375=1,0,IF($AM1375=1,Settings!$C$6,Settings!$C$7))*100)</f>
        <v/>
      </c>
      <c r="AE1375" s="7" t="n"/>
      <c r="AH1375" s="11" t="n"/>
      <c r="AJ1375">
        <f>IF($C1375="","",$C1375&amp;"|"&amp;$D1375&amp;"")</f>
        <v/>
      </c>
      <c r="AK1375">
        <f>IF($C1375="","",IF(COUNTIF($AJ$2:$AJ1375,$AJ1375)=1,1,0))</f>
        <v/>
      </c>
      <c r="AL1375">
        <f>IF($AK1375=1,SUMPRODUCT(--($AO$2:$AO$1501&lt;$AO1375))+1,"")</f>
        <v/>
      </c>
      <c r="AM1375">
        <f>IF($C1375="","",IF(OR($Q1375=TRUE(),$Q1375="TRUE"),1,0))</f>
        <v/>
      </c>
      <c r="AN1375">
        <f>IF($C1375="","",IF($Z1375="Yes",1,0))</f>
        <v/>
      </c>
      <c r="AO1375">
        <f>IF($AK1375=1,IFERROR(IF(VALUE($C1375)&lt;100000000,VALUE($C1375),1000000000),IFERROR(IF(VALUE(MID($C1375,2,20))&lt;100000000,VALUE(MID($C1375,2,20)),1000000000),1000000000))+ROW()/100000,"")</f>
        <v/>
      </c>
    </row>
    <row r="1376">
      <c r="F1376" s="11" t="n"/>
      <c r="N1376" s="7">
        <f>IF($C1376="","",M1376*U1376/100)</f>
        <v/>
      </c>
      <c r="T1376" s="7" t="n"/>
      <c r="U1376" s="7" t="n"/>
      <c r="V1376" s="7">
        <f>IF($C1376="","",U1376*AA1376/100)</f>
        <v/>
      </c>
      <c r="W1376" s="7">
        <f>IF($C1376="","",U1376-V1376)</f>
        <v/>
      </c>
      <c r="X1376" s="7">
        <f>IF($C1376="","",W1376-N1376)</f>
        <v/>
      </c>
      <c r="AA1376">
        <f>IF($C1376="","",IF($AN1376=1,0,IF($AM1376=1,Settings!$C$6,Settings!$C$7))*100)</f>
        <v/>
      </c>
      <c r="AE1376" s="7" t="n"/>
      <c r="AH1376" s="11" t="n"/>
      <c r="AJ1376">
        <f>IF($C1376="","",$C1376&amp;"|"&amp;$D1376&amp;"")</f>
        <v/>
      </c>
      <c r="AK1376">
        <f>IF($C1376="","",IF(COUNTIF($AJ$2:$AJ1376,$AJ1376)=1,1,0))</f>
        <v/>
      </c>
      <c r="AL1376">
        <f>IF($AK1376=1,SUMPRODUCT(--($AO$2:$AO$1501&lt;$AO1376))+1,"")</f>
        <v/>
      </c>
      <c r="AM1376">
        <f>IF($C1376="","",IF(OR($Q1376=TRUE(),$Q1376="TRUE"),1,0))</f>
        <v/>
      </c>
      <c r="AN1376">
        <f>IF($C1376="","",IF($Z1376="Yes",1,0))</f>
        <v/>
      </c>
      <c r="AO1376">
        <f>IF($AK1376=1,IFERROR(IF(VALUE($C1376)&lt;100000000,VALUE($C1376),1000000000),IFERROR(IF(VALUE(MID($C1376,2,20))&lt;100000000,VALUE(MID($C1376,2,20)),1000000000),1000000000))+ROW()/100000,"")</f>
        <v/>
      </c>
    </row>
    <row r="1377">
      <c r="F1377" s="11" t="n"/>
      <c r="N1377" s="7">
        <f>IF($C1377="","",M1377*U1377/100)</f>
        <v/>
      </c>
      <c r="T1377" s="7" t="n"/>
      <c r="U1377" s="7" t="n"/>
      <c r="V1377" s="7">
        <f>IF($C1377="","",U1377*AA1377/100)</f>
        <v/>
      </c>
      <c r="W1377" s="7">
        <f>IF($C1377="","",U1377-V1377)</f>
        <v/>
      </c>
      <c r="X1377" s="7">
        <f>IF($C1377="","",W1377-N1377)</f>
        <v/>
      </c>
      <c r="AA1377">
        <f>IF($C1377="","",IF($AN1377=1,0,IF($AM1377=1,Settings!$C$6,Settings!$C$7))*100)</f>
        <v/>
      </c>
      <c r="AE1377" s="7" t="n"/>
      <c r="AH1377" s="11" t="n"/>
      <c r="AJ1377">
        <f>IF($C1377="","",$C1377&amp;"|"&amp;$D1377&amp;"")</f>
        <v/>
      </c>
      <c r="AK1377">
        <f>IF($C1377="","",IF(COUNTIF($AJ$2:$AJ1377,$AJ1377)=1,1,0))</f>
        <v/>
      </c>
      <c r="AL1377">
        <f>IF($AK1377=1,SUMPRODUCT(--($AO$2:$AO$1501&lt;$AO1377))+1,"")</f>
        <v/>
      </c>
      <c r="AM1377">
        <f>IF($C1377="","",IF(OR($Q1377=TRUE(),$Q1377="TRUE"),1,0))</f>
        <v/>
      </c>
      <c r="AN1377">
        <f>IF($C1377="","",IF($Z1377="Yes",1,0))</f>
        <v/>
      </c>
      <c r="AO1377">
        <f>IF($AK1377=1,IFERROR(IF(VALUE($C1377)&lt;100000000,VALUE($C1377),1000000000),IFERROR(IF(VALUE(MID($C1377,2,20))&lt;100000000,VALUE(MID($C1377,2,20)),1000000000),1000000000))+ROW()/100000,"")</f>
        <v/>
      </c>
    </row>
    <row r="1378">
      <c r="F1378" s="11" t="n"/>
      <c r="N1378" s="7">
        <f>IF($C1378="","",M1378*U1378/100)</f>
        <v/>
      </c>
      <c r="T1378" s="7" t="n"/>
      <c r="U1378" s="7" t="n"/>
      <c r="V1378" s="7">
        <f>IF($C1378="","",U1378*AA1378/100)</f>
        <v/>
      </c>
      <c r="W1378" s="7">
        <f>IF($C1378="","",U1378-V1378)</f>
        <v/>
      </c>
      <c r="X1378" s="7">
        <f>IF($C1378="","",W1378-N1378)</f>
        <v/>
      </c>
      <c r="AA1378">
        <f>IF($C1378="","",IF($AN1378=1,0,IF($AM1378=1,Settings!$C$6,Settings!$C$7))*100)</f>
        <v/>
      </c>
      <c r="AE1378" s="7" t="n"/>
      <c r="AH1378" s="11" t="n"/>
      <c r="AJ1378">
        <f>IF($C1378="","",$C1378&amp;"|"&amp;$D1378&amp;"")</f>
        <v/>
      </c>
      <c r="AK1378">
        <f>IF($C1378="","",IF(COUNTIF($AJ$2:$AJ1378,$AJ1378)=1,1,0))</f>
        <v/>
      </c>
      <c r="AL1378">
        <f>IF($AK1378=1,SUMPRODUCT(--($AO$2:$AO$1501&lt;$AO1378))+1,"")</f>
        <v/>
      </c>
      <c r="AM1378">
        <f>IF($C1378="","",IF(OR($Q1378=TRUE(),$Q1378="TRUE"),1,0))</f>
        <v/>
      </c>
      <c r="AN1378">
        <f>IF($C1378="","",IF($Z1378="Yes",1,0))</f>
        <v/>
      </c>
      <c r="AO1378">
        <f>IF($AK1378=1,IFERROR(IF(VALUE($C1378)&lt;100000000,VALUE($C1378),1000000000),IFERROR(IF(VALUE(MID($C1378,2,20))&lt;100000000,VALUE(MID($C1378,2,20)),1000000000),1000000000))+ROW()/100000,"")</f>
        <v/>
      </c>
    </row>
    <row r="1379">
      <c r="F1379" s="11" t="n"/>
      <c r="N1379" s="7">
        <f>IF($C1379="","",M1379*U1379/100)</f>
        <v/>
      </c>
      <c r="T1379" s="7" t="n"/>
      <c r="U1379" s="7" t="n"/>
      <c r="V1379" s="7">
        <f>IF($C1379="","",U1379*AA1379/100)</f>
        <v/>
      </c>
      <c r="W1379" s="7">
        <f>IF($C1379="","",U1379-V1379)</f>
        <v/>
      </c>
      <c r="X1379" s="7">
        <f>IF($C1379="","",W1379-N1379)</f>
        <v/>
      </c>
      <c r="AA1379">
        <f>IF($C1379="","",IF($AN1379=1,0,IF($AM1379=1,Settings!$C$6,Settings!$C$7))*100)</f>
        <v/>
      </c>
      <c r="AE1379" s="7" t="n"/>
      <c r="AH1379" s="11" t="n"/>
      <c r="AJ1379">
        <f>IF($C1379="","",$C1379&amp;"|"&amp;$D1379&amp;"")</f>
        <v/>
      </c>
      <c r="AK1379">
        <f>IF($C1379="","",IF(COUNTIF($AJ$2:$AJ1379,$AJ1379)=1,1,0))</f>
        <v/>
      </c>
      <c r="AL1379">
        <f>IF($AK1379=1,SUMPRODUCT(--($AO$2:$AO$1501&lt;$AO1379))+1,"")</f>
        <v/>
      </c>
      <c r="AM1379">
        <f>IF($C1379="","",IF(OR($Q1379=TRUE(),$Q1379="TRUE"),1,0))</f>
        <v/>
      </c>
      <c r="AN1379">
        <f>IF($C1379="","",IF($Z1379="Yes",1,0))</f>
        <v/>
      </c>
      <c r="AO1379">
        <f>IF($AK1379=1,IFERROR(IF(VALUE($C1379)&lt;100000000,VALUE($C1379),1000000000),IFERROR(IF(VALUE(MID($C1379,2,20))&lt;100000000,VALUE(MID($C1379,2,20)),1000000000),1000000000))+ROW()/100000,"")</f>
        <v/>
      </c>
    </row>
    <row r="1380">
      <c r="F1380" s="11" t="n"/>
      <c r="N1380" s="7">
        <f>IF($C1380="","",M1380*U1380/100)</f>
        <v/>
      </c>
      <c r="T1380" s="7" t="n"/>
      <c r="U1380" s="7" t="n"/>
      <c r="V1380" s="7">
        <f>IF($C1380="","",U1380*AA1380/100)</f>
        <v/>
      </c>
      <c r="W1380" s="7">
        <f>IF($C1380="","",U1380-V1380)</f>
        <v/>
      </c>
      <c r="X1380" s="7">
        <f>IF($C1380="","",W1380-N1380)</f>
        <v/>
      </c>
      <c r="AA1380">
        <f>IF($C1380="","",IF($AN1380=1,0,IF($AM1380=1,Settings!$C$6,Settings!$C$7))*100)</f>
        <v/>
      </c>
      <c r="AE1380" s="7" t="n"/>
      <c r="AH1380" s="11" t="n"/>
      <c r="AJ1380">
        <f>IF($C1380="","",$C1380&amp;"|"&amp;$D1380&amp;"")</f>
        <v/>
      </c>
      <c r="AK1380">
        <f>IF($C1380="","",IF(COUNTIF($AJ$2:$AJ1380,$AJ1380)=1,1,0))</f>
        <v/>
      </c>
      <c r="AL1380">
        <f>IF($AK1380=1,SUMPRODUCT(--($AO$2:$AO$1501&lt;$AO1380))+1,"")</f>
        <v/>
      </c>
      <c r="AM1380">
        <f>IF($C1380="","",IF(OR($Q1380=TRUE(),$Q1380="TRUE"),1,0))</f>
        <v/>
      </c>
      <c r="AN1380">
        <f>IF($C1380="","",IF($Z1380="Yes",1,0))</f>
        <v/>
      </c>
      <c r="AO1380">
        <f>IF($AK1380=1,IFERROR(IF(VALUE($C1380)&lt;100000000,VALUE($C1380),1000000000),IFERROR(IF(VALUE(MID($C1380,2,20))&lt;100000000,VALUE(MID($C1380,2,20)),1000000000),1000000000))+ROW()/100000,"")</f>
        <v/>
      </c>
    </row>
    <row r="1381">
      <c r="F1381" s="11" t="n"/>
      <c r="N1381" s="7">
        <f>IF($C1381="","",M1381*U1381/100)</f>
        <v/>
      </c>
      <c r="T1381" s="7" t="n"/>
      <c r="U1381" s="7" t="n"/>
      <c r="V1381" s="7">
        <f>IF($C1381="","",U1381*AA1381/100)</f>
        <v/>
      </c>
      <c r="W1381" s="7">
        <f>IF($C1381="","",U1381-V1381)</f>
        <v/>
      </c>
      <c r="X1381" s="7">
        <f>IF($C1381="","",W1381-N1381)</f>
        <v/>
      </c>
      <c r="AA1381">
        <f>IF($C1381="","",IF($AN1381=1,0,IF($AM1381=1,Settings!$C$6,Settings!$C$7))*100)</f>
        <v/>
      </c>
      <c r="AE1381" s="7" t="n"/>
      <c r="AH1381" s="11" t="n"/>
      <c r="AJ1381">
        <f>IF($C1381="","",$C1381&amp;"|"&amp;$D1381&amp;"")</f>
        <v/>
      </c>
      <c r="AK1381">
        <f>IF($C1381="","",IF(COUNTIF($AJ$2:$AJ1381,$AJ1381)=1,1,0))</f>
        <v/>
      </c>
      <c r="AL1381">
        <f>IF($AK1381=1,SUMPRODUCT(--($AO$2:$AO$1501&lt;$AO1381))+1,"")</f>
        <v/>
      </c>
      <c r="AM1381">
        <f>IF($C1381="","",IF(OR($Q1381=TRUE(),$Q1381="TRUE"),1,0))</f>
        <v/>
      </c>
      <c r="AN1381">
        <f>IF($C1381="","",IF($Z1381="Yes",1,0))</f>
        <v/>
      </c>
      <c r="AO1381">
        <f>IF($AK1381=1,IFERROR(IF(VALUE($C1381)&lt;100000000,VALUE($C1381),1000000000),IFERROR(IF(VALUE(MID($C1381,2,20))&lt;100000000,VALUE(MID($C1381,2,20)),1000000000),1000000000))+ROW()/100000,"")</f>
        <v/>
      </c>
    </row>
    <row r="1382">
      <c r="F1382" s="11" t="n"/>
      <c r="N1382" s="7">
        <f>IF($C1382="","",M1382*U1382/100)</f>
        <v/>
      </c>
      <c r="T1382" s="7" t="n"/>
      <c r="U1382" s="7" t="n"/>
      <c r="V1382" s="7">
        <f>IF($C1382="","",U1382*AA1382/100)</f>
        <v/>
      </c>
      <c r="W1382" s="7">
        <f>IF($C1382="","",U1382-V1382)</f>
        <v/>
      </c>
      <c r="X1382" s="7">
        <f>IF($C1382="","",W1382-N1382)</f>
        <v/>
      </c>
      <c r="AA1382">
        <f>IF($C1382="","",IF($AN1382=1,0,IF($AM1382=1,Settings!$C$6,Settings!$C$7))*100)</f>
        <v/>
      </c>
      <c r="AE1382" s="7" t="n"/>
      <c r="AH1382" s="11" t="n"/>
      <c r="AJ1382">
        <f>IF($C1382="","",$C1382&amp;"|"&amp;$D1382&amp;"")</f>
        <v/>
      </c>
      <c r="AK1382">
        <f>IF($C1382="","",IF(COUNTIF($AJ$2:$AJ1382,$AJ1382)=1,1,0))</f>
        <v/>
      </c>
      <c r="AL1382">
        <f>IF($AK1382=1,SUMPRODUCT(--($AO$2:$AO$1501&lt;$AO1382))+1,"")</f>
        <v/>
      </c>
      <c r="AM1382">
        <f>IF($C1382="","",IF(OR($Q1382=TRUE(),$Q1382="TRUE"),1,0))</f>
        <v/>
      </c>
      <c r="AN1382">
        <f>IF($C1382="","",IF($Z1382="Yes",1,0))</f>
        <v/>
      </c>
      <c r="AO1382">
        <f>IF($AK1382=1,IFERROR(IF(VALUE($C1382)&lt;100000000,VALUE($C1382),1000000000),IFERROR(IF(VALUE(MID($C1382,2,20))&lt;100000000,VALUE(MID($C1382,2,20)),1000000000),1000000000))+ROW()/100000,"")</f>
        <v/>
      </c>
    </row>
    <row r="1383">
      <c r="F1383" s="11" t="n"/>
      <c r="N1383" s="7">
        <f>IF($C1383="","",M1383*U1383/100)</f>
        <v/>
      </c>
      <c r="T1383" s="7" t="n"/>
      <c r="U1383" s="7" t="n"/>
      <c r="V1383" s="7">
        <f>IF($C1383="","",U1383*AA1383/100)</f>
        <v/>
      </c>
      <c r="W1383" s="7">
        <f>IF($C1383="","",U1383-V1383)</f>
        <v/>
      </c>
      <c r="X1383" s="7">
        <f>IF($C1383="","",W1383-N1383)</f>
        <v/>
      </c>
      <c r="AA1383">
        <f>IF($C1383="","",IF($AN1383=1,0,IF($AM1383=1,Settings!$C$6,Settings!$C$7))*100)</f>
        <v/>
      </c>
      <c r="AE1383" s="7" t="n"/>
      <c r="AH1383" s="11" t="n"/>
      <c r="AJ1383">
        <f>IF($C1383="","",$C1383&amp;"|"&amp;$D1383&amp;"")</f>
        <v/>
      </c>
      <c r="AK1383">
        <f>IF($C1383="","",IF(COUNTIF($AJ$2:$AJ1383,$AJ1383)=1,1,0))</f>
        <v/>
      </c>
      <c r="AL1383">
        <f>IF($AK1383=1,SUMPRODUCT(--($AO$2:$AO$1501&lt;$AO1383))+1,"")</f>
        <v/>
      </c>
      <c r="AM1383">
        <f>IF($C1383="","",IF(OR($Q1383=TRUE(),$Q1383="TRUE"),1,0))</f>
        <v/>
      </c>
      <c r="AN1383">
        <f>IF($C1383="","",IF($Z1383="Yes",1,0))</f>
        <v/>
      </c>
      <c r="AO1383">
        <f>IF($AK1383=1,IFERROR(IF(VALUE($C1383)&lt;100000000,VALUE($C1383),1000000000),IFERROR(IF(VALUE(MID($C1383,2,20))&lt;100000000,VALUE(MID($C1383,2,20)),1000000000),1000000000))+ROW()/100000,"")</f>
        <v/>
      </c>
    </row>
    <row r="1384">
      <c r="F1384" s="11" t="n"/>
      <c r="N1384" s="7">
        <f>IF($C1384="","",M1384*U1384/100)</f>
        <v/>
      </c>
      <c r="T1384" s="7" t="n"/>
      <c r="U1384" s="7" t="n"/>
      <c r="V1384" s="7">
        <f>IF($C1384="","",U1384*AA1384/100)</f>
        <v/>
      </c>
      <c r="W1384" s="7">
        <f>IF($C1384="","",U1384-V1384)</f>
        <v/>
      </c>
      <c r="X1384" s="7">
        <f>IF($C1384="","",W1384-N1384)</f>
        <v/>
      </c>
      <c r="AA1384">
        <f>IF($C1384="","",IF($AN1384=1,0,IF($AM1384=1,Settings!$C$6,Settings!$C$7))*100)</f>
        <v/>
      </c>
      <c r="AE1384" s="7" t="n"/>
      <c r="AH1384" s="11" t="n"/>
      <c r="AJ1384">
        <f>IF($C1384="","",$C1384&amp;"|"&amp;$D1384&amp;"")</f>
        <v/>
      </c>
      <c r="AK1384">
        <f>IF($C1384="","",IF(COUNTIF($AJ$2:$AJ1384,$AJ1384)=1,1,0))</f>
        <v/>
      </c>
      <c r="AL1384">
        <f>IF($AK1384=1,SUMPRODUCT(--($AO$2:$AO$1501&lt;$AO1384))+1,"")</f>
        <v/>
      </c>
      <c r="AM1384">
        <f>IF($C1384="","",IF(OR($Q1384=TRUE(),$Q1384="TRUE"),1,0))</f>
        <v/>
      </c>
      <c r="AN1384">
        <f>IF($C1384="","",IF($Z1384="Yes",1,0))</f>
        <v/>
      </c>
      <c r="AO1384">
        <f>IF($AK1384=1,IFERROR(IF(VALUE($C1384)&lt;100000000,VALUE($C1384),1000000000),IFERROR(IF(VALUE(MID($C1384,2,20))&lt;100000000,VALUE(MID($C1384,2,20)),1000000000),1000000000))+ROW()/100000,"")</f>
        <v/>
      </c>
    </row>
    <row r="1385">
      <c r="F1385" s="11" t="n"/>
      <c r="N1385" s="7">
        <f>IF($C1385="","",M1385*U1385/100)</f>
        <v/>
      </c>
      <c r="T1385" s="7" t="n"/>
      <c r="U1385" s="7" t="n"/>
      <c r="V1385" s="7">
        <f>IF($C1385="","",U1385*AA1385/100)</f>
        <v/>
      </c>
      <c r="W1385" s="7">
        <f>IF($C1385="","",U1385-V1385)</f>
        <v/>
      </c>
      <c r="X1385" s="7">
        <f>IF($C1385="","",W1385-N1385)</f>
        <v/>
      </c>
      <c r="AA1385">
        <f>IF($C1385="","",IF($AN1385=1,0,IF($AM1385=1,Settings!$C$6,Settings!$C$7))*100)</f>
        <v/>
      </c>
      <c r="AE1385" s="7" t="n"/>
      <c r="AH1385" s="11" t="n"/>
      <c r="AJ1385">
        <f>IF($C1385="","",$C1385&amp;"|"&amp;$D1385&amp;"")</f>
        <v/>
      </c>
      <c r="AK1385">
        <f>IF($C1385="","",IF(COUNTIF($AJ$2:$AJ1385,$AJ1385)=1,1,0))</f>
        <v/>
      </c>
      <c r="AL1385">
        <f>IF($AK1385=1,SUMPRODUCT(--($AO$2:$AO$1501&lt;$AO1385))+1,"")</f>
        <v/>
      </c>
      <c r="AM1385">
        <f>IF($C1385="","",IF(OR($Q1385=TRUE(),$Q1385="TRUE"),1,0))</f>
        <v/>
      </c>
      <c r="AN1385">
        <f>IF($C1385="","",IF($Z1385="Yes",1,0))</f>
        <v/>
      </c>
      <c r="AO1385">
        <f>IF($AK1385=1,IFERROR(IF(VALUE($C1385)&lt;100000000,VALUE($C1385),1000000000),IFERROR(IF(VALUE(MID($C1385,2,20))&lt;100000000,VALUE(MID($C1385,2,20)),1000000000),1000000000))+ROW()/100000,"")</f>
        <v/>
      </c>
    </row>
    <row r="1386">
      <c r="F1386" s="11" t="n"/>
      <c r="N1386" s="7">
        <f>IF($C1386="","",M1386*U1386/100)</f>
        <v/>
      </c>
      <c r="T1386" s="7" t="n"/>
      <c r="U1386" s="7" t="n"/>
      <c r="V1386" s="7">
        <f>IF($C1386="","",U1386*AA1386/100)</f>
        <v/>
      </c>
      <c r="W1386" s="7">
        <f>IF($C1386="","",U1386-V1386)</f>
        <v/>
      </c>
      <c r="X1386" s="7">
        <f>IF($C1386="","",W1386-N1386)</f>
        <v/>
      </c>
      <c r="AA1386">
        <f>IF($C1386="","",IF($AN1386=1,0,IF($AM1386=1,Settings!$C$6,Settings!$C$7))*100)</f>
        <v/>
      </c>
      <c r="AE1386" s="7" t="n"/>
      <c r="AH1386" s="11" t="n"/>
      <c r="AJ1386">
        <f>IF($C1386="","",$C1386&amp;"|"&amp;$D1386&amp;"")</f>
        <v/>
      </c>
      <c r="AK1386">
        <f>IF($C1386="","",IF(COUNTIF($AJ$2:$AJ1386,$AJ1386)=1,1,0))</f>
        <v/>
      </c>
      <c r="AL1386">
        <f>IF($AK1386=1,SUMPRODUCT(--($AO$2:$AO$1501&lt;$AO1386))+1,"")</f>
        <v/>
      </c>
      <c r="AM1386">
        <f>IF($C1386="","",IF(OR($Q1386=TRUE(),$Q1386="TRUE"),1,0))</f>
        <v/>
      </c>
      <c r="AN1386">
        <f>IF($C1386="","",IF($Z1386="Yes",1,0))</f>
        <v/>
      </c>
      <c r="AO1386">
        <f>IF($AK1386=1,IFERROR(IF(VALUE($C1386)&lt;100000000,VALUE($C1386),1000000000),IFERROR(IF(VALUE(MID($C1386,2,20))&lt;100000000,VALUE(MID($C1386,2,20)),1000000000),1000000000))+ROW()/100000,"")</f>
        <v/>
      </c>
    </row>
    <row r="1387">
      <c r="F1387" s="11" t="n"/>
      <c r="N1387" s="7">
        <f>IF($C1387="","",M1387*U1387/100)</f>
        <v/>
      </c>
      <c r="T1387" s="7" t="n"/>
      <c r="U1387" s="7" t="n"/>
      <c r="V1387" s="7">
        <f>IF($C1387="","",U1387*AA1387/100)</f>
        <v/>
      </c>
      <c r="W1387" s="7">
        <f>IF($C1387="","",U1387-V1387)</f>
        <v/>
      </c>
      <c r="X1387" s="7">
        <f>IF($C1387="","",W1387-N1387)</f>
        <v/>
      </c>
      <c r="AA1387">
        <f>IF($C1387="","",IF($AN1387=1,0,IF($AM1387=1,Settings!$C$6,Settings!$C$7))*100)</f>
        <v/>
      </c>
      <c r="AE1387" s="7" t="n"/>
      <c r="AH1387" s="11" t="n"/>
      <c r="AJ1387">
        <f>IF($C1387="","",$C1387&amp;"|"&amp;$D1387&amp;"")</f>
        <v/>
      </c>
      <c r="AK1387">
        <f>IF($C1387="","",IF(COUNTIF($AJ$2:$AJ1387,$AJ1387)=1,1,0))</f>
        <v/>
      </c>
      <c r="AL1387">
        <f>IF($AK1387=1,SUMPRODUCT(--($AO$2:$AO$1501&lt;$AO1387))+1,"")</f>
        <v/>
      </c>
      <c r="AM1387">
        <f>IF($C1387="","",IF(OR($Q1387=TRUE(),$Q1387="TRUE"),1,0))</f>
        <v/>
      </c>
      <c r="AN1387">
        <f>IF($C1387="","",IF($Z1387="Yes",1,0))</f>
        <v/>
      </c>
      <c r="AO1387">
        <f>IF($AK1387=1,IFERROR(IF(VALUE($C1387)&lt;100000000,VALUE($C1387),1000000000),IFERROR(IF(VALUE(MID($C1387,2,20))&lt;100000000,VALUE(MID($C1387,2,20)),1000000000),1000000000))+ROW()/100000,"")</f>
        <v/>
      </c>
    </row>
    <row r="1388">
      <c r="F1388" s="11" t="n"/>
      <c r="N1388" s="7">
        <f>IF($C1388="","",M1388*U1388/100)</f>
        <v/>
      </c>
      <c r="T1388" s="7" t="n"/>
      <c r="U1388" s="7" t="n"/>
      <c r="V1388" s="7">
        <f>IF($C1388="","",U1388*AA1388/100)</f>
        <v/>
      </c>
      <c r="W1388" s="7">
        <f>IF($C1388="","",U1388-V1388)</f>
        <v/>
      </c>
      <c r="X1388" s="7">
        <f>IF($C1388="","",W1388-N1388)</f>
        <v/>
      </c>
      <c r="AA1388">
        <f>IF($C1388="","",IF($AN1388=1,0,IF($AM1388=1,Settings!$C$6,Settings!$C$7))*100)</f>
        <v/>
      </c>
      <c r="AE1388" s="7" t="n"/>
      <c r="AH1388" s="11" t="n"/>
      <c r="AJ1388">
        <f>IF($C1388="","",$C1388&amp;"|"&amp;$D1388&amp;"")</f>
        <v/>
      </c>
      <c r="AK1388">
        <f>IF($C1388="","",IF(COUNTIF($AJ$2:$AJ1388,$AJ1388)=1,1,0))</f>
        <v/>
      </c>
      <c r="AL1388">
        <f>IF($AK1388=1,SUMPRODUCT(--($AO$2:$AO$1501&lt;$AO1388))+1,"")</f>
        <v/>
      </c>
      <c r="AM1388">
        <f>IF($C1388="","",IF(OR($Q1388=TRUE(),$Q1388="TRUE"),1,0))</f>
        <v/>
      </c>
      <c r="AN1388">
        <f>IF($C1388="","",IF($Z1388="Yes",1,0))</f>
        <v/>
      </c>
      <c r="AO1388">
        <f>IF($AK1388=1,IFERROR(IF(VALUE($C1388)&lt;100000000,VALUE($C1388),1000000000),IFERROR(IF(VALUE(MID($C1388,2,20))&lt;100000000,VALUE(MID($C1388,2,20)),1000000000),1000000000))+ROW()/100000,"")</f>
        <v/>
      </c>
    </row>
    <row r="1389">
      <c r="F1389" s="11" t="n"/>
      <c r="N1389" s="7">
        <f>IF($C1389="","",M1389*U1389/100)</f>
        <v/>
      </c>
      <c r="T1389" s="7" t="n"/>
      <c r="U1389" s="7" t="n"/>
      <c r="V1389" s="7">
        <f>IF($C1389="","",U1389*AA1389/100)</f>
        <v/>
      </c>
      <c r="W1389" s="7">
        <f>IF($C1389="","",U1389-V1389)</f>
        <v/>
      </c>
      <c r="X1389" s="7">
        <f>IF($C1389="","",W1389-N1389)</f>
        <v/>
      </c>
      <c r="AA1389">
        <f>IF($C1389="","",IF($AN1389=1,0,IF($AM1389=1,Settings!$C$6,Settings!$C$7))*100)</f>
        <v/>
      </c>
      <c r="AE1389" s="7" t="n"/>
      <c r="AH1389" s="11" t="n"/>
      <c r="AJ1389">
        <f>IF($C1389="","",$C1389&amp;"|"&amp;$D1389&amp;"")</f>
        <v/>
      </c>
      <c r="AK1389">
        <f>IF($C1389="","",IF(COUNTIF($AJ$2:$AJ1389,$AJ1389)=1,1,0))</f>
        <v/>
      </c>
      <c r="AL1389">
        <f>IF($AK1389=1,SUMPRODUCT(--($AO$2:$AO$1501&lt;$AO1389))+1,"")</f>
        <v/>
      </c>
      <c r="AM1389">
        <f>IF($C1389="","",IF(OR($Q1389=TRUE(),$Q1389="TRUE"),1,0))</f>
        <v/>
      </c>
      <c r="AN1389">
        <f>IF($C1389="","",IF($Z1389="Yes",1,0))</f>
        <v/>
      </c>
      <c r="AO1389">
        <f>IF($AK1389=1,IFERROR(IF(VALUE($C1389)&lt;100000000,VALUE($C1389),1000000000),IFERROR(IF(VALUE(MID($C1389,2,20))&lt;100000000,VALUE(MID($C1389,2,20)),1000000000),1000000000))+ROW()/100000,"")</f>
        <v/>
      </c>
    </row>
    <row r="1390">
      <c r="F1390" s="11" t="n"/>
      <c r="N1390" s="7">
        <f>IF($C1390="","",M1390*U1390/100)</f>
        <v/>
      </c>
      <c r="T1390" s="7" t="n"/>
      <c r="U1390" s="7" t="n"/>
      <c r="V1390" s="7">
        <f>IF($C1390="","",U1390*AA1390/100)</f>
        <v/>
      </c>
      <c r="W1390" s="7">
        <f>IF($C1390="","",U1390-V1390)</f>
        <v/>
      </c>
      <c r="X1390" s="7">
        <f>IF($C1390="","",W1390-N1390)</f>
        <v/>
      </c>
      <c r="AA1390">
        <f>IF($C1390="","",IF($AN1390=1,0,IF($AM1390=1,Settings!$C$6,Settings!$C$7))*100)</f>
        <v/>
      </c>
      <c r="AE1390" s="7" t="n"/>
      <c r="AH1390" s="11" t="n"/>
      <c r="AJ1390">
        <f>IF($C1390="","",$C1390&amp;"|"&amp;$D1390&amp;"")</f>
        <v/>
      </c>
      <c r="AK1390">
        <f>IF($C1390="","",IF(COUNTIF($AJ$2:$AJ1390,$AJ1390)=1,1,0))</f>
        <v/>
      </c>
      <c r="AL1390">
        <f>IF($AK1390=1,SUMPRODUCT(--($AO$2:$AO$1501&lt;$AO1390))+1,"")</f>
        <v/>
      </c>
      <c r="AM1390">
        <f>IF($C1390="","",IF(OR($Q1390=TRUE(),$Q1390="TRUE"),1,0))</f>
        <v/>
      </c>
      <c r="AN1390">
        <f>IF($C1390="","",IF($Z1390="Yes",1,0))</f>
        <v/>
      </c>
      <c r="AO1390">
        <f>IF($AK1390=1,IFERROR(IF(VALUE($C1390)&lt;100000000,VALUE($C1390),1000000000),IFERROR(IF(VALUE(MID($C1390,2,20))&lt;100000000,VALUE(MID($C1390,2,20)),1000000000),1000000000))+ROW()/100000,"")</f>
        <v/>
      </c>
    </row>
    <row r="1391">
      <c r="F1391" s="11" t="n"/>
      <c r="N1391" s="7">
        <f>IF($C1391="","",M1391*U1391/100)</f>
        <v/>
      </c>
      <c r="T1391" s="7" t="n"/>
      <c r="U1391" s="7" t="n"/>
      <c r="V1391" s="7">
        <f>IF($C1391="","",U1391*AA1391/100)</f>
        <v/>
      </c>
      <c r="W1391" s="7">
        <f>IF($C1391="","",U1391-V1391)</f>
        <v/>
      </c>
      <c r="X1391" s="7">
        <f>IF($C1391="","",W1391-N1391)</f>
        <v/>
      </c>
      <c r="AA1391">
        <f>IF($C1391="","",IF($AN1391=1,0,IF($AM1391=1,Settings!$C$6,Settings!$C$7))*100)</f>
        <v/>
      </c>
      <c r="AE1391" s="7" t="n"/>
      <c r="AH1391" s="11" t="n"/>
      <c r="AJ1391">
        <f>IF($C1391="","",$C1391&amp;"|"&amp;$D1391&amp;"")</f>
        <v/>
      </c>
      <c r="AK1391">
        <f>IF($C1391="","",IF(COUNTIF($AJ$2:$AJ1391,$AJ1391)=1,1,0))</f>
        <v/>
      </c>
      <c r="AL1391">
        <f>IF($AK1391=1,SUMPRODUCT(--($AO$2:$AO$1501&lt;$AO1391))+1,"")</f>
        <v/>
      </c>
      <c r="AM1391">
        <f>IF($C1391="","",IF(OR($Q1391=TRUE(),$Q1391="TRUE"),1,0))</f>
        <v/>
      </c>
      <c r="AN1391">
        <f>IF($C1391="","",IF($Z1391="Yes",1,0))</f>
        <v/>
      </c>
      <c r="AO1391">
        <f>IF($AK1391=1,IFERROR(IF(VALUE($C1391)&lt;100000000,VALUE($C1391),1000000000),IFERROR(IF(VALUE(MID($C1391,2,20))&lt;100000000,VALUE(MID($C1391,2,20)),1000000000),1000000000))+ROW()/100000,"")</f>
        <v/>
      </c>
    </row>
    <row r="1392">
      <c r="F1392" s="11" t="n"/>
      <c r="N1392" s="7">
        <f>IF($C1392="","",M1392*U1392/100)</f>
        <v/>
      </c>
      <c r="T1392" s="7" t="n"/>
      <c r="U1392" s="7" t="n"/>
      <c r="V1392" s="7">
        <f>IF($C1392="","",U1392*AA1392/100)</f>
        <v/>
      </c>
      <c r="W1392" s="7">
        <f>IF($C1392="","",U1392-V1392)</f>
        <v/>
      </c>
      <c r="X1392" s="7">
        <f>IF($C1392="","",W1392-N1392)</f>
        <v/>
      </c>
      <c r="AA1392">
        <f>IF($C1392="","",IF($AN1392=1,0,IF($AM1392=1,Settings!$C$6,Settings!$C$7))*100)</f>
        <v/>
      </c>
      <c r="AE1392" s="7" t="n"/>
      <c r="AH1392" s="11" t="n"/>
      <c r="AJ1392">
        <f>IF($C1392="","",$C1392&amp;"|"&amp;$D1392&amp;"")</f>
        <v/>
      </c>
      <c r="AK1392">
        <f>IF($C1392="","",IF(COUNTIF($AJ$2:$AJ1392,$AJ1392)=1,1,0))</f>
        <v/>
      </c>
      <c r="AL1392">
        <f>IF($AK1392=1,SUMPRODUCT(--($AO$2:$AO$1501&lt;$AO1392))+1,"")</f>
        <v/>
      </c>
      <c r="AM1392">
        <f>IF($C1392="","",IF(OR($Q1392=TRUE(),$Q1392="TRUE"),1,0))</f>
        <v/>
      </c>
      <c r="AN1392">
        <f>IF($C1392="","",IF($Z1392="Yes",1,0))</f>
        <v/>
      </c>
      <c r="AO1392">
        <f>IF($AK1392=1,IFERROR(IF(VALUE($C1392)&lt;100000000,VALUE($C1392),1000000000),IFERROR(IF(VALUE(MID($C1392,2,20))&lt;100000000,VALUE(MID($C1392,2,20)),1000000000),1000000000))+ROW()/100000,"")</f>
        <v/>
      </c>
    </row>
    <row r="1393">
      <c r="F1393" s="11" t="n"/>
      <c r="N1393" s="7">
        <f>IF($C1393="","",M1393*U1393/100)</f>
        <v/>
      </c>
      <c r="T1393" s="7" t="n"/>
      <c r="U1393" s="7" t="n"/>
      <c r="V1393" s="7">
        <f>IF($C1393="","",U1393*AA1393/100)</f>
        <v/>
      </c>
      <c r="W1393" s="7">
        <f>IF($C1393="","",U1393-V1393)</f>
        <v/>
      </c>
      <c r="X1393" s="7">
        <f>IF($C1393="","",W1393-N1393)</f>
        <v/>
      </c>
      <c r="AA1393">
        <f>IF($C1393="","",IF($AN1393=1,0,IF($AM1393=1,Settings!$C$6,Settings!$C$7))*100)</f>
        <v/>
      </c>
      <c r="AE1393" s="7" t="n"/>
      <c r="AH1393" s="11" t="n"/>
      <c r="AJ1393">
        <f>IF($C1393="","",$C1393&amp;"|"&amp;$D1393&amp;"")</f>
        <v/>
      </c>
      <c r="AK1393">
        <f>IF($C1393="","",IF(COUNTIF($AJ$2:$AJ1393,$AJ1393)=1,1,0))</f>
        <v/>
      </c>
      <c r="AL1393">
        <f>IF($AK1393=1,SUMPRODUCT(--($AO$2:$AO$1501&lt;$AO1393))+1,"")</f>
        <v/>
      </c>
      <c r="AM1393">
        <f>IF($C1393="","",IF(OR($Q1393=TRUE(),$Q1393="TRUE"),1,0))</f>
        <v/>
      </c>
      <c r="AN1393">
        <f>IF($C1393="","",IF($Z1393="Yes",1,0))</f>
        <v/>
      </c>
      <c r="AO1393">
        <f>IF($AK1393=1,IFERROR(IF(VALUE($C1393)&lt;100000000,VALUE($C1393),1000000000),IFERROR(IF(VALUE(MID($C1393,2,20))&lt;100000000,VALUE(MID($C1393,2,20)),1000000000),1000000000))+ROW()/100000,"")</f>
        <v/>
      </c>
    </row>
    <row r="1394">
      <c r="F1394" s="11" t="n"/>
      <c r="N1394" s="7">
        <f>IF($C1394="","",M1394*U1394/100)</f>
        <v/>
      </c>
      <c r="T1394" s="7" t="n"/>
      <c r="U1394" s="7" t="n"/>
      <c r="V1394" s="7">
        <f>IF($C1394="","",U1394*AA1394/100)</f>
        <v/>
      </c>
      <c r="W1394" s="7">
        <f>IF($C1394="","",U1394-V1394)</f>
        <v/>
      </c>
      <c r="X1394" s="7">
        <f>IF($C1394="","",W1394-N1394)</f>
        <v/>
      </c>
      <c r="AA1394">
        <f>IF($C1394="","",IF($AN1394=1,0,IF($AM1394=1,Settings!$C$6,Settings!$C$7))*100)</f>
        <v/>
      </c>
      <c r="AE1394" s="7" t="n"/>
      <c r="AH1394" s="11" t="n"/>
      <c r="AJ1394">
        <f>IF($C1394="","",$C1394&amp;"|"&amp;$D1394&amp;"")</f>
        <v/>
      </c>
      <c r="AK1394">
        <f>IF($C1394="","",IF(COUNTIF($AJ$2:$AJ1394,$AJ1394)=1,1,0))</f>
        <v/>
      </c>
      <c r="AL1394">
        <f>IF($AK1394=1,SUMPRODUCT(--($AO$2:$AO$1501&lt;$AO1394))+1,"")</f>
        <v/>
      </c>
      <c r="AM1394">
        <f>IF($C1394="","",IF(OR($Q1394=TRUE(),$Q1394="TRUE"),1,0))</f>
        <v/>
      </c>
      <c r="AN1394">
        <f>IF($C1394="","",IF($Z1394="Yes",1,0))</f>
        <v/>
      </c>
      <c r="AO1394">
        <f>IF($AK1394=1,IFERROR(IF(VALUE($C1394)&lt;100000000,VALUE($C1394),1000000000),IFERROR(IF(VALUE(MID($C1394,2,20))&lt;100000000,VALUE(MID($C1394,2,20)),1000000000),1000000000))+ROW()/100000,"")</f>
        <v/>
      </c>
    </row>
    <row r="1395">
      <c r="F1395" s="11" t="n"/>
      <c r="N1395" s="7">
        <f>IF($C1395="","",M1395*U1395/100)</f>
        <v/>
      </c>
      <c r="T1395" s="7" t="n"/>
      <c r="U1395" s="7" t="n"/>
      <c r="V1395" s="7">
        <f>IF($C1395="","",U1395*AA1395/100)</f>
        <v/>
      </c>
      <c r="W1395" s="7">
        <f>IF($C1395="","",U1395-V1395)</f>
        <v/>
      </c>
      <c r="X1395" s="7">
        <f>IF($C1395="","",W1395-N1395)</f>
        <v/>
      </c>
      <c r="AA1395">
        <f>IF($C1395="","",IF($AN1395=1,0,IF($AM1395=1,Settings!$C$6,Settings!$C$7))*100)</f>
        <v/>
      </c>
      <c r="AE1395" s="7" t="n"/>
      <c r="AH1395" s="11" t="n"/>
      <c r="AJ1395">
        <f>IF($C1395="","",$C1395&amp;"|"&amp;$D1395&amp;"")</f>
        <v/>
      </c>
      <c r="AK1395">
        <f>IF($C1395="","",IF(COUNTIF($AJ$2:$AJ1395,$AJ1395)=1,1,0))</f>
        <v/>
      </c>
      <c r="AL1395">
        <f>IF($AK1395=1,SUMPRODUCT(--($AO$2:$AO$1501&lt;$AO1395))+1,"")</f>
        <v/>
      </c>
      <c r="AM1395">
        <f>IF($C1395="","",IF(OR($Q1395=TRUE(),$Q1395="TRUE"),1,0))</f>
        <v/>
      </c>
      <c r="AN1395">
        <f>IF($C1395="","",IF($Z1395="Yes",1,0))</f>
        <v/>
      </c>
      <c r="AO1395">
        <f>IF($AK1395=1,IFERROR(IF(VALUE($C1395)&lt;100000000,VALUE($C1395),1000000000),IFERROR(IF(VALUE(MID($C1395,2,20))&lt;100000000,VALUE(MID($C1395,2,20)),1000000000),1000000000))+ROW()/100000,"")</f>
        <v/>
      </c>
    </row>
    <row r="1396">
      <c r="F1396" s="11" t="n"/>
      <c r="N1396" s="7">
        <f>IF($C1396="","",M1396*U1396/100)</f>
        <v/>
      </c>
      <c r="T1396" s="7" t="n"/>
      <c r="U1396" s="7" t="n"/>
      <c r="V1396" s="7">
        <f>IF($C1396="","",U1396*AA1396/100)</f>
        <v/>
      </c>
      <c r="W1396" s="7">
        <f>IF($C1396="","",U1396-V1396)</f>
        <v/>
      </c>
      <c r="X1396" s="7">
        <f>IF($C1396="","",W1396-N1396)</f>
        <v/>
      </c>
      <c r="AA1396">
        <f>IF($C1396="","",IF($AN1396=1,0,IF($AM1396=1,Settings!$C$6,Settings!$C$7))*100)</f>
        <v/>
      </c>
      <c r="AE1396" s="7" t="n"/>
      <c r="AH1396" s="11" t="n"/>
      <c r="AJ1396">
        <f>IF($C1396="","",$C1396&amp;"|"&amp;$D1396&amp;"")</f>
        <v/>
      </c>
      <c r="AK1396">
        <f>IF($C1396="","",IF(COUNTIF($AJ$2:$AJ1396,$AJ1396)=1,1,0))</f>
        <v/>
      </c>
      <c r="AL1396">
        <f>IF($AK1396=1,SUMPRODUCT(--($AO$2:$AO$1501&lt;$AO1396))+1,"")</f>
        <v/>
      </c>
      <c r="AM1396">
        <f>IF($C1396="","",IF(OR($Q1396=TRUE(),$Q1396="TRUE"),1,0))</f>
        <v/>
      </c>
      <c r="AN1396">
        <f>IF($C1396="","",IF($Z1396="Yes",1,0))</f>
        <v/>
      </c>
      <c r="AO1396">
        <f>IF($AK1396=1,IFERROR(IF(VALUE($C1396)&lt;100000000,VALUE($C1396),1000000000),IFERROR(IF(VALUE(MID($C1396,2,20))&lt;100000000,VALUE(MID($C1396,2,20)),1000000000),1000000000))+ROW()/100000,"")</f>
        <v/>
      </c>
    </row>
    <row r="1397">
      <c r="F1397" s="11" t="n"/>
      <c r="N1397" s="7">
        <f>IF($C1397="","",M1397*U1397/100)</f>
        <v/>
      </c>
      <c r="T1397" s="7" t="n"/>
      <c r="U1397" s="7" t="n"/>
      <c r="V1397" s="7">
        <f>IF($C1397="","",U1397*AA1397/100)</f>
        <v/>
      </c>
      <c r="W1397" s="7">
        <f>IF($C1397="","",U1397-V1397)</f>
        <v/>
      </c>
      <c r="X1397" s="7">
        <f>IF($C1397="","",W1397-N1397)</f>
        <v/>
      </c>
      <c r="AA1397">
        <f>IF($C1397="","",IF($AN1397=1,0,IF($AM1397=1,Settings!$C$6,Settings!$C$7))*100)</f>
        <v/>
      </c>
      <c r="AE1397" s="7" t="n"/>
      <c r="AH1397" s="11" t="n"/>
      <c r="AJ1397">
        <f>IF($C1397="","",$C1397&amp;"|"&amp;$D1397&amp;"")</f>
        <v/>
      </c>
      <c r="AK1397">
        <f>IF($C1397="","",IF(COUNTIF($AJ$2:$AJ1397,$AJ1397)=1,1,0))</f>
        <v/>
      </c>
      <c r="AL1397">
        <f>IF($AK1397=1,SUMPRODUCT(--($AO$2:$AO$1501&lt;$AO1397))+1,"")</f>
        <v/>
      </c>
      <c r="AM1397">
        <f>IF($C1397="","",IF(OR($Q1397=TRUE(),$Q1397="TRUE"),1,0))</f>
        <v/>
      </c>
      <c r="AN1397">
        <f>IF($C1397="","",IF($Z1397="Yes",1,0))</f>
        <v/>
      </c>
      <c r="AO1397">
        <f>IF($AK1397=1,IFERROR(IF(VALUE($C1397)&lt;100000000,VALUE($C1397),1000000000),IFERROR(IF(VALUE(MID($C1397,2,20))&lt;100000000,VALUE(MID($C1397,2,20)),1000000000),1000000000))+ROW()/100000,"")</f>
        <v/>
      </c>
    </row>
    <row r="1398">
      <c r="F1398" s="11" t="n"/>
      <c r="N1398" s="7">
        <f>IF($C1398="","",M1398*U1398/100)</f>
        <v/>
      </c>
      <c r="T1398" s="7" t="n"/>
      <c r="U1398" s="7" t="n"/>
      <c r="V1398" s="7">
        <f>IF($C1398="","",U1398*AA1398/100)</f>
        <v/>
      </c>
      <c r="W1398" s="7">
        <f>IF($C1398="","",U1398-V1398)</f>
        <v/>
      </c>
      <c r="X1398" s="7">
        <f>IF($C1398="","",W1398-N1398)</f>
        <v/>
      </c>
      <c r="AA1398">
        <f>IF($C1398="","",IF($AN1398=1,0,IF($AM1398=1,Settings!$C$6,Settings!$C$7))*100)</f>
        <v/>
      </c>
      <c r="AE1398" s="7" t="n"/>
      <c r="AH1398" s="11" t="n"/>
      <c r="AJ1398">
        <f>IF($C1398="","",$C1398&amp;"|"&amp;$D1398&amp;"")</f>
        <v/>
      </c>
      <c r="AK1398">
        <f>IF($C1398="","",IF(COUNTIF($AJ$2:$AJ1398,$AJ1398)=1,1,0))</f>
        <v/>
      </c>
      <c r="AL1398">
        <f>IF($AK1398=1,SUMPRODUCT(--($AO$2:$AO$1501&lt;$AO1398))+1,"")</f>
        <v/>
      </c>
      <c r="AM1398">
        <f>IF($C1398="","",IF(OR($Q1398=TRUE(),$Q1398="TRUE"),1,0))</f>
        <v/>
      </c>
      <c r="AN1398">
        <f>IF($C1398="","",IF($Z1398="Yes",1,0))</f>
        <v/>
      </c>
      <c r="AO1398">
        <f>IF($AK1398=1,IFERROR(IF(VALUE($C1398)&lt;100000000,VALUE($C1398),1000000000),IFERROR(IF(VALUE(MID($C1398,2,20))&lt;100000000,VALUE(MID($C1398,2,20)),1000000000),1000000000))+ROW()/100000,"")</f>
        <v/>
      </c>
    </row>
    <row r="1399">
      <c r="F1399" s="11" t="n"/>
      <c r="N1399" s="7">
        <f>IF($C1399="","",M1399*U1399/100)</f>
        <v/>
      </c>
      <c r="T1399" s="7" t="n"/>
      <c r="U1399" s="7" t="n"/>
      <c r="V1399" s="7">
        <f>IF($C1399="","",U1399*AA1399/100)</f>
        <v/>
      </c>
      <c r="W1399" s="7">
        <f>IF($C1399="","",U1399-V1399)</f>
        <v/>
      </c>
      <c r="X1399" s="7">
        <f>IF($C1399="","",W1399-N1399)</f>
        <v/>
      </c>
      <c r="AA1399">
        <f>IF($C1399="","",IF($AN1399=1,0,IF($AM1399=1,Settings!$C$6,Settings!$C$7))*100)</f>
        <v/>
      </c>
      <c r="AE1399" s="7" t="n"/>
      <c r="AH1399" s="11" t="n"/>
      <c r="AJ1399">
        <f>IF($C1399="","",$C1399&amp;"|"&amp;$D1399&amp;"")</f>
        <v/>
      </c>
      <c r="AK1399">
        <f>IF($C1399="","",IF(COUNTIF($AJ$2:$AJ1399,$AJ1399)=1,1,0))</f>
        <v/>
      </c>
      <c r="AL1399">
        <f>IF($AK1399=1,SUMPRODUCT(--($AO$2:$AO$1501&lt;$AO1399))+1,"")</f>
        <v/>
      </c>
      <c r="AM1399">
        <f>IF($C1399="","",IF(OR($Q1399=TRUE(),$Q1399="TRUE"),1,0))</f>
        <v/>
      </c>
      <c r="AN1399">
        <f>IF($C1399="","",IF($Z1399="Yes",1,0))</f>
        <v/>
      </c>
      <c r="AO1399">
        <f>IF($AK1399=1,IFERROR(IF(VALUE($C1399)&lt;100000000,VALUE($C1399),1000000000),IFERROR(IF(VALUE(MID($C1399,2,20))&lt;100000000,VALUE(MID($C1399,2,20)),1000000000),1000000000))+ROW()/100000,"")</f>
        <v/>
      </c>
    </row>
    <row r="1400">
      <c r="F1400" s="11" t="n"/>
      <c r="N1400" s="7">
        <f>IF($C1400="","",M1400*U1400/100)</f>
        <v/>
      </c>
      <c r="T1400" s="7" t="n"/>
      <c r="U1400" s="7" t="n"/>
      <c r="V1400" s="7">
        <f>IF($C1400="","",U1400*AA1400/100)</f>
        <v/>
      </c>
      <c r="W1400" s="7">
        <f>IF($C1400="","",U1400-V1400)</f>
        <v/>
      </c>
      <c r="X1400" s="7">
        <f>IF($C1400="","",W1400-N1400)</f>
        <v/>
      </c>
      <c r="AA1400">
        <f>IF($C1400="","",IF($AN1400=1,0,IF($AM1400=1,Settings!$C$6,Settings!$C$7))*100)</f>
        <v/>
      </c>
      <c r="AE1400" s="7" t="n"/>
      <c r="AH1400" s="11" t="n"/>
      <c r="AJ1400">
        <f>IF($C1400="","",$C1400&amp;"|"&amp;$D1400&amp;"")</f>
        <v/>
      </c>
      <c r="AK1400">
        <f>IF($C1400="","",IF(COUNTIF($AJ$2:$AJ1400,$AJ1400)=1,1,0))</f>
        <v/>
      </c>
      <c r="AL1400">
        <f>IF($AK1400=1,SUMPRODUCT(--($AO$2:$AO$1501&lt;$AO1400))+1,"")</f>
        <v/>
      </c>
      <c r="AM1400">
        <f>IF($C1400="","",IF(OR($Q1400=TRUE(),$Q1400="TRUE"),1,0))</f>
        <v/>
      </c>
      <c r="AN1400">
        <f>IF($C1400="","",IF($Z1400="Yes",1,0))</f>
        <v/>
      </c>
      <c r="AO1400">
        <f>IF($AK1400=1,IFERROR(IF(VALUE($C1400)&lt;100000000,VALUE($C1400),1000000000),IFERROR(IF(VALUE(MID($C1400,2,20))&lt;100000000,VALUE(MID($C1400,2,20)),1000000000),1000000000))+ROW()/100000,"")</f>
        <v/>
      </c>
    </row>
    <row r="1401">
      <c r="F1401" s="11" t="n"/>
      <c r="N1401" s="7">
        <f>IF($C1401="","",M1401*U1401/100)</f>
        <v/>
      </c>
      <c r="T1401" s="7" t="n"/>
      <c r="U1401" s="7" t="n"/>
      <c r="V1401" s="7">
        <f>IF($C1401="","",U1401*AA1401/100)</f>
        <v/>
      </c>
      <c r="W1401" s="7">
        <f>IF($C1401="","",U1401-V1401)</f>
        <v/>
      </c>
      <c r="X1401" s="7">
        <f>IF($C1401="","",W1401-N1401)</f>
        <v/>
      </c>
      <c r="AA1401">
        <f>IF($C1401="","",IF($AN1401=1,0,IF($AM1401=1,Settings!$C$6,Settings!$C$7))*100)</f>
        <v/>
      </c>
      <c r="AE1401" s="7" t="n"/>
      <c r="AH1401" s="11" t="n"/>
      <c r="AJ1401">
        <f>IF($C1401="","",$C1401&amp;"|"&amp;$D1401&amp;"")</f>
        <v/>
      </c>
      <c r="AK1401">
        <f>IF($C1401="","",IF(COUNTIF($AJ$2:$AJ1401,$AJ1401)=1,1,0))</f>
        <v/>
      </c>
      <c r="AL1401">
        <f>IF($AK1401=1,SUMPRODUCT(--($AO$2:$AO$1501&lt;$AO1401))+1,"")</f>
        <v/>
      </c>
      <c r="AM1401">
        <f>IF($C1401="","",IF(OR($Q1401=TRUE(),$Q1401="TRUE"),1,0))</f>
        <v/>
      </c>
      <c r="AN1401">
        <f>IF($C1401="","",IF($Z1401="Yes",1,0))</f>
        <v/>
      </c>
      <c r="AO1401">
        <f>IF($AK1401=1,IFERROR(IF(VALUE($C1401)&lt;100000000,VALUE($C1401),1000000000),IFERROR(IF(VALUE(MID($C1401,2,20))&lt;100000000,VALUE(MID($C1401,2,20)),1000000000),1000000000))+ROW()/100000,"")</f>
        <v/>
      </c>
    </row>
    <row r="1402">
      <c r="F1402" s="11" t="n"/>
      <c r="N1402" s="7">
        <f>IF($C1402="","",M1402*U1402/100)</f>
        <v/>
      </c>
      <c r="T1402" s="7" t="n"/>
      <c r="U1402" s="7" t="n"/>
      <c r="V1402" s="7">
        <f>IF($C1402="","",U1402*AA1402/100)</f>
        <v/>
      </c>
      <c r="W1402" s="7">
        <f>IF($C1402="","",U1402-V1402)</f>
        <v/>
      </c>
      <c r="X1402" s="7">
        <f>IF($C1402="","",W1402-N1402)</f>
        <v/>
      </c>
      <c r="AA1402">
        <f>IF($C1402="","",IF($AN1402=1,0,IF($AM1402=1,Settings!$C$6,Settings!$C$7))*100)</f>
        <v/>
      </c>
      <c r="AE1402" s="7" t="n"/>
      <c r="AH1402" s="11" t="n"/>
      <c r="AJ1402">
        <f>IF($C1402="","",$C1402&amp;"|"&amp;$D1402&amp;"")</f>
        <v/>
      </c>
      <c r="AK1402">
        <f>IF($C1402="","",IF(COUNTIF($AJ$2:$AJ1402,$AJ1402)=1,1,0))</f>
        <v/>
      </c>
      <c r="AL1402">
        <f>IF($AK1402=1,SUMPRODUCT(--($AO$2:$AO$1501&lt;$AO1402))+1,"")</f>
        <v/>
      </c>
      <c r="AM1402">
        <f>IF($C1402="","",IF(OR($Q1402=TRUE(),$Q1402="TRUE"),1,0))</f>
        <v/>
      </c>
      <c r="AN1402">
        <f>IF($C1402="","",IF($Z1402="Yes",1,0))</f>
        <v/>
      </c>
      <c r="AO1402">
        <f>IF($AK1402=1,IFERROR(IF(VALUE($C1402)&lt;100000000,VALUE($C1402),1000000000),IFERROR(IF(VALUE(MID($C1402,2,20))&lt;100000000,VALUE(MID($C1402,2,20)),1000000000),1000000000))+ROW()/100000,"")</f>
        <v/>
      </c>
    </row>
    <row r="1403">
      <c r="F1403" s="11" t="n"/>
      <c r="N1403" s="7">
        <f>IF($C1403="","",M1403*U1403/100)</f>
        <v/>
      </c>
      <c r="T1403" s="7" t="n"/>
      <c r="U1403" s="7" t="n"/>
      <c r="V1403" s="7">
        <f>IF($C1403="","",U1403*AA1403/100)</f>
        <v/>
      </c>
      <c r="W1403" s="7">
        <f>IF($C1403="","",U1403-V1403)</f>
        <v/>
      </c>
      <c r="X1403" s="7">
        <f>IF($C1403="","",W1403-N1403)</f>
        <v/>
      </c>
      <c r="AA1403">
        <f>IF($C1403="","",IF($AN1403=1,0,IF($AM1403=1,Settings!$C$6,Settings!$C$7))*100)</f>
        <v/>
      </c>
      <c r="AE1403" s="7" t="n"/>
      <c r="AH1403" s="11" t="n"/>
      <c r="AJ1403">
        <f>IF($C1403="","",$C1403&amp;"|"&amp;$D1403&amp;"")</f>
        <v/>
      </c>
      <c r="AK1403">
        <f>IF($C1403="","",IF(COUNTIF($AJ$2:$AJ1403,$AJ1403)=1,1,0))</f>
        <v/>
      </c>
      <c r="AL1403">
        <f>IF($AK1403=1,SUMPRODUCT(--($AO$2:$AO$1501&lt;$AO1403))+1,"")</f>
        <v/>
      </c>
      <c r="AM1403">
        <f>IF($C1403="","",IF(OR($Q1403=TRUE(),$Q1403="TRUE"),1,0))</f>
        <v/>
      </c>
      <c r="AN1403">
        <f>IF($C1403="","",IF($Z1403="Yes",1,0))</f>
        <v/>
      </c>
      <c r="AO1403">
        <f>IF($AK1403=1,IFERROR(IF(VALUE($C1403)&lt;100000000,VALUE($C1403),1000000000),IFERROR(IF(VALUE(MID($C1403,2,20))&lt;100000000,VALUE(MID($C1403,2,20)),1000000000),1000000000))+ROW()/100000,"")</f>
        <v/>
      </c>
    </row>
    <row r="1404">
      <c r="F1404" s="11" t="n"/>
      <c r="N1404" s="7">
        <f>IF($C1404="","",M1404*U1404/100)</f>
        <v/>
      </c>
      <c r="T1404" s="7" t="n"/>
      <c r="U1404" s="7" t="n"/>
      <c r="V1404" s="7">
        <f>IF($C1404="","",U1404*AA1404/100)</f>
        <v/>
      </c>
      <c r="W1404" s="7">
        <f>IF($C1404="","",U1404-V1404)</f>
        <v/>
      </c>
      <c r="X1404" s="7">
        <f>IF($C1404="","",W1404-N1404)</f>
        <v/>
      </c>
      <c r="AA1404">
        <f>IF($C1404="","",IF($AN1404=1,0,IF($AM1404=1,Settings!$C$6,Settings!$C$7))*100)</f>
        <v/>
      </c>
      <c r="AE1404" s="7" t="n"/>
      <c r="AH1404" s="11" t="n"/>
      <c r="AJ1404">
        <f>IF($C1404="","",$C1404&amp;"|"&amp;$D1404&amp;"")</f>
        <v/>
      </c>
      <c r="AK1404">
        <f>IF($C1404="","",IF(COUNTIF($AJ$2:$AJ1404,$AJ1404)=1,1,0))</f>
        <v/>
      </c>
      <c r="AL1404">
        <f>IF($AK1404=1,SUMPRODUCT(--($AO$2:$AO$1501&lt;$AO1404))+1,"")</f>
        <v/>
      </c>
      <c r="AM1404">
        <f>IF($C1404="","",IF(OR($Q1404=TRUE(),$Q1404="TRUE"),1,0))</f>
        <v/>
      </c>
      <c r="AN1404">
        <f>IF($C1404="","",IF($Z1404="Yes",1,0))</f>
        <v/>
      </c>
      <c r="AO1404">
        <f>IF($AK1404=1,IFERROR(IF(VALUE($C1404)&lt;100000000,VALUE($C1404),1000000000),IFERROR(IF(VALUE(MID($C1404,2,20))&lt;100000000,VALUE(MID($C1404,2,20)),1000000000),1000000000))+ROW()/100000,"")</f>
        <v/>
      </c>
    </row>
    <row r="1405">
      <c r="F1405" s="11" t="n"/>
      <c r="N1405" s="7">
        <f>IF($C1405="","",M1405*U1405/100)</f>
        <v/>
      </c>
      <c r="T1405" s="7" t="n"/>
      <c r="U1405" s="7" t="n"/>
      <c r="V1405" s="7">
        <f>IF($C1405="","",U1405*AA1405/100)</f>
        <v/>
      </c>
      <c r="W1405" s="7">
        <f>IF($C1405="","",U1405-V1405)</f>
        <v/>
      </c>
      <c r="X1405" s="7">
        <f>IF($C1405="","",W1405-N1405)</f>
        <v/>
      </c>
      <c r="AA1405">
        <f>IF($C1405="","",IF($AN1405=1,0,IF($AM1405=1,Settings!$C$6,Settings!$C$7))*100)</f>
        <v/>
      </c>
      <c r="AE1405" s="7" t="n"/>
      <c r="AH1405" s="11" t="n"/>
      <c r="AJ1405">
        <f>IF($C1405="","",$C1405&amp;"|"&amp;$D1405&amp;"")</f>
        <v/>
      </c>
      <c r="AK1405">
        <f>IF($C1405="","",IF(COUNTIF($AJ$2:$AJ1405,$AJ1405)=1,1,0))</f>
        <v/>
      </c>
      <c r="AL1405">
        <f>IF($AK1405=1,SUMPRODUCT(--($AO$2:$AO$1501&lt;$AO1405))+1,"")</f>
        <v/>
      </c>
      <c r="AM1405">
        <f>IF($C1405="","",IF(OR($Q1405=TRUE(),$Q1405="TRUE"),1,0))</f>
        <v/>
      </c>
      <c r="AN1405">
        <f>IF($C1405="","",IF($Z1405="Yes",1,0))</f>
        <v/>
      </c>
      <c r="AO1405">
        <f>IF($AK1405=1,IFERROR(IF(VALUE($C1405)&lt;100000000,VALUE($C1405),1000000000),IFERROR(IF(VALUE(MID($C1405,2,20))&lt;100000000,VALUE(MID($C1405,2,20)),1000000000),1000000000))+ROW()/100000,"")</f>
        <v/>
      </c>
    </row>
    <row r="1406">
      <c r="F1406" s="11" t="n"/>
      <c r="N1406" s="7">
        <f>IF($C1406="","",M1406*U1406/100)</f>
        <v/>
      </c>
      <c r="T1406" s="7" t="n"/>
      <c r="U1406" s="7" t="n"/>
      <c r="V1406" s="7">
        <f>IF($C1406="","",U1406*AA1406/100)</f>
        <v/>
      </c>
      <c r="W1406" s="7">
        <f>IF($C1406="","",U1406-V1406)</f>
        <v/>
      </c>
      <c r="X1406" s="7">
        <f>IF($C1406="","",W1406-N1406)</f>
        <v/>
      </c>
      <c r="AA1406">
        <f>IF($C1406="","",IF($AN1406=1,0,IF($AM1406=1,Settings!$C$6,Settings!$C$7))*100)</f>
        <v/>
      </c>
      <c r="AE1406" s="7" t="n"/>
      <c r="AH1406" s="11" t="n"/>
      <c r="AJ1406">
        <f>IF($C1406="","",$C1406&amp;"|"&amp;$D1406&amp;"")</f>
        <v/>
      </c>
      <c r="AK1406">
        <f>IF($C1406="","",IF(COUNTIF($AJ$2:$AJ1406,$AJ1406)=1,1,0))</f>
        <v/>
      </c>
      <c r="AL1406">
        <f>IF($AK1406=1,SUMPRODUCT(--($AO$2:$AO$1501&lt;$AO1406))+1,"")</f>
        <v/>
      </c>
      <c r="AM1406">
        <f>IF($C1406="","",IF(OR($Q1406=TRUE(),$Q1406="TRUE"),1,0))</f>
        <v/>
      </c>
      <c r="AN1406">
        <f>IF($C1406="","",IF($Z1406="Yes",1,0))</f>
        <v/>
      </c>
      <c r="AO1406">
        <f>IF($AK1406=1,IFERROR(IF(VALUE($C1406)&lt;100000000,VALUE($C1406),1000000000),IFERROR(IF(VALUE(MID($C1406,2,20))&lt;100000000,VALUE(MID($C1406,2,20)),1000000000),1000000000))+ROW()/100000,"")</f>
        <v/>
      </c>
    </row>
    <row r="1407">
      <c r="F1407" s="11" t="n"/>
      <c r="N1407" s="7">
        <f>IF($C1407="","",M1407*U1407/100)</f>
        <v/>
      </c>
      <c r="T1407" s="7" t="n"/>
      <c r="U1407" s="7" t="n"/>
      <c r="V1407" s="7">
        <f>IF($C1407="","",U1407*AA1407/100)</f>
        <v/>
      </c>
      <c r="W1407" s="7">
        <f>IF($C1407="","",U1407-V1407)</f>
        <v/>
      </c>
      <c r="X1407" s="7">
        <f>IF($C1407="","",W1407-N1407)</f>
        <v/>
      </c>
      <c r="AA1407">
        <f>IF($C1407="","",IF($AN1407=1,0,IF($AM1407=1,Settings!$C$6,Settings!$C$7))*100)</f>
        <v/>
      </c>
      <c r="AE1407" s="7" t="n"/>
      <c r="AH1407" s="11" t="n"/>
      <c r="AJ1407">
        <f>IF($C1407="","",$C1407&amp;"|"&amp;$D1407&amp;"")</f>
        <v/>
      </c>
      <c r="AK1407">
        <f>IF($C1407="","",IF(COUNTIF($AJ$2:$AJ1407,$AJ1407)=1,1,0))</f>
        <v/>
      </c>
      <c r="AL1407">
        <f>IF($AK1407=1,SUMPRODUCT(--($AO$2:$AO$1501&lt;$AO1407))+1,"")</f>
        <v/>
      </c>
      <c r="AM1407">
        <f>IF($C1407="","",IF(OR($Q1407=TRUE(),$Q1407="TRUE"),1,0))</f>
        <v/>
      </c>
      <c r="AN1407">
        <f>IF($C1407="","",IF($Z1407="Yes",1,0))</f>
        <v/>
      </c>
      <c r="AO1407">
        <f>IF($AK1407=1,IFERROR(IF(VALUE($C1407)&lt;100000000,VALUE($C1407),1000000000),IFERROR(IF(VALUE(MID($C1407,2,20))&lt;100000000,VALUE(MID($C1407,2,20)),1000000000),1000000000))+ROW()/100000,"")</f>
        <v/>
      </c>
    </row>
    <row r="1408">
      <c r="F1408" s="11" t="n"/>
      <c r="N1408" s="7">
        <f>IF($C1408="","",M1408*U1408/100)</f>
        <v/>
      </c>
      <c r="T1408" s="7" t="n"/>
      <c r="U1408" s="7" t="n"/>
      <c r="V1408" s="7">
        <f>IF($C1408="","",U1408*AA1408/100)</f>
        <v/>
      </c>
      <c r="W1408" s="7">
        <f>IF($C1408="","",U1408-V1408)</f>
        <v/>
      </c>
      <c r="X1408" s="7">
        <f>IF($C1408="","",W1408-N1408)</f>
        <v/>
      </c>
      <c r="AA1408">
        <f>IF($C1408="","",IF($AN1408=1,0,IF($AM1408=1,Settings!$C$6,Settings!$C$7))*100)</f>
        <v/>
      </c>
      <c r="AE1408" s="7" t="n"/>
      <c r="AH1408" s="11" t="n"/>
      <c r="AJ1408">
        <f>IF($C1408="","",$C1408&amp;"|"&amp;$D1408&amp;"")</f>
        <v/>
      </c>
      <c r="AK1408">
        <f>IF($C1408="","",IF(COUNTIF($AJ$2:$AJ1408,$AJ1408)=1,1,0))</f>
        <v/>
      </c>
      <c r="AL1408">
        <f>IF($AK1408=1,SUMPRODUCT(--($AO$2:$AO$1501&lt;$AO1408))+1,"")</f>
        <v/>
      </c>
      <c r="AM1408">
        <f>IF($C1408="","",IF(OR($Q1408=TRUE(),$Q1408="TRUE"),1,0))</f>
        <v/>
      </c>
      <c r="AN1408">
        <f>IF($C1408="","",IF($Z1408="Yes",1,0))</f>
        <v/>
      </c>
      <c r="AO1408">
        <f>IF($AK1408=1,IFERROR(IF(VALUE($C1408)&lt;100000000,VALUE($C1408),1000000000),IFERROR(IF(VALUE(MID($C1408,2,20))&lt;100000000,VALUE(MID($C1408,2,20)),1000000000),1000000000))+ROW()/100000,"")</f>
        <v/>
      </c>
    </row>
    <row r="1409">
      <c r="F1409" s="11" t="n"/>
      <c r="N1409" s="7">
        <f>IF($C1409="","",M1409*U1409/100)</f>
        <v/>
      </c>
      <c r="T1409" s="7" t="n"/>
      <c r="U1409" s="7" t="n"/>
      <c r="V1409" s="7">
        <f>IF($C1409="","",U1409*AA1409/100)</f>
        <v/>
      </c>
      <c r="W1409" s="7">
        <f>IF($C1409="","",U1409-V1409)</f>
        <v/>
      </c>
      <c r="X1409" s="7">
        <f>IF($C1409="","",W1409-N1409)</f>
        <v/>
      </c>
      <c r="AA1409">
        <f>IF($C1409="","",IF($AN1409=1,0,IF($AM1409=1,Settings!$C$6,Settings!$C$7))*100)</f>
        <v/>
      </c>
      <c r="AE1409" s="7" t="n"/>
      <c r="AH1409" s="11" t="n"/>
      <c r="AJ1409">
        <f>IF($C1409="","",$C1409&amp;"|"&amp;$D1409&amp;"")</f>
        <v/>
      </c>
      <c r="AK1409">
        <f>IF($C1409="","",IF(COUNTIF($AJ$2:$AJ1409,$AJ1409)=1,1,0))</f>
        <v/>
      </c>
      <c r="AL1409">
        <f>IF($AK1409=1,SUMPRODUCT(--($AO$2:$AO$1501&lt;$AO1409))+1,"")</f>
        <v/>
      </c>
      <c r="AM1409">
        <f>IF($C1409="","",IF(OR($Q1409=TRUE(),$Q1409="TRUE"),1,0))</f>
        <v/>
      </c>
      <c r="AN1409">
        <f>IF($C1409="","",IF($Z1409="Yes",1,0))</f>
        <v/>
      </c>
      <c r="AO1409">
        <f>IF($AK1409=1,IFERROR(IF(VALUE($C1409)&lt;100000000,VALUE($C1409),1000000000),IFERROR(IF(VALUE(MID($C1409,2,20))&lt;100000000,VALUE(MID($C1409,2,20)),1000000000),1000000000))+ROW()/100000,"")</f>
        <v/>
      </c>
    </row>
    <row r="1410">
      <c r="F1410" s="11" t="n"/>
      <c r="N1410" s="7">
        <f>IF($C1410="","",M1410*U1410/100)</f>
        <v/>
      </c>
      <c r="T1410" s="7" t="n"/>
      <c r="U1410" s="7" t="n"/>
      <c r="V1410" s="7">
        <f>IF($C1410="","",U1410*AA1410/100)</f>
        <v/>
      </c>
      <c r="W1410" s="7">
        <f>IF($C1410="","",U1410-V1410)</f>
        <v/>
      </c>
      <c r="X1410" s="7">
        <f>IF($C1410="","",W1410-N1410)</f>
        <v/>
      </c>
      <c r="AA1410">
        <f>IF($C1410="","",IF($AN1410=1,0,IF($AM1410=1,Settings!$C$6,Settings!$C$7))*100)</f>
        <v/>
      </c>
      <c r="AE1410" s="7" t="n"/>
      <c r="AH1410" s="11" t="n"/>
      <c r="AJ1410">
        <f>IF($C1410="","",$C1410&amp;"|"&amp;$D1410&amp;"")</f>
        <v/>
      </c>
      <c r="AK1410">
        <f>IF($C1410="","",IF(COUNTIF($AJ$2:$AJ1410,$AJ1410)=1,1,0))</f>
        <v/>
      </c>
      <c r="AL1410">
        <f>IF($AK1410=1,SUMPRODUCT(--($AO$2:$AO$1501&lt;$AO1410))+1,"")</f>
        <v/>
      </c>
      <c r="AM1410">
        <f>IF($C1410="","",IF(OR($Q1410=TRUE(),$Q1410="TRUE"),1,0))</f>
        <v/>
      </c>
      <c r="AN1410">
        <f>IF($C1410="","",IF($Z1410="Yes",1,0))</f>
        <v/>
      </c>
      <c r="AO1410">
        <f>IF($AK1410=1,IFERROR(IF(VALUE($C1410)&lt;100000000,VALUE($C1410),1000000000),IFERROR(IF(VALUE(MID($C1410,2,20))&lt;100000000,VALUE(MID($C1410,2,20)),1000000000),1000000000))+ROW()/100000,"")</f>
        <v/>
      </c>
    </row>
    <row r="1411">
      <c r="F1411" s="11" t="n"/>
      <c r="N1411" s="7">
        <f>IF($C1411="","",M1411*U1411/100)</f>
        <v/>
      </c>
      <c r="T1411" s="7" t="n"/>
      <c r="U1411" s="7" t="n"/>
      <c r="V1411" s="7">
        <f>IF($C1411="","",U1411*AA1411/100)</f>
        <v/>
      </c>
      <c r="W1411" s="7">
        <f>IF($C1411="","",U1411-V1411)</f>
        <v/>
      </c>
      <c r="X1411" s="7">
        <f>IF($C1411="","",W1411-N1411)</f>
        <v/>
      </c>
      <c r="AA1411">
        <f>IF($C1411="","",IF($AN1411=1,0,IF($AM1411=1,Settings!$C$6,Settings!$C$7))*100)</f>
        <v/>
      </c>
      <c r="AE1411" s="7" t="n"/>
      <c r="AH1411" s="11" t="n"/>
      <c r="AJ1411">
        <f>IF($C1411="","",$C1411&amp;"|"&amp;$D1411&amp;"")</f>
        <v/>
      </c>
      <c r="AK1411">
        <f>IF($C1411="","",IF(COUNTIF($AJ$2:$AJ1411,$AJ1411)=1,1,0))</f>
        <v/>
      </c>
      <c r="AL1411">
        <f>IF($AK1411=1,SUMPRODUCT(--($AO$2:$AO$1501&lt;$AO1411))+1,"")</f>
        <v/>
      </c>
      <c r="AM1411">
        <f>IF($C1411="","",IF(OR($Q1411=TRUE(),$Q1411="TRUE"),1,0))</f>
        <v/>
      </c>
      <c r="AN1411">
        <f>IF($C1411="","",IF($Z1411="Yes",1,0))</f>
        <v/>
      </c>
      <c r="AO1411">
        <f>IF($AK1411=1,IFERROR(IF(VALUE($C1411)&lt;100000000,VALUE($C1411),1000000000),IFERROR(IF(VALUE(MID($C1411,2,20))&lt;100000000,VALUE(MID($C1411,2,20)),1000000000),1000000000))+ROW()/100000,"")</f>
        <v/>
      </c>
    </row>
    <row r="1412">
      <c r="F1412" s="11" t="n"/>
      <c r="N1412" s="7">
        <f>IF($C1412="","",M1412*U1412/100)</f>
        <v/>
      </c>
      <c r="T1412" s="7" t="n"/>
      <c r="U1412" s="7" t="n"/>
      <c r="V1412" s="7">
        <f>IF($C1412="","",U1412*AA1412/100)</f>
        <v/>
      </c>
      <c r="W1412" s="7">
        <f>IF($C1412="","",U1412-V1412)</f>
        <v/>
      </c>
      <c r="X1412" s="7">
        <f>IF($C1412="","",W1412-N1412)</f>
        <v/>
      </c>
      <c r="AA1412">
        <f>IF($C1412="","",IF($AN1412=1,0,IF($AM1412=1,Settings!$C$6,Settings!$C$7))*100)</f>
        <v/>
      </c>
      <c r="AE1412" s="7" t="n"/>
      <c r="AH1412" s="11" t="n"/>
      <c r="AJ1412">
        <f>IF($C1412="","",$C1412&amp;"|"&amp;$D1412&amp;"")</f>
        <v/>
      </c>
      <c r="AK1412">
        <f>IF($C1412="","",IF(COUNTIF($AJ$2:$AJ1412,$AJ1412)=1,1,0))</f>
        <v/>
      </c>
      <c r="AL1412">
        <f>IF($AK1412=1,SUMPRODUCT(--($AO$2:$AO$1501&lt;$AO1412))+1,"")</f>
        <v/>
      </c>
      <c r="AM1412">
        <f>IF($C1412="","",IF(OR($Q1412=TRUE(),$Q1412="TRUE"),1,0))</f>
        <v/>
      </c>
      <c r="AN1412">
        <f>IF($C1412="","",IF($Z1412="Yes",1,0))</f>
        <v/>
      </c>
      <c r="AO1412">
        <f>IF($AK1412=1,IFERROR(IF(VALUE($C1412)&lt;100000000,VALUE($C1412),1000000000),IFERROR(IF(VALUE(MID($C1412,2,20))&lt;100000000,VALUE(MID($C1412,2,20)),1000000000),1000000000))+ROW()/100000,"")</f>
        <v/>
      </c>
    </row>
    <row r="1413">
      <c r="F1413" s="11" t="n"/>
      <c r="N1413" s="7">
        <f>IF($C1413="","",M1413*U1413/100)</f>
        <v/>
      </c>
      <c r="T1413" s="7" t="n"/>
      <c r="U1413" s="7" t="n"/>
      <c r="V1413" s="7">
        <f>IF($C1413="","",U1413*AA1413/100)</f>
        <v/>
      </c>
      <c r="W1413" s="7">
        <f>IF($C1413="","",U1413-V1413)</f>
        <v/>
      </c>
      <c r="X1413" s="7">
        <f>IF($C1413="","",W1413-N1413)</f>
        <v/>
      </c>
      <c r="AA1413">
        <f>IF($C1413="","",IF($AN1413=1,0,IF($AM1413=1,Settings!$C$6,Settings!$C$7))*100)</f>
        <v/>
      </c>
      <c r="AE1413" s="7" t="n"/>
      <c r="AH1413" s="11" t="n"/>
      <c r="AJ1413">
        <f>IF($C1413="","",$C1413&amp;"|"&amp;$D1413&amp;"")</f>
        <v/>
      </c>
      <c r="AK1413">
        <f>IF($C1413="","",IF(COUNTIF($AJ$2:$AJ1413,$AJ1413)=1,1,0))</f>
        <v/>
      </c>
      <c r="AL1413">
        <f>IF($AK1413=1,SUMPRODUCT(--($AO$2:$AO$1501&lt;$AO1413))+1,"")</f>
        <v/>
      </c>
      <c r="AM1413">
        <f>IF($C1413="","",IF(OR($Q1413=TRUE(),$Q1413="TRUE"),1,0))</f>
        <v/>
      </c>
      <c r="AN1413">
        <f>IF($C1413="","",IF($Z1413="Yes",1,0))</f>
        <v/>
      </c>
      <c r="AO1413">
        <f>IF($AK1413=1,IFERROR(IF(VALUE($C1413)&lt;100000000,VALUE($C1413),1000000000),IFERROR(IF(VALUE(MID($C1413,2,20))&lt;100000000,VALUE(MID($C1413,2,20)),1000000000),1000000000))+ROW()/100000,"")</f>
        <v/>
      </c>
    </row>
    <row r="1414">
      <c r="F1414" s="11" t="n"/>
      <c r="N1414" s="7">
        <f>IF($C1414="","",M1414*U1414/100)</f>
        <v/>
      </c>
      <c r="T1414" s="7" t="n"/>
      <c r="U1414" s="7" t="n"/>
      <c r="V1414" s="7">
        <f>IF($C1414="","",U1414*AA1414/100)</f>
        <v/>
      </c>
      <c r="W1414" s="7">
        <f>IF($C1414="","",U1414-V1414)</f>
        <v/>
      </c>
      <c r="X1414" s="7">
        <f>IF($C1414="","",W1414-N1414)</f>
        <v/>
      </c>
      <c r="AA1414">
        <f>IF($C1414="","",IF($AN1414=1,0,IF($AM1414=1,Settings!$C$6,Settings!$C$7))*100)</f>
        <v/>
      </c>
      <c r="AE1414" s="7" t="n"/>
      <c r="AH1414" s="11" t="n"/>
      <c r="AJ1414">
        <f>IF($C1414="","",$C1414&amp;"|"&amp;$D1414&amp;"")</f>
        <v/>
      </c>
      <c r="AK1414">
        <f>IF($C1414="","",IF(COUNTIF($AJ$2:$AJ1414,$AJ1414)=1,1,0))</f>
        <v/>
      </c>
      <c r="AL1414">
        <f>IF($AK1414=1,SUMPRODUCT(--($AO$2:$AO$1501&lt;$AO1414))+1,"")</f>
        <v/>
      </c>
      <c r="AM1414">
        <f>IF($C1414="","",IF(OR($Q1414=TRUE(),$Q1414="TRUE"),1,0))</f>
        <v/>
      </c>
      <c r="AN1414">
        <f>IF($C1414="","",IF($Z1414="Yes",1,0))</f>
        <v/>
      </c>
      <c r="AO1414">
        <f>IF($AK1414=1,IFERROR(IF(VALUE($C1414)&lt;100000000,VALUE($C1414),1000000000),IFERROR(IF(VALUE(MID($C1414,2,20))&lt;100000000,VALUE(MID($C1414,2,20)),1000000000),1000000000))+ROW()/100000,"")</f>
        <v/>
      </c>
    </row>
    <row r="1415">
      <c r="F1415" s="11" t="n"/>
      <c r="N1415" s="7">
        <f>IF($C1415="","",M1415*U1415/100)</f>
        <v/>
      </c>
      <c r="T1415" s="7" t="n"/>
      <c r="U1415" s="7" t="n"/>
      <c r="V1415" s="7">
        <f>IF($C1415="","",U1415*AA1415/100)</f>
        <v/>
      </c>
      <c r="W1415" s="7">
        <f>IF($C1415="","",U1415-V1415)</f>
        <v/>
      </c>
      <c r="X1415" s="7">
        <f>IF($C1415="","",W1415-N1415)</f>
        <v/>
      </c>
      <c r="AA1415">
        <f>IF($C1415="","",IF($AN1415=1,0,IF($AM1415=1,Settings!$C$6,Settings!$C$7))*100)</f>
        <v/>
      </c>
      <c r="AE1415" s="7" t="n"/>
      <c r="AH1415" s="11" t="n"/>
      <c r="AJ1415">
        <f>IF($C1415="","",$C1415&amp;"|"&amp;$D1415&amp;"")</f>
        <v/>
      </c>
      <c r="AK1415">
        <f>IF($C1415="","",IF(COUNTIF($AJ$2:$AJ1415,$AJ1415)=1,1,0))</f>
        <v/>
      </c>
      <c r="AL1415">
        <f>IF($AK1415=1,SUMPRODUCT(--($AO$2:$AO$1501&lt;$AO1415))+1,"")</f>
        <v/>
      </c>
      <c r="AM1415">
        <f>IF($C1415="","",IF(OR($Q1415=TRUE(),$Q1415="TRUE"),1,0))</f>
        <v/>
      </c>
      <c r="AN1415">
        <f>IF($C1415="","",IF($Z1415="Yes",1,0))</f>
        <v/>
      </c>
      <c r="AO1415">
        <f>IF($AK1415=1,IFERROR(IF(VALUE($C1415)&lt;100000000,VALUE($C1415),1000000000),IFERROR(IF(VALUE(MID($C1415,2,20))&lt;100000000,VALUE(MID($C1415,2,20)),1000000000),1000000000))+ROW()/100000,"")</f>
        <v/>
      </c>
    </row>
    <row r="1416">
      <c r="F1416" s="11" t="n"/>
      <c r="N1416" s="7">
        <f>IF($C1416="","",M1416*U1416/100)</f>
        <v/>
      </c>
      <c r="T1416" s="7" t="n"/>
      <c r="U1416" s="7" t="n"/>
      <c r="V1416" s="7">
        <f>IF($C1416="","",U1416*AA1416/100)</f>
        <v/>
      </c>
      <c r="W1416" s="7">
        <f>IF($C1416="","",U1416-V1416)</f>
        <v/>
      </c>
      <c r="X1416" s="7">
        <f>IF($C1416="","",W1416-N1416)</f>
        <v/>
      </c>
      <c r="AA1416">
        <f>IF($C1416="","",IF($AN1416=1,0,IF($AM1416=1,Settings!$C$6,Settings!$C$7))*100)</f>
        <v/>
      </c>
      <c r="AE1416" s="7" t="n"/>
      <c r="AH1416" s="11" t="n"/>
      <c r="AJ1416">
        <f>IF($C1416="","",$C1416&amp;"|"&amp;$D1416&amp;"")</f>
        <v/>
      </c>
      <c r="AK1416">
        <f>IF($C1416="","",IF(COUNTIF($AJ$2:$AJ1416,$AJ1416)=1,1,0))</f>
        <v/>
      </c>
      <c r="AL1416">
        <f>IF($AK1416=1,SUMPRODUCT(--($AO$2:$AO$1501&lt;$AO1416))+1,"")</f>
        <v/>
      </c>
      <c r="AM1416">
        <f>IF($C1416="","",IF(OR($Q1416=TRUE(),$Q1416="TRUE"),1,0))</f>
        <v/>
      </c>
      <c r="AN1416">
        <f>IF($C1416="","",IF($Z1416="Yes",1,0))</f>
        <v/>
      </c>
      <c r="AO1416">
        <f>IF($AK1416=1,IFERROR(IF(VALUE($C1416)&lt;100000000,VALUE($C1416),1000000000),IFERROR(IF(VALUE(MID($C1416,2,20))&lt;100000000,VALUE(MID($C1416,2,20)),1000000000),1000000000))+ROW()/100000,"")</f>
        <v/>
      </c>
    </row>
    <row r="1417">
      <c r="F1417" s="11" t="n"/>
      <c r="N1417" s="7">
        <f>IF($C1417="","",M1417*U1417/100)</f>
        <v/>
      </c>
      <c r="T1417" s="7" t="n"/>
      <c r="U1417" s="7" t="n"/>
      <c r="V1417" s="7">
        <f>IF($C1417="","",U1417*AA1417/100)</f>
        <v/>
      </c>
      <c r="W1417" s="7">
        <f>IF($C1417="","",U1417-V1417)</f>
        <v/>
      </c>
      <c r="X1417" s="7">
        <f>IF($C1417="","",W1417-N1417)</f>
        <v/>
      </c>
      <c r="AA1417">
        <f>IF($C1417="","",IF($AN1417=1,0,IF($AM1417=1,Settings!$C$6,Settings!$C$7))*100)</f>
        <v/>
      </c>
      <c r="AE1417" s="7" t="n"/>
      <c r="AH1417" s="11" t="n"/>
      <c r="AJ1417">
        <f>IF($C1417="","",$C1417&amp;"|"&amp;$D1417&amp;"")</f>
        <v/>
      </c>
      <c r="AK1417">
        <f>IF($C1417="","",IF(COUNTIF($AJ$2:$AJ1417,$AJ1417)=1,1,0))</f>
        <v/>
      </c>
      <c r="AL1417">
        <f>IF($AK1417=1,SUMPRODUCT(--($AO$2:$AO$1501&lt;$AO1417))+1,"")</f>
        <v/>
      </c>
      <c r="AM1417">
        <f>IF($C1417="","",IF(OR($Q1417=TRUE(),$Q1417="TRUE"),1,0))</f>
        <v/>
      </c>
      <c r="AN1417">
        <f>IF($C1417="","",IF($Z1417="Yes",1,0))</f>
        <v/>
      </c>
      <c r="AO1417">
        <f>IF($AK1417=1,IFERROR(IF(VALUE($C1417)&lt;100000000,VALUE($C1417),1000000000),IFERROR(IF(VALUE(MID($C1417,2,20))&lt;100000000,VALUE(MID($C1417,2,20)),1000000000),1000000000))+ROW()/100000,"")</f>
        <v/>
      </c>
    </row>
    <row r="1418">
      <c r="F1418" s="11" t="n"/>
      <c r="N1418" s="7">
        <f>IF($C1418="","",M1418*U1418/100)</f>
        <v/>
      </c>
      <c r="T1418" s="7" t="n"/>
      <c r="U1418" s="7" t="n"/>
      <c r="V1418" s="7">
        <f>IF($C1418="","",U1418*AA1418/100)</f>
        <v/>
      </c>
      <c r="W1418" s="7">
        <f>IF($C1418="","",U1418-V1418)</f>
        <v/>
      </c>
      <c r="X1418" s="7">
        <f>IF($C1418="","",W1418-N1418)</f>
        <v/>
      </c>
      <c r="AA1418">
        <f>IF($C1418="","",IF($AN1418=1,0,IF($AM1418=1,Settings!$C$6,Settings!$C$7))*100)</f>
        <v/>
      </c>
      <c r="AE1418" s="7" t="n"/>
      <c r="AH1418" s="11" t="n"/>
      <c r="AJ1418">
        <f>IF($C1418="","",$C1418&amp;"|"&amp;$D1418&amp;"")</f>
        <v/>
      </c>
      <c r="AK1418">
        <f>IF($C1418="","",IF(COUNTIF($AJ$2:$AJ1418,$AJ1418)=1,1,0))</f>
        <v/>
      </c>
      <c r="AL1418">
        <f>IF($AK1418=1,SUMPRODUCT(--($AO$2:$AO$1501&lt;$AO1418))+1,"")</f>
        <v/>
      </c>
      <c r="AM1418">
        <f>IF($C1418="","",IF(OR($Q1418=TRUE(),$Q1418="TRUE"),1,0))</f>
        <v/>
      </c>
      <c r="AN1418">
        <f>IF($C1418="","",IF($Z1418="Yes",1,0))</f>
        <v/>
      </c>
      <c r="AO1418">
        <f>IF($AK1418=1,IFERROR(IF(VALUE($C1418)&lt;100000000,VALUE($C1418),1000000000),IFERROR(IF(VALUE(MID($C1418,2,20))&lt;100000000,VALUE(MID($C1418,2,20)),1000000000),1000000000))+ROW()/100000,"")</f>
        <v/>
      </c>
    </row>
    <row r="1419">
      <c r="F1419" s="11" t="n"/>
      <c r="N1419" s="7">
        <f>IF($C1419="","",M1419*U1419/100)</f>
        <v/>
      </c>
      <c r="T1419" s="7" t="n"/>
      <c r="U1419" s="7" t="n"/>
      <c r="V1419" s="7">
        <f>IF($C1419="","",U1419*AA1419/100)</f>
        <v/>
      </c>
      <c r="W1419" s="7">
        <f>IF($C1419="","",U1419-V1419)</f>
        <v/>
      </c>
      <c r="X1419" s="7">
        <f>IF($C1419="","",W1419-N1419)</f>
        <v/>
      </c>
      <c r="AA1419">
        <f>IF($C1419="","",IF($AN1419=1,0,IF($AM1419=1,Settings!$C$6,Settings!$C$7))*100)</f>
        <v/>
      </c>
      <c r="AE1419" s="7" t="n"/>
      <c r="AH1419" s="11" t="n"/>
      <c r="AJ1419">
        <f>IF($C1419="","",$C1419&amp;"|"&amp;$D1419&amp;"")</f>
        <v/>
      </c>
      <c r="AK1419">
        <f>IF($C1419="","",IF(COUNTIF($AJ$2:$AJ1419,$AJ1419)=1,1,0))</f>
        <v/>
      </c>
      <c r="AL1419">
        <f>IF($AK1419=1,SUMPRODUCT(--($AO$2:$AO$1501&lt;$AO1419))+1,"")</f>
        <v/>
      </c>
      <c r="AM1419">
        <f>IF($C1419="","",IF(OR($Q1419=TRUE(),$Q1419="TRUE"),1,0))</f>
        <v/>
      </c>
      <c r="AN1419">
        <f>IF($C1419="","",IF($Z1419="Yes",1,0))</f>
        <v/>
      </c>
      <c r="AO1419">
        <f>IF($AK1419=1,IFERROR(IF(VALUE($C1419)&lt;100000000,VALUE($C1419),1000000000),IFERROR(IF(VALUE(MID($C1419,2,20))&lt;100000000,VALUE(MID($C1419,2,20)),1000000000),1000000000))+ROW()/100000,"")</f>
        <v/>
      </c>
    </row>
    <row r="1420">
      <c r="F1420" s="11" t="n"/>
      <c r="N1420" s="7">
        <f>IF($C1420="","",M1420*U1420/100)</f>
        <v/>
      </c>
      <c r="T1420" s="7" t="n"/>
      <c r="U1420" s="7" t="n"/>
      <c r="V1420" s="7">
        <f>IF($C1420="","",U1420*AA1420/100)</f>
        <v/>
      </c>
      <c r="W1420" s="7">
        <f>IF($C1420="","",U1420-V1420)</f>
        <v/>
      </c>
      <c r="X1420" s="7">
        <f>IF($C1420="","",W1420-N1420)</f>
        <v/>
      </c>
      <c r="AA1420">
        <f>IF($C1420="","",IF($AN1420=1,0,IF($AM1420=1,Settings!$C$6,Settings!$C$7))*100)</f>
        <v/>
      </c>
      <c r="AE1420" s="7" t="n"/>
      <c r="AH1420" s="11" t="n"/>
      <c r="AJ1420">
        <f>IF($C1420="","",$C1420&amp;"|"&amp;$D1420&amp;"")</f>
        <v/>
      </c>
      <c r="AK1420">
        <f>IF($C1420="","",IF(COUNTIF($AJ$2:$AJ1420,$AJ1420)=1,1,0))</f>
        <v/>
      </c>
      <c r="AL1420">
        <f>IF($AK1420=1,SUMPRODUCT(--($AO$2:$AO$1501&lt;$AO1420))+1,"")</f>
        <v/>
      </c>
      <c r="AM1420">
        <f>IF($C1420="","",IF(OR($Q1420=TRUE(),$Q1420="TRUE"),1,0))</f>
        <v/>
      </c>
      <c r="AN1420">
        <f>IF($C1420="","",IF($Z1420="Yes",1,0))</f>
        <v/>
      </c>
      <c r="AO1420">
        <f>IF($AK1420=1,IFERROR(IF(VALUE($C1420)&lt;100000000,VALUE($C1420),1000000000),IFERROR(IF(VALUE(MID($C1420,2,20))&lt;100000000,VALUE(MID($C1420,2,20)),1000000000),1000000000))+ROW()/100000,"")</f>
        <v/>
      </c>
    </row>
    <row r="1421">
      <c r="F1421" s="11" t="n"/>
      <c r="N1421" s="7">
        <f>IF($C1421="","",M1421*U1421/100)</f>
        <v/>
      </c>
      <c r="T1421" s="7" t="n"/>
      <c r="U1421" s="7" t="n"/>
      <c r="V1421" s="7">
        <f>IF($C1421="","",U1421*AA1421/100)</f>
        <v/>
      </c>
      <c r="W1421" s="7">
        <f>IF($C1421="","",U1421-V1421)</f>
        <v/>
      </c>
      <c r="X1421" s="7">
        <f>IF($C1421="","",W1421-N1421)</f>
        <v/>
      </c>
      <c r="AA1421">
        <f>IF($C1421="","",IF($AN1421=1,0,IF($AM1421=1,Settings!$C$6,Settings!$C$7))*100)</f>
        <v/>
      </c>
      <c r="AE1421" s="7" t="n"/>
      <c r="AH1421" s="11" t="n"/>
      <c r="AJ1421">
        <f>IF($C1421="","",$C1421&amp;"|"&amp;$D1421&amp;"")</f>
        <v/>
      </c>
      <c r="AK1421">
        <f>IF($C1421="","",IF(COUNTIF($AJ$2:$AJ1421,$AJ1421)=1,1,0))</f>
        <v/>
      </c>
      <c r="AL1421">
        <f>IF($AK1421=1,SUMPRODUCT(--($AO$2:$AO$1501&lt;$AO1421))+1,"")</f>
        <v/>
      </c>
      <c r="AM1421">
        <f>IF($C1421="","",IF(OR($Q1421=TRUE(),$Q1421="TRUE"),1,0))</f>
        <v/>
      </c>
      <c r="AN1421">
        <f>IF($C1421="","",IF($Z1421="Yes",1,0))</f>
        <v/>
      </c>
      <c r="AO1421">
        <f>IF($AK1421=1,IFERROR(IF(VALUE($C1421)&lt;100000000,VALUE($C1421),1000000000),IFERROR(IF(VALUE(MID($C1421,2,20))&lt;100000000,VALUE(MID($C1421,2,20)),1000000000),1000000000))+ROW()/100000,"")</f>
        <v/>
      </c>
    </row>
    <row r="1422">
      <c r="F1422" s="11" t="n"/>
      <c r="N1422" s="7">
        <f>IF($C1422="","",M1422*U1422/100)</f>
        <v/>
      </c>
      <c r="T1422" s="7" t="n"/>
      <c r="U1422" s="7" t="n"/>
      <c r="V1422" s="7">
        <f>IF($C1422="","",U1422*AA1422/100)</f>
        <v/>
      </c>
      <c r="W1422" s="7">
        <f>IF($C1422="","",U1422-V1422)</f>
        <v/>
      </c>
      <c r="X1422" s="7">
        <f>IF($C1422="","",W1422-N1422)</f>
        <v/>
      </c>
      <c r="AA1422">
        <f>IF($C1422="","",IF($AN1422=1,0,IF($AM1422=1,Settings!$C$6,Settings!$C$7))*100)</f>
        <v/>
      </c>
      <c r="AE1422" s="7" t="n"/>
      <c r="AH1422" s="11" t="n"/>
      <c r="AJ1422">
        <f>IF($C1422="","",$C1422&amp;"|"&amp;$D1422&amp;"")</f>
        <v/>
      </c>
      <c r="AK1422">
        <f>IF($C1422="","",IF(COUNTIF($AJ$2:$AJ1422,$AJ1422)=1,1,0))</f>
        <v/>
      </c>
      <c r="AL1422">
        <f>IF($AK1422=1,SUMPRODUCT(--($AO$2:$AO$1501&lt;$AO1422))+1,"")</f>
        <v/>
      </c>
      <c r="AM1422">
        <f>IF($C1422="","",IF(OR($Q1422=TRUE(),$Q1422="TRUE"),1,0))</f>
        <v/>
      </c>
      <c r="AN1422">
        <f>IF($C1422="","",IF($Z1422="Yes",1,0))</f>
        <v/>
      </c>
      <c r="AO1422">
        <f>IF($AK1422=1,IFERROR(IF(VALUE($C1422)&lt;100000000,VALUE($C1422),1000000000),IFERROR(IF(VALUE(MID($C1422,2,20))&lt;100000000,VALUE(MID($C1422,2,20)),1000000000),1000000000))+ROW()/100000,"")</f>
        <v/>
      </c>
    </row>
    <row r="1423">
      <c r="F1423" s="11" t="n"/>
      <c r="N1423" s="7">
        <f>IF($C1423="","",M1423*U1423/100)</f>
        <v/>
      </c>
      <c r="T1423" s="7" t="n"/>
      <c r="U1423" s="7" t="n"/>
      <c r="V1423" s="7">
        <f>IF($C1423="","",U1423*AA1423/100)</f>
        <v/>
      </c>
      <c r="W1423" s="7">
        <f>IF($C1423="","",U1423-V1423)</f>
        <v/>
      </c>
      <c r="X1423" s="7">
        <f>IF($C1423="","",W1423-N1423)</f>
        <v/>
      </c>
      <c r="AA1423">
        <f>IF($C1423="","",IF($AN1423=1,0,IF($AM1423=1,Settings!$C$6,Settings!$C$7))*100)</f>
        <v/>
      </c>
      <c r="AE1423" s="7" t="n"/>
      <c r="AH1423" s="11" t="n"/>
      <c r="AJ1423">
        <f>IF($C1423="","",$C1423&amp;"|"&amp;$D1423&amp;"")</f>
        <v/>
      </c>
      <c r="AK1423">
        <f>IF($C1423="","",IF(COUNTIF($AJ$2:$AJ1423,$AJ1423)=1,1,0))</f>
        <v/>
      </c>
      <c r="AL1423">
        <f>IF($AK1423=1,SUMPRODUCT(--($AO$2:$AO$1501&lt;$AO1423))+1,"")</f>
        <v/>
      </c>
      <c r="AM1423">
        <f>IF($C1423="","",IF(OR($Q1423=TRUE(),$Q1423="TRUE"),1,0))</f>
        <v/>
      </c>
      <c r="AN1423">
        <f>IF($C1423="","",IF($Z1423="Yes",1,0))</f>
        <v/>
      </c>
      <c r="AO1423">
        <f>IF($AK1423=1,IFERROR(IF(VALUE($C1423)&lt;100000000,VALUE($C1423),1000000000),IFERROR(IF(VALUE(MID($C1423,2,20))&lt;100000000,VALUE(MID($C1423,2,20)),1000000000),1000000000))+ROW()/100000,"")</f>
        <v/>
      </c>
    </row>
    <row r="1424">
      <c r="F1424" s="11" t="n"/>
      <c r="N1424" s="7">
        <f>IF($C1424="","",M1424*U1424/100)</f>
        <v/>
      </c>
      <c r="T1424" s="7" t="n"/>
      <c r="U1424" s="7" t="n"/>
      <c r="V1424" s="7">
        <f>IF($C1424="","",U1424*AA1424/100)</f>
        <v/>
      </c>
      <c r="W1424" s="7">
        <f>IF($C1424="","",U1424-V1424)</f>
        <v/>
      </c>
      <c r="X1424" s="7">
        <f>IF($C1424="","",W1424-N1424)</f>
        <v/>
      </c>
      <c r="AA1424">
        <f>IF($C1424="","",IF($AN1424=1,0,IF($AM1424=1,Settings!$C$6,Settings!$C$7))*100)</f>
        <v/>
      </c>
      <c r="AE1424" s="7" t="n"/>
      <c r="AH1424" s="11" t="n"/>
      <c r="AJ1424">
        <f>IF($C1424="","",$C1424&amp;"|"&amp;$D1424&amp;"")</f>
        <v/>
      </c>
      <c r="AK1424">
        <f>IF($C1424="","",IF(COUNTIF($AJ$2:$AJ1424,$AJ1424)=1,1,0))</f>
        <v/>
      </c>
      <c r="AL1424">
        <f>IF($AK1424=1,SUMPRODUCT(--($AO$2:$AO$1501&lt;$AO1424))+1,"")</f>
        <v/>
      </c>
      <c r="AM1424">
        <f>IF($C1424="","",IF(OR($Q1424=TRUE(),$Q1424="TRUE"),1,0))</f>
        <v/>
      </c>
      <c r="AN1424">
        <f>IF($C1424="","",IF($Z1424="Yes",1,0))</f>
        <v/>
      </c>
      <c r="AO1424">
        <f>IF($AK1424=1,IFERROR(IF(VALUE($C1424)&lt;100000000,VALUE($C1424),1000000000),IFERROR(IF(VALUE(MID($C1424,2,20))&lt;100000000,VALUE(MID($C1424,2,20)),1000000000),1000000000))+ROW()/100000,"")</f>
        <v/>
      </c>
    </row>
    <row r="1425">
      <c r="F1425" s="11" t="n"/>
      <c r="N1425" s="7">
        <f>IF($C1425="","",M1425*U1425/100)</f>
        <v/>
      </c>
      <c r="T1425" s="7" t="n"/>
      <c r="U1425" s="7" t="n"/>
      <c r="V1425" s="7">
        <f>IF($C1425="","",U1425*AA1425/100)</f>
        <v/>
      </c>
      <c r="W1425" s="7">
        <f>IF($C1425="","",U1425-V1425)</f>
        <v/>
      </c>
      <c r="X1425" s="7">
        <f>IF($C1425="","",W1425-N1425)</f>
        <v/>
      </c>
      <c r="AA1425">
        <f>IF($C1425="","",IF($AN1425=1,0,IF($AM1425=1,Settings!$C$6,Settings!$C$7))*100)</f>
        <v/>
      </c>
      <c r="AE1425" s="7" t="n"/>
      <c r="AH1425" s="11" t="n"/>
      <c r="AJ1425">
        <f>IF($C1425="","",$C1425&amp;"|"&amp;$D1425&amp;"")</f>
        <v/>
      </c>
      <c r="AK1425">
        <f>IF($C1425="","",IF(COUNTIF($AJ$2:$AJ1425,$AJ1425)=1,1,0))</f>
        <v/>
      </c>
      <c r="AL1425">
        <f>IF($AK1425=1,SUMPRODUCT(--($AO$2:$AO$1501&lt;$AO1425))+1,"")</f>
        <v/>
      </c>
      <c r="AM1425">
        <f>IF($C1425="","",IF(OR($Q1425=TRUE(),$Q1425="TRUE"),1,0))</f>
        <v/>
      </c>
      <c r="AN1425">
        <f>IF($C1425="","",IF($Z1425="Yes",1,0))</f>
        <v/>
      </c>
      <c r="AO1425">
        <f>IF($AK1425=1,IFERROR(IF(VALUE($C1425)&lt;100000000,VALUE($C1425),1000000000),IFERROR(IF(VALUE(MID($C1425,2,20))&lt;100000000,VALUE(MID($C1425,2,20)),1000000000),1000000000))+ROW()/100000,"")</f>
        <v/>
      </c>
    </row>
    <row r="1426">
      <c r="F1426" s="11" t="n"/>
      <c r="N1426" s="7">
        <f>IF($C1426="","",M1426*U1426/100)</f>
        <v/>
      </c>
      <c r="T1426" s="7" t="n"/>
      <c r="U1426" s="7" t="n"/>
      <c r="V1426" s="7">
        <f>IF($C1426="","",U1426*AA1426/100)</f>
        <v/>
      </c>
      <c r="W1426" s="7">
        <f>IF($C1426="","",U1426-V1426)</f>
        <v/>
      </c>
      <c r="X1426" s="7">
        <f>IF($C1426="","",W1426-N1426)</f>
        <v/>
      </c>
      <c r="AA1426">
        <f>IF($C1426="","",IF($AN1426=1,0,IF($AM1426=1,Settings!$C$6,Settings!$C$7))*100)</f>
        <v/>
      </c>
      <c r="AE1426" s="7" t="n"/>
      <c r="AH1426" s="11" t="n"/>
      <c r="AJ1426">
        <f>IF($C1426="","",$C1426&amp;"|"&amp;$D1426&amp;"")</f>
        <v/>
      </c>
      <c r="AK1426">
        <f>IF($C1426="","",IF(COUNTIF($AJ$2:$AJ1426,$AJ1426)=1,1,0))</f>
        <v/>
      </c>
      <c r="AL1426">
        <f>IF($AK1426=1,SUMPRODUCT(--($AO$2:$AO$1501&lt;$AO1426))+1,"")</f>
        <v/>
      </c>
      <c r="AM1426">
        <f>IF($C1426="","",IF(OR($Q1426=TRUE(),$Q1426="TRUE"),1,0))</f>
        <v/>
      </c>
      <c r="AN1426">
        <f>IF($C1426="","",IF($Z1426="Yes",1,0))</f>
        <v/>
      </c>
      <c r="AO1426">
        <f>IF($AK1426=1,IFERROR(IF(VALUE($C1426)&lt;100000000,VALUE($C1426),1000000000),IFERROR(IF(VALUE(MID($C1426,2,20))&lt;100000000,VALUE(MID($C1426,2,20)),1000000000),1000000000))+ROW()/100000,"")</f>
        <v/>
      </c>
    </row>
    <row r="1427">
      <c r="F1427" s="11" t="n"/>
      <c r="N1427" s="7">
        <f>IF($C1427="","",M1427*U1427/100)</f>
        <v/>
      </c>
      <c r="T1427" s="7" t="n"/>
      <c r="U1427" s="7" t="n"/>
      <c r="V1427" s="7">
        <f>IF($C1427="","",U1427*AA1427/100)</f>
        <v/>
      </c>
      <c r="W1427" s="7">
        <f>IF($C1427="","",U1427-V1427)</f>
        <v/>
      </c>
      <c r="X1427" s="7">
        <f>IF($C1427="","",W1427-N1427)</f>
        <v/>
      </c>
      <c r="AA1427">
        <f>IF($C1427="","",IF($AN1427=1,0,IF($AM1427=1,Settings!$C$6,Settings!$C$7))*100)</f>
        <v/>
      </c>
      <c r="AE1427" s="7" t="n"/>
      <c r="AH1427" s="11" t="n"/>
      <c r="AJ1427">
        <f>IF($C1427="","",$C1427&amp;"|"&amp;$D1427&amp;"")</f>
        <v/>
      </c>
      <c r="AK1427">
        <f>IF($C1427="","",IF(COUNTIF($AJ$2:$AJ1427,$AJ1427)=1,1,0))</f>
        <v/>
      </c>
      <c r="AL1427">
        <f>IF($AK1427=1,SUMPRODUCT(--($AO$2:$AO$1501&lt;$AO1427))+1,"")</f>
        <v/>
      </c>
      <c r="AM1427">
        <f>IF($C1427="","",IF(OR($Q1427=TRUE(),$Q1427="TRUE"),1,0))</f>
        <v/>
      </c>
      <c r="AN1427">
        <f>IF($C1427="","",IF($Z1427="Yes",1,0))</f>
        <v/>
      </c>
      <c r="AO1427">
        <f>IF($AK1427=1,IFERROR(IF(VALUE($C1427)&lt;100000000,VALUE($C1427),1000000000),IFERROR(IF(VALUE(MID($C1427,2,20))&lt;100000000,VALUE(MID($C1427,2,20)),1000000000),1000000000))+ROW()/100000,"")</f>
        <v/>
      </c>
    </row>
    <row r="1428">
      <c r="F1428" s="11" t="n"/>
      <c r="N1428" s="7">
        <f>IF($C1428="","",M1428*U1428/100)</f>
        <v/>
      </c>
      <c r="T1428" s="7" t="n"/>
      <c r="U1428" s="7" t="n"/>
      <c r="V1428" s="7">
        <f>IF($C1428="","",U1428*AA1428/100)</f>
        <v/>
      </c>
      <c r="W1428" s="7">
        <f>IF($C1428="","",U1428-V1428)</f>
        <v/>
      </c>
      <c r="X1428" s="7">
        <f>IF($C1428="","",W1428-N1428)</f>
        <v/>
      </c>
      <c r="AA1428">
        <f>IF($C1428="","",IF($AN1428=1,0,IF($AM1428=1,Settings!$C$6,Settings!$C$7))*100)</f>
        <v/>
      </c>
      <c r="AE1428" s="7" t="n"/>
      <c r="AH1428" s="11" t="n"/>
      <c r="AJ1428">
        <f>IF($C1428="","",$C1428&amp;"|"&amp;$D1428&amp;"")</f>
        <v/>
      </c>
      <c r="AK1428">
        <f>IF($C1428="","",IF(COUNTIF($AJ$2:$AJ1428,$AJ1428)=1,1,0))</f>
        <v/>
      </c>
      <c r="AL1428">
        <f>IF($AK1428=1,SUMPRODUCT(--($AO$2:$AO$1501&lt;$AO1428))+1,"")</f>
        <v/>
      </c>
      <c r="AM1428">
        <f>IF($C1428="","",IF(OR($Q1428=TRUE(),$Q1428="TRUE"),1,0))</f>
        <v/>
      </c>
      <c r="AN1428">
        <f>IF($C1428="","",IF($Z1428="Yes",1,0))</f>
        <v/>
      </c>
      <c r="AO1428">
        <f>IF($AK1428=1,IFERROR(IF(VALUE($C1428)&lt;100000000,VALUE($C1428),1000000000),IFERROR(IF(VALUE(MID($C1428,2,20))&lt;100000000,VALUE(MID($C1428,2,20)),1000000000),1000000000))+ROW()/100000,"")</f>
        <v/>
      </c>
    </row>
    <row r="1429">
      <c r="F1429" s="11" t="n"/>
      <c r="N1429" s="7">
        <f>IF($C1429="","",M1429*U1429/100)</f>
        <v/>
      </c>
      <c r="T1429" s="7" t="n"/>
      <c r="U1429" s="7" t="n"/>
      <c r="V1429" s="7">
        <f>IF($C1429="","",U1429*AA1429/100)</f>
        <v/>
      </c>
      <c r="W1429" s="7">
        <f>IF($C1429="","",U1429-V1429)</f>
        <v/>
      </c>
      <c r="X1429" s="7">
        <f>IF($C1429="","",W1429-N1429)</f>
        <v/>
      </c>
      <c r="AA1429">
        <f>IF($C1429="","",IF($AN1429=1,0,IF($AM1429=1,Settings!$C$6,Settings!$C$7))*100)</f>
        <v/>
      </c>
      <c r="AE1429" s="7" t="n"/>
      <c r="AH1429" s="11" t="n"/>
      <c r="AJ1429">
        <f>IF($C1429="","",$C1429&amp;"|"&amp;$D1429&amp;"")</f>
        <v/>
      </c>
      <c r="AK1429">
        <f>IF($C1429="","",IF(COUNTIF($AJ$2:$AJ1429,$AJ1429)=1,1,0))</f>
        <v/>
      </c>
      <c r="AL1429">
        <f>IF($AK1429=1,SUMPRODUCT(--($AO$2:$AO$1501&lt;$AO1429))+1,"")</f>
        <v/>
      </c>
      <c r="AM1429">
        <f>IF($C1429="","",IF(OR($Q1429=TRUE(),$Q1429="TRUE"),1,0))</f>
        <v/>
      </c>
      <c r="AN1429">
        <f>IF($C1429="","",IF($Z1429="Yes",1,0))</f>
        <v/>
      </c>
      <c r="AO1429">
        <f>IF($AK1429=1,IFERROR(IF(VALUE($C1429)&lt;100000000,VALUE($C1429),1000000000),IFERROR(IF(VALUE(MID($C1429,2,20))&lt;100000000,VALUE(MID($C1429,2,20)),1000000000),1000000000))+ROW()/100000,"")</f>
        <v/>
      </c>
    </row>
    <row r="1430">
      <c r="F1430" s="11" t="n"/>
      <c r="N1430" s="7">
        <f>IF($C1430="","",M1430*U1430/100)</f>
        <v/>
      </c>
      <c r="T1430" s="7" t="n"/>
      <c r="U1430" s="7" t="n"/>
      <c r="V1430" s="7">
        <f>IF($C1430="","",U1430*AA1430/100)</f>
        <v/>
      </c>
      <c r="W1430" s="7">
        <f>IF($C1430="","",U1430-V1430)</f>
        <v/>
      </c>
      <c r="X1430" s="7">
        <f>IF($C1430="","",W1430-N1430)</f>
        <v/>
      </c>
      <c r="AA1430">
        <f>IF($C1430="","",IF($AN1430=1,0,IF($AM1430=1,Settings!$C$6,Settings!$C$7))*100)</f>
        <v/>
      </c>
      <c r="AE1430" s="7" t="n"/>
      <c r="AH1430" s="11" t="n"/>
      <c r="AJ1430">
        <f>IF($C1430="","",$C1430&amp;"|"&amp;$D1430&amp;"")</f>
        <v/>
      </c>
      <c r="AK1430">
        <f>IF($C1430="","",IF(COUNTIF($AJ$2:$AJ1430,$AJ1430)=1,1,0))</f>
        <v/>
      </c>
      <c r="AL1430">
        <f>IF($AK1430=1,SUMPRODUCT(--($AO$2:$AO$1501&lt;$AO1430))+1,"")</f>
        <v/>
      </c>
      <c r="AM1430">
        <f>IF($C1430="","",IF(OR($Q1430=TRUE(),$Q1430="TRUE"),1,0))</f>
        <v/>
      </c>
      <c r="AN1430">
        <f>IF($C1430="","",IF($Z1430="Yes",1,0))</f>
        <v/>
      </c>
      <c r="AO1430">
        <f>IF($AK1430=1,IFERROR(IF(VALUE($C1430)&lt;100000000,VALUE($C1430),1000000000),IFERROR(IF(VALUE(MID($C1430,2,20))&lt;100000000,VALUE(MID($C1430,2,20)),1000000000),1000000000))+ROW()/100000,"")</f>
        <v/>
      </c>
    </row>
    <row r="1431">
      <c r="F1431" s="11" t="n"/>
      <c r="N1431" s="7">
        <f>IF($C1431="","",M1431*U1431/100)</f>
        <v/>
      </c>
      <c r="T1431" s="7" t="n"/>
      <c r="U1431" s="7" t="n"/>
      <c r="V1431" s="7">
        <f>IF($C1431="","",U1431*AA1431/100)</f>
        <v/>
      </c>
      <c r="W1431" s="7">
        <f>IF($C1431="","",U1431-V1431)</f>
        <v/>
      </c>
      <c r="X1431" s="7">
        <f>IF($C1431="","",W1431-N1431)</f>
        <v/>
      </c>
      <c r="AA1431">
        <f>IF($C1431="","",IF($AN1431=1,0,IF($AM1431=1,Settings!$C$6,Settings!$C$7))*100)</f>
        <v/>
      </c>
      <c r="AE1431" s="7" t="n"/>
      <c r="AH1431" s="11" t="n"/>
      <c r="AJ1431">
        <f>IF($C1431="","",$C1431&amp;"|"&amp;$D1431&amp;"")</f>
        <v/>
      </c>
      <c r="AK1431">
        <f>IF($C1431="","",IF(COUNTIF($AJ$2:$AJ1431,$AJ1431)=1,1,0))</f>
        <v/>
      </c>
      <c r="AL1431">
        <f>IF($AK1431=1,SUMPRODUCT(--($AO$2:$AO$1501&lt;$AO1431))+1,"")</f>
        <v/>
      </c>
      <c r="AM1431">
        <f>IF($C1431="","",IF(OR($Q1431=TRUE(),$Q1431="TRUE"),1,0))</f>
        <v/>
      </c>
      <c r="AN1431">
        <f>IF($C1431="","",IF($Z1431="Yes",1,0))</f>
        <v/>
      </c>
      <c r="AO1431">
        <f>IF($AK1431=1,IFERROR(IF(VALUE($C1431)&lt;100000000,VALUE($C1431),1000000000),IFERROR(IF(VALUE(MID($C1431,2,20))&lt;100000000,VALUE(MID($C1431,2,20)),1000000000),1000000000))+ROW()/100000,"")</f>
        <v/>
      </c>
    </row>
    <row r="1432">
      <c r="F1432" s="11" t="n"/>
      <c r="N1432" s="7">
        <f>IF($C1432="","",M1432*U1432/100)</f>
        <v/>
      </c>
      <c r="T1432" s="7" t="n"/>
      <c r="U1432" s="7" t="n"/>
      <c r="V1432" s="7">
        <f>IF($C1432="","",U1432*AA1432/100)</f>
        <v/>
      </c>
      <c r="W1432" s="7">
        <f>IF($C1432="","",U1432-V1432)</f>
        <v/>
      </c>
      <c r="X1432" s="7">
        <f>IF($C1432="","",W1432-N1432)</f>
        <v/>
      </c>
      <c r="AA1432">
        <f>IF($C1432="","",IF($AN1432=1,0,IF($AM1432=1,Settings!$C$6,Settings!$C$7))*100)</f>
        <v/>
      </c>
      <c r="AE1432" s="7" t="n"/>
      <c r="AH1432" s="11" t="n"/>
      <c r="AJ1432">
        <f>IF($C1432="","",$C1432&amp;"|"&amp;$D1432&amp;"")</f>
        <v/>
      </c>
      <c r="AK1432">
        <f>IF($C1432="","",IF(COUNTIF($AJ$2:$AJ1432,$AJ1432)=1,1,0))</f>
        <v/>
      </c>
      <c r="AL1432">
        <f>IF($AK1432=1,SUMPRODUCT(--($AO$2:$AO$1501&lt;$AO1432))+1,"")</f>
        <v/>
      </c>
      <c r="AM1432">
        <f>IF($C1432="","",IF(OR($Q1432=TRUE(),$Q1432="TRUE"),1,0))</f>
        <v/>
      </c>
      <c r="AN1432">
        <f>IF($C1432="","",IF($Z1432="Yes",1,0))</f>
        <v/>
      </c>
      <c r="AO1432">
        <f>IF($AK1432=1,IFERROR(IF(VALUE($C1432)&lt;100000000,VALUE($C1432),1000000000),IFERROR(IF(VALUE(MID($C1432,2,20))&lt;100000000,VALUE(MID($C1432,2,20)),1000000000),1000000000))+ROW()/100000,"")</f>
        <v/>
      </c>
    </row>
    <row r="1433">
      <c r="F1433" s="11" t="n"/>
      <c r="N1433" s="7">
        <f>IF($C1433="","",M1433*U1433/100)</f>
        <v/>
      </c>
      <c r="T1433" s="7" t="n"/>
      <c r="U1433" s="7" t="n"/>
      <c r="V1433" s="7">
        <f>IF($C1433="","",U1433*AA1433/100)</f>
        <v/>
      </c>
      <c r="W1433" s="7">
        <f>IF($C1433="","",U1433-V1433)</f>
        <v/>
      </c>
      <c r="X1433" s="7">
        <f>IF($C1433="","",W1433-N1433)</f>
        <v/>
      </c>
      <c r="AA1433">
        <f>IF($C1433="","",IF($AN1433=1,0,IF($AM1433=1,Settings!$C$6,Settings!$C$7))*100)</f>
        <v/>
      </c>
      <c r="AE1433" s="7" t="n"/>
      <c r="AH1433" s="11" t="n"/>
      <c r="AJ1433">
        <f>IF($C1433="","",$C1433&amp;"|"&amp;$D1433&amp;"")</f>
        <v/>
      </c>
      <c r="AK1433">
        <f>IF($C1433="","",IF(COUNTIF($AJ$2:$AJ1433,$AJ1433)=1,1,0))</f>
        <v/>
      </c>
      <c r="AL1433">
        <f>IF($AK1433=1,SUMPRODUCT(--($AO$2:$AO$1501&lt;$AO1433))+1,"")</f>
        <v/>
      </c>
      <c r="AM1433">
        <f>IF($C1433="","",IF(OR($Q1433=TRUE(),$Q1433="TRUE"),1,0))</f>
        <v/>
      </c>
      <c r="AN1433">
        <f>IF($C1433="","",IF($Z1433="Yes",1,0))</f>
        <v/>
      </c>
      <c r="AO1433">
        <f>IF($AK1433=1,IFERROR(IF(VALUE($C1433)&lt;100000000,VALUE($C1433),1000000000),IFERROR(IF(VALUE(MID($C1433,2,20))&lt;100000000,VALUE(MID($C1433,2,20)),1000000000),1000000000))+ROW()/100000,"")</f>
        <v/>
      </c>
    </row>
    <row r="1434">
      <c r="F1434" s="11" t="n"/>
      <c r="N1434" s="7">
        <f>IF($C1434="","",M1434*U1434/100)</f>
        <v/>
      </c>
      <c r="T1434" s="7" t="n"/>
      <c r="U1434" s="7" t="n"/>
      <c r="V1434" s="7">
        <f>IF($C1434="","",U1434*AA1434/100)</f>
        <v/>
      </c>
      <c r="W1434" s="7">
        <f>IF($C1434="","",U1434-V1434)</f>
        <v/>
      </c>
      <c r="X1434" s="7">
        <f>IF($C1434="","",W1434-N1434)</f>
        <v/>
      </c>
      <c r="AA1434">
        <f>IF($C1434="","",IF($AN1434=1,0,IF($AM1434=1,Settings!$C$6,Settings!$C$7))*100)</f>
        <v/>
      </c>
      <c r="AE1434" s="7" t="n"/>
      <c r="AH1434" s="11" t="n"/>
      <c r="AJ1434">
        <f>IF($C1434="","",$C1434&amp;"|"&amp;$D1434&amp;"")</f>
        <v/>
      </c>
      <c r="AK1434">
        <f>IF($C1434="","",IF(COUNTIF($AJ$2:$AJ1434,$AJ1434)=1,1,0))</f>
        <v/>
      </c>
      <c r="AL1434">
        <f>IF($AK1434=1,SUMPRODUCT(--($AO$2:$AO$1501&lt;$AO1434))+1,"")</f>
        <v/>
      </c>
      <c r="AM1434">
        <f>IF($C1434="","",IF(OR($Q1434=TRUE(),$Q1434="TRUE"),1,0))</f>
        <v/>
      </c>
      <c r="AN1434">
        <f>IF($C1434="","",IF($Z1434="Yes",1,0))</f>
        <v/>
      </c>
      <c r="AO1434">
        <f>IF($AK1434=1,IFERROR(IF(VALUE($C1434)&lt;100000000,VALUE($C1434),1000000000),IFERROR(IF(VALUE(MID($C1434,2,20))&lt;100000000,VALUE(MID($C1434,2,20)),1000000000),1000000000))+ROW()/100000,"")</f>
        <v/>
      </c>
    </row>
    <row r="1435">
      <c r="F1435" s="11" t="n"/>
      <c r="N1435" s="7">
        <f>IF($C1435="","",M1435*U1435/100)</f>
        <v/>
      </c>
      <c r="T1435" s="7" t="n"/>
      <c r="U1435" s="7" t="n"/>
      <c r="V1435" s="7">
        <f>IF($C1435="","",U1435*AA1435/100)</f>
        <v/>
      </c>
      <c r="W1435" s="7">
        <f>IF($C1435="","",U1435-V1435)</f>
        <v/>
      </c>
      <c r="X1435" s="7">
        <f>IF($C1435="","",W1435-N1435)</f>
        <v/>
      </c>
      <c r="AA1435">
        <f>IF($C1435="","",IF($AN1435=1,0,IF($AM1435=1,Settings!$C$6,Settings!$C$7))*100)</f>
        <v/>
      </c>
      <c r="AE1435" s="7" t="n"/>
      <c r="AH1435" s="11" t="n"/>
      <c r="AJ1435">
        <f>IF($C1435="","",$C1435&amp;"|"&amp;$D1435&amp;"")</f>
        <v/>
      </c>
      <c r="AK1435">
        <f>IF($C1435="","",IF(COUNTIF($AJ$2:$AJ1435,$AJ1435)=1,1,0))</f>
        <v/>
      </c>
      <c r="AL1435">
        <f>IF($AK1435=1,SUMPRODUCT(--($AO$2:$AO$1501&lt;$AO1435))+1,"")</f>
        <v/>
      </c>
      <c r="AM1435">
        <f>IF($C1435="","",IF(OR($Q1435=TRUE(),$Q1435="TRUE"),1,0))</f>
        <v/>
      </c>
      <c r="AN1435">
        <f>IF($C1435="","",IF($Z1435="Yes",1,0))</f>
        <v/>
      </c>
      <c r="AO1435">
        <f>IF($AK1435=1,IFERROR(IF(VALUE($C1435)&lt;100000000,VALUE($C1435),1000000000),IFERROR(IF(VALUE(MID($C1435,2,20))&lt;100000000,VALUE(MID($C1435,2,20)),1000000000),1000000000))+ROW()/100000,"")</f>
        <v/>
      </c>
    </row>
    <row r="1436">
      <c r="F1436" s="11" t="n"/>
      <c r="N1436" s="7">
        <f>IF($C1436="","",M1436*U1436/100)</f>
        <v/>
      </c>
      <c r="T1436" s="7" t="n"/>
      <c r="U1436" s="7" t="n"/>
      <c r="V1436" s="7">
        <f>IF($C1436="","",U1436*AA1436/100)</f>
        <v/>
      </c>
      <c r="W1436" s="7">
        <f>IF($C1436="","",U1436-V1436)</f>
        <v/>
      </c>
      <c r="X1436" s="7">
        <f>IF($C1436="","",W1436-N1436)</f>
        <v/>
      </c>
      <c r="AA1436">
        <f>IF($C1436="","",IF($AN1436=1,0,IF($AM1436=1,Settings!$C$6,Settings!$C$7))*100)</f>
        <v/>
      </c>
      <c r="AE1436" s="7" t="n"/>
      <c r="AH1436" s="11" t="n"/>
      <c r="AJ1436">
        <f>IF($C1436="","",$C1436&amp;"|"&amp;$D1436&amp;"")</f>
        <v/>
      </c>
      <c r="AK1436">
        <f>IF($C1436="","",IF(COUNTIF($AJ$2:$AJ1436,$AJ1436)=1,1,0))</f>
        <v/>
      </c>
      <c r="AL1436">
        <f>IF($AK1436=1,SUMPRODUCT(--($AO$2:$AO$1501&lt;$AO1436))+1,"")</f>
        <v/>
      </c>
      <c r="AM1436">
        <f>IF($C1436="","",IF(OR($Q1436=TRUE(),$Q1436="TRUE"),1,0))</f>
        <v/>
      </c>
      <c r="AN1436">
        <f>IF($C1436="","",IF($Z1436="Yes",1,0))</f>
        <v/>
      </c>
      <c r="AO1436">
        <f>IF($AK1436=1,IFERROR(IF(VALUE($C1436)&lt;100000000,VALUE($C1436),1000000000),IFERROR(IF(VALUE(MID($C1436,2,20))&lt;100000000,VALUE(MID($C1436,2,20)),1000000000),1000000000))+ROW()/100000,"")</f>
        <v/>
      </c>
    </row>
    <row r="1437">
      <c r="F1437" s="11" t="n"/>
      <c r="N1437" s="7">
        <f>IF($C1437="","",M1437*U1437/100)</f>
        <v/>
      </c>
      <c r="T1437" s="7" t="n"/>
      <c r="U1437" s="7" t="n"/>
      <c r="V1437" s="7">
        <f>IF($C1437="","",U1437*AA1437/100)</f>
        <v/>
      </c>
      <c r="W1437" s="7">
        <f>IF($C1437="","",U1437-V1437)</f>
        <v/>
      </c>
      <c r="X1437" s="7">
        <f>IF($C1437="","",W1437-N1437)</f>
        <v/>
      </c>
      <c r="AA1437">
        <f>IF($C1437="","",IF($AN1437=1,0,IF($AM1437=1,Settings!$C$6,Settings!$C$7))*100)</f>
        <v/>
      </c>
      <c r="AE1437" s="7" t="n"/>
      <c r="AH1437" s="11" t="n"/>
      <c r="AJ1437">
        <f>IF($C1437="","",$C1437&amp;"|"&amp;$D1437&amp;"")</f>
        <v/>
      </c>
      <c r="AK1437">
        <f>IF($C1437="","",IF(COUNTIF($AJ$2:$AJ1437,$AJ1437)=1,1,0))</f>
        <v/>
      </c>
      <c r="AL1437">
        <f>IF($AK1437=1,SUMPRODUCT(--($AO$2:$AO$1501&lt;$AO1437))+1,"")</f>
        <v/>
      </c>
      <c r="AM1437">
        <f>IF($C1437="","",IF(OR($Q1437=TRUE(),$Q1437="TRUE"),1,0))</f>
        <v/>
      </c>
      <c r="AN1437">
        <f>IF($C1437="","",IF($Z1437="Yes",1,0))</f>
        <v/>
      </c>
      <c r="AO1437">
        <f>IF($AK1437=1,IFERROR(IF(VALUE($C1437)&lt;100000000,VALUE($C1437),1000000000),IFERROR(IF(VALUE(MID($C1437,2,20))&lt;100000000,VALUE(MID($C1437,2,20)),1000000000),1000000000))+ROW()/100000,"")</f>
        <v/>
      </c>
    </row>
    <row r="1438">
      <c r="F1438" s="11" t="n"/>
      <c r="N1438" s="7">
        <f>IF($C1438="","",M1438*U1438/100)</f>
        <v/>
      </c>
      <c r="T1438" s="7" t="n"/>
      <c r="U1438" s="7" t="n"/>
      <c r="V1438" s="7">
        <f>IF($C1438="","",U1438*AA1438/100)</f>
        <v/>
      </c>
      <c r="W1438" s="7">
        <f>IF($C1438="","",U1438-V1438)</f>
        <v/>
      </c>
      <c r="X1438" s="7">
        <f>IF($C1438="","",W1438-N1438)</f>
        <v/>
      </c>
      <c r="AA1438">
        <f>IF($C1438="","",IF($AN1438=1,0,IF($AM1438=1,Settings!$C$6,Settings!$C$7))*100)</f>
        <v/>
      </c>
      <c r="AE1438" s="7" t="n"/>
      <c r="AH1438" s="11" t="n"/>
      <c r="AJ1438">
        <f>IF($C1438="","",$C1438&amp;"|"&amp;$D1438&amp;"")</f>
        <v/>
      </c>
      <c r="AK1438">
        <f>IF($C1438="","",IF(COUNTIF($AJ$2:$AJ1438,$AJ1438)=1,1,0))</f>
        <v/>
      </c>
      <c r="AL1438">
        <f>IF($AK1438=1,SUMPRODUCT(--($AO$2:$AO$1501&lt;$AO1438))+1,"")</f>
        <v/>
      </c>
      <c r="AM1438">
        <f>IF($C1438="","",IF(OR($Q1438=TRUE(),$Q1438="TRUE"),1,0))</f>
        <v/>
      </c>
      <c r="AN1438">
        <f>IF($C1438="","",IF($Z1438="Yes",1,0))</f>
        <v/>
      </c>
      <c r="AO1438">
        <f>IF($AK1438=1,IFERROR(IF(VALUE($C1438)&lt;100000000,VALUE($C1438),1000000000),IFERROR(IF(VALUE(MID($C1438,2,20))&lt;100000000,VALUE(MID($C1438,2,20)),1000000000),1000000000))+ROW()/100000,"")</f>
        <v/>
      </c>
    </row>
    <row r="1439">
      <c r="F1439" s="11" t="n"/>
      <c r="N1439" s="7">
        <f>IF($C1439="","",M1439*U1439/100)</f>
        <v/>
      </c>
      <c r="T1439" s="7" t="n"/>
      <c r="U1439" s="7" t="n"/>
      <c r="V1439" s="7">
        <f>IF($C1439="","",U1439*AA1439/100)</f>
        <v/>
      </c>
      <c r="W1439" s="7">
        <f>IF($C1439="","",U1439-V1439)</f>
        <v/>
      </c>
      <c r="X1439" s="7">
        <f>IF($C1439="","",W1439-N1439)</f>
        <v/>
      </c>
      <c r="AA1439">
        <f>IF($C1439="","",IF($AN1439=1,0,IF($AM1439=1,Settings!$C$6,Settings!$C$7))*100)</f>
        <v/>
      </c>
      <c r="AE1439" s="7" t="n"/>
      <c r="AH1439" s="11" t="n"/>
      <c r="AJ1439">
        <f>IF($C1439="","",$C1439&amp;"|"&amp;$D1439&amp;"")</f>
        <v/>
      </c>
      <c r="AK1439">
        <f>IF($C1439="","",IF(COUNTIF($AJ$2:$AJ1439,$AJ1439)=1,1,0))</f>
        <v/>
      </c>
      <c r="AL1439">
        <f>IF($AK1439=1,SUMPRODUCT(--($AO$2:$AO$1501&lt;$AO1439))+1,"")</f>
        <v/>
      </c>
      <c r="AM1439">
        <f>IF($C1439="","",IF(OR($Q1439=TRUE(),$Q1439="TRUE"),1,0))</f>
        <v/>
      </c>
      <c r="AN1439">
        <f>IF($C1439="","",IF($Z1439="Yes",1,0))</f>
        <v/>
      </c>
      <c r="AO1439">
        <f>IF($AK1439=1,IFERROR(IF(VALUE($C1439)&lt;100000000,VALUE($C1439),1000000000),IFERROR(IF(VALUE(MID($C1439,2,20))&lt;100000000,VALUE(MID($C1439,2,20)),1000000000),1000000000))+ROW()/100000,"")</f>
        <v/>
      </c>
    </row>
    <row r="1440">
      <c r="F1440" s="11" t="n"/>
      <c r="N1440" s="7">
        <f>IF($C1440="","",M1440*U1440/100)</f>
        <v/>
      </c>
      <c r="T1440" s="7" t="n"/>
      <c r="U1440" s="7" t="n"/>
      <c r="V1440" s="7">
        <f>IF($C1440="","",U1440*AA1440/100)</f>
        <v/>
      </c>
      <c r="W1440" s="7">
        <f>IF($C1440="","",U1440-V1440)</f>
        <v/>
      </c>
      <c r="X1440" s="7">
        <f>IF($C1440="","",W1440-N1440)</f>
        <v/>
      </c>
      <c r="AA1440">
        <f>IF($C1440="","",IF($AN1440=1,0,IF($AM1440=1,Settings!$C$6,Settings!$C$7))*100)</f>
        <v/>
      </c>
      <c r="AE1440" s="7" t="n"/>
      <c r="AH1440" s="11" t="n"/>
      <c r="AJ1440">
        <f>IF($C1440="","",$C1440&amp;"|"&amp;$D1440&amp;"")</f>
        <v/>
      </c>
      <c r="AK1440">
        <f>IF($C1440="","",IF(COUNTIF($AJ$2:$AJ1440,$AJ1440)=1,1,0))</f>
        <v/>
      </c>
      <c r="AL1440">
        <f>IF($AK1440=1,SUMPRODUCT(--($AO$2:$AO$1501&lt;$AO1440))+1,"")</f>
        <v/>
      </c>
      <c r="AM1440">
        <f>IF($C1440="","",IF(OR($Q1440=TRUE(),$Q1440="TRUE"),1,0))</f>
        <v/>
      </c>
      <c r="AN1440">
        <f>IF($C1440="","",IF($Z1440="Yes",1,0))</f>
        <v/>
      </c>
      <c r="AO1440">
        <f>IF($AK1440=1,IFERROR(IF(VALUE($C1440)&lt;100000000,VALUE($C1440),1000000000),IFERROR(IF(VALUE(MID($C1440,2,20))&lt;100000000,VALUE(MID($C1440,2,20)),1000000000),1000000000))+ROW()/100000,"")</f>
        <v/>
      </c>
    </row>
    <row r="1441">
      <c r="F1441" s="11" t="n"/>
      <c r="N1441" s="7">
        <f>IF($C1441="","",M1441*U1441/100)</f>
        <v/>
      </c>
      <c r="T1441" s="7" t="n"/>
      <c r="U1441" s="7" t="n"/>
      <c r="V1441" s="7">
        <f>IF($C1441="","",U1441*AA1441/100)</f>
        <v/>
      </c>
      <c r="W1441" s="7">
        <f>IF($C1441="","",U1441-V1441)</f>
        <v/>
      </c>
      <c r="X1441" s="7">
        <f>IF($C1441="","",W1441-N1441)</f>
        <v/>
      </c>
      <c r="AA1441">
        <f>IF($C1441="","",IF($AN1441=1,0,IF($AM1441=1,Settings!$C$6,Settings!$C$7))*100)</f>
        <v/>
      </c>
      <c r="AE1441" s="7" t="n"/>
      <c r="AH1441" s="11" t="n"/>
      <c r="AJ1441">
        <f>IF($C1441="","",$C1441&amp;"|"&amp;$D1441&amp;"")</f>
        <v/>
      </c>
      <c r="AK1441">
        <f>IF($C1441="","",IF(COUNTIF($AJ$2:$AJ1441,$AJ1441)=1,1,0))</f>
        <v/>
      </c>
      <c r="AL1441">
        <f>IF($AK1441=1,SUMPRODUCT(--($AO$2:$AO$1501&lt;$AO1441))+1,"")</f>
        <v/>
      </c>
      <c r="AM1441">
        <f>IF($C1441="","",IF(OR($Q1441=TRUE(),$Q1441="TRUE"),1,0))</f>
        <v/>
      </c>
      <c r="AN1441">
        <f>IF($C1441="","",IF($Z1441="Yes",1,0))</f>
        <v/>
      </c>
      <c r="AO1441">
        <f>IF($AK1441=1,IFERROR(IF(VALUE($C1441)&lt;100000000,VALUE($C1441),1000000000),IFERROR(IF(VALUE(MID($C1441,2,20))&lt;100000000,VALUE(MID($C1441,2,20)),1000000000),1000000000))+ROW()/100000,"")</f>
        <v/>
      </c>
    </row>
    <row r="1442">
      <c r="F1442" s="11" t="n"/>
      <c r="N1442" s="7">
        <f>IF($C1442="","",M1442*U1442/100)</f>
        <v/>
      </c>
      <c r="T1442" s="7" t="n"/>
      <c r="U1442" s="7" t="n"/>
      <c r="V1442" s="7">
        <f>IF($C1442="","",U1442*AA1442/100)</f>
        <v/>
      </c>
      <c r="W1442" s="7">
        <f>IF($C1442="","",U1442-V1442)</f>
        <v/>
      </c>
      <c r="X1442" s="7">
        <f>IF($C1442="","",W1442-N1442)</f>
        <v/>
      </c>
      <c r="AA1442">
        <f>IF($C1442="","",IF($AN1442=1,0,IF($AM1442=1,Settings!$C$6,Settings!$C$7))*100)</f>
        <v/>
      </c>
      <c r="AE1442" s="7" t="n"/>
      <c r="AH1442" s="11" t="n"/>
      <c r="AJ1442">
        <f>IF($C1442="","",$C1442&amp;"|"&amp;$D1442&amp;"")</f>
        <v/>
      </c>
      <c r="AK1442">
        <f>IF($C1442="","",IF(COUNTIF($AJ$2:$AJ1442,$AJ1442)=1,1,0))</f>
        <v/>
      </c>
      <c r="AL1442">
        <f>IF($AK1442=1,SUMPRODUCT(--($AO$2:$AO$1501&lt;$AO1442))+1,"")</f>
        <v/>
      </c>
      <c r="AM1442">
        <f>IF($C1442="","",IF(OR($Q1442=TRUE(),$Q1442="TRUE"),1,0))</f>
        <v/>
      </c>
      <c r="AN1442">
        <f>IF($C1442="","",IF($Z1442="Yes",1,0))</f>
        <v/>
      </c>
      <c r="AO1442">
        <f>IF($AK1442=1,IFERROR(IF(VALUE($C1442)&lt;100000000,VALUE($C1442),1000000000),IFERROR(IF(VALUE(MID($C1442,2,20))&lt;100000000,VALUE(MID($C1442,2,20)),1000000000),1000000000))+ROW()/100000,"")</f>
        <v/>
      </c>
    </row>
    <row r="1443">
      <c r="F1443" s="11" t="n"/>
      <c r="N1443" s="7">
        <f>IF($C1443="","",M1443*U1443/100)</f>
        <v/>
      </c>
      <c r="T1443" s="7" t="n"/>
      <c r="U1443" s="7" t="n"/>
      <c r="V1443" s="7">
        <f>IF($C1443="","",U1443*AA1443/100)</f>
        <v/>
      </c>
      <c r="W1443" s="7">
        <f>IF($C1443="","",U1443-V1443)</f>
        <v/>
      </c>
      <c r="X1443" s="7">
        <f>IF($C1443="","",W1443-N1443)</f>
        <v/>
      </c>
      <c r="AA1443">
        <f>IF($C1443="","",IF($AN1443=1,0,IF($AM1443=1,Settings!$C$6,Settings!$C$7))*100)</f>
        <v/>
      </c>
      <c r="AE1443" s="7" t="n"/>
      <c r="AH1443" s="11" t="n"/>
      <c r="AJ1443">
        <f>IF($C1443="","",$C1443&amp;"|"&amp;$D1443&amp;"")</f>
        <v/>
      </c>
      <c r="AK1443">
        <f>IF($C1443="","",IF(COUNTIF($AJ$2:$AJ1443,$AJ1443)=1,1,0))</f>
        <v/>
      </c>
      <c r="AL1443">
        <f>IF($AK1443=1,SUMPRODUCT(--($AO$2:$AO$1501&lt;$AO1443))+1,"")</f>
        <v/>
      </c>
      <c r="AM1443">
        <f>IF($C1443="","",IF(OR($Q1443=TRUE(),$Q1443="TRUE"),1,0))</f>
        <v/>
      </c>
      <c r="AN1443">
        <f>IF($C1443="","",IF($Z1443="Yes",1,0))</f>
        <v/>
      </c>
      <c r="AO1443">
        <f>IF($AK1443=1,IFERROR(IF(VALUE($C1443)&lt;100000000,VALUE($C1443),1000000000),IFERROR(IF(VALUE(MID($C1443,2,20))&lt;100000000,VALUE(MID($C1443,2,20)),1000000000),1000000000))+ROW()/100000,"")</f>
        <v/>
      </c>
    </row>
    <row r="1444">
      <c r="F1444" s="11" t="n"/>
      <c r="N1444" s="7">
        <f>IF($C1444="","",M1444*U1444/100)</f>
        <v/>
      </c>
      <c r="T1444" s="7" t="n"/>
      <c r="U1444" s="7" t="n"/>
      <c r="V1444" s="7">
        <f>IF($C1444="","",U1444*AA1444/100)</f>
        <v/>
      </c>
      <c r="W1444" s="7">
        <f>IF($C1444="","",U1444-V1444)</f>
        <v/>
      </c>
      <c r="X1444" s="7">
        <f>IF($C1444="","",W1444-N1444)</f>
        <v/>
      </c>
      <c r="AA1444">
        <f>IF($C1444="","",IF($AN1444=1,0,IF($AM1444=1,Settings!$C$6,Settings!$C$7))*100)</f>
        <v/>
      </c>
      <c r="AE1444" s="7" t="n"/>
      <c r="AH1444" s="11" t="n"/>
      <c r="AJ1444">
        <f>IF($C1444="","",$C1444&amp;"|"&amp;$D1444&amp;"")</f>
        <v/>
      </c>
      <c r="AK1444">
        <f>IF($C1444="","",IF(COUNTIF($AJ$2:$AJ1444,$AJ1444)=1,1,0))</f>
        <v/>
      </c>
      <c r="AL1444">
        <f>IF($AK1444=1,SUMPRODUCT(--($AO$2:$AO$1501&lt;$AO1444))+1,"")</f>
        <v/>
      </c>
      <c r="AM1444">
        <f>IF($C1444="","",IF(OR($Q1444=TRUE(),$Q1444="TRUE"),1,0))</f>
        <v/>
      </c>
      <c r="AN1444">
        <f>IF($C1444="","",IF($Z1444="Yes",1,0))</f>
        <v/>
      </c>
      <c r="AO1444">
        <f>IF($AK1444=1,IFERROR(IF(VALUE($C1444)&lt;100000000,VALUE($C1444),1000000000),IFERROR(IF(VALUE(MID($C1444,2,20))&lt;100000000,VALUE(MID($C1444,2,20)),1000000000),1000000000))+ROW()/100000,"")</f>
        <v/>
      </c>
    </row>
    <row r="1445">
      <c r="F1445" s="11" t="n"/>
      <c r="N1445" s="7">
        <f>IF($C1445="","",M1445*U1445/100)</f>
        <v/>
      </c>
      <c r="T1445" s="7" t="n"/>
      <c r="U1445" s="7" t="n"/>
      <c r="V1445" s="7">
        <f>IF($C1445="","",U1445*AA1445/100)</f>
        <v/>
      </c>
      <c r="W1445" s="7">
        <f>IF($C1445="","",U1445-V1445)</f>
        <v/>
      </c>
      <c r="X1445" s="7">
        <f>IF($C1445="","",W1445-N1445)</f>
        <v/>
      </c>
      <c r="AA1445">
        <f>IF($C1445="","",IF($AN1445=1,0,IF($AM1445=1,Settings!$C$6,Settings!$C$7))*100)</f>
        <v/>
      </c>
      <c r="AE1445" s="7" t="n"/>
      <c r="AH1445" s="11" t="n"/>
      <c r="AJ1445">
        <f>IF($C1445="","",$C1445&amp;"|"&amp;$D1445&amp;"")</f>
        <v/>
      </c>
      <c r="AK1445">
        <f>IF($C1445="","",IF(COUNTIF($AJ$2:$AJ1445,$AJ1445)=1,1,0))</f>
        <v/>
      </c>
      <c r="AL1445">
        <f>IF($AK1445=1,SUMPRODUCT(--($AO$2:$AO$1501&lt;$AO1445))+1,"")</f>
        <v/>
      </c>
      <c r="AM1445">
        <f>IF($C1445="","",IF(OR($Q1445=TRUE(),$Q1445="TRUE"),1,0))</f>
        <v/>
      </c>
      <c r="AN1445">
        <f>IF($C1445="","",IF($Z1445="Yes",1,0))</f>
        <v/>
      </c>
      <c r="AO1445">
        <f>IF($AK1445=1,IFERROR(IF(VALUE($C1445)&lt;100000000,VALUE($C1445),1000000000),IFERROR(IF(VALUE(MID($C1445,2,20))&lt;100000000,VALUE(MID($C1445,2,20)),1000000000),1000000000))+ROW()/100000,"")</f>
        <v/>
      </c>
    </row>
    <row r="1446">
      <c r="F1446" s="11" t="n"/>
      <c r="N1446" s="7">
        <f>IF($C1446="","",M1446*U1446/100)</f>
        <v/>
      </c>
      <c r="T1446" s="7" t="n"/>
      <c r="U1446" s="7" t="n"/>
      <c r="V1446" s="7">
        <f>IF($C1446="","",U1446*AA1446/100)</f>
        <v/>
      </c>
      <c r="W1446" s="7">
        <f>IF($C1446="","",U1446-V1446)</f>
        <v/>
      </c>
      <c r="X1446" s="7">
        <f>IF($C1446="","",W1446-N1446)</f>
        <v/>
      </c>
      <c r="AA1446">
        <f>IF($C1446="","",IF($AN1446=1,0,IF($AM1446=1,Settings!$C$6,Settings!$C$7))*100)</f>
        <v/>
      </c>
      <c r="AE1446" s="7" t="n"/>
      <c r="AH1446" s="11" t="n"/>
      <c r="AJ1446">
        <f>IF($C1446="","",$C1446&amp;"|"&amp;$D1446&amp;"")</f>
        <v/>
      </c>
      <c r="AK1446">
        <f>IF($C1446="","",IF(COUNTIF($AJ$2:$AJ1446,$AJ1446)=1,1,0))</f>
        <v/>
      </c>
      <c r="AL1446">
        <f>IF($AK1446=1,SUMPRODUCT(--($AO$2:$AO$1501&lt;$AO1446))+1,"")</f>
        <v/>
      </c>
      <c r="AM1446">
        <f>IF($C1446="","",IF(OR($Q1446=TRUE(),$Q1446="TRUE"),1,0))</f>
        <v/>
      </c>
      <c r="AN1446">
        <f>IF($C1446="","",IF($Z1446="Yes",1,0))</f>
        <v/>
      </c>
      <c r="AO1446">
        <f>IF($AK1446=1,IFERROR(IF(VALUE($C1446)&lt;100000000,VALUE($C1446),1000000000),IFERROR(IF(VALUE(MID($C1446,2,20))&lt;100000000,VALUE(MID($C1446,2,20)),1000000000),1000000000))+ROW()/100000,"")</f>
        <v/>
      </c>
    </row>
    <row r="1447">
      <c r="F1447" s="11" t="n"/>
      <c r="N1447" s="7">
        <f>IF($C1447="","",M1447*U1447/100)</f>
        <v/>
      </c>
      <c r="T1447" s="7" t="n"/>
      <c r="U1447" s="7" t="n"/>
      <c r="V1447" s="7">
        <f>IF($C1447="","",U1447*AA1447/100)</f>
        <v/>
      </c>
      <c r="W1447" s="7">
        <f>IF($C1447="","",U1447-V1447)</f>
        <v/>
      </c>
      <c r="X1447" s="7">
        <f>IF($C1447="","",W1447-N1447)</f>
        <v/>
      </c>
      <c r="AA1447">
        <f>IF($C1447="","",IF($AN1447=1,0,IF($AM1447=1,Settings!$C$6,Settings!$C$7))*100)</f>
        <v/>
      </c>
      <c r="AE1447" s="7" t="n"/>
      <c r="AH1447" s="11" t="n"/>
      <c r="AJ1447">
        <f>IF($C1447="","",$C1447&amp;"|"&amp;$D1447&amp;"")</f>
        <v/>
      </c>
      <c r="AK1447">
        <f>IF($C1447="","",IF(COUNTIF($AJ$2:$AJ1447,$AJ1447)=1,1,0))</f>
        <v/>
      </c>
      <c r="AL1447">
        <f>IF($AK1447=1,SUMPRODUCT(--($AO$2:$AO$1501&lt;$AO1447))+1,"")</f>
        <v/>
      </c>
      <c r="AM1447">
        <f>IF($C1447="","",IF(OR($Q1447=TRUE(),$Q1447="TRUE"),1,0))</f>
        <v/>
      </c>
      <c r="AN1447">
        <f>IF($C1447="","",IF($Z1447="Yes",1,0))</f>
        <v/>
      </c>
      <c r="AO1447">
        <f>IF($AK1447=1,IFERROR(IF(VALUE($C1447)&lt;100000000,VALUE($C1447),1000000000),IFERROR(IF(VALUE(MID($C1447,2,20))&lt;100000000,VALUE(MID($C1447,2,20)),1000000000),1000000000))+ROW()/100000,"")</f>
        <v/>
      </c>
    </row>
    <row r="1448">
      <c r="F1448" s="11" t="n"/>
      <c r="N1448" s="7">
        <f>IF($C1448="","",M1448*U1448/100)</f>
        <v/>
      </c>
      <c r="T1448" s="7" t="n"/>
      <c r="U1448" s="7" t="n"/>
      <c r="V1448" s="7">
        <f>IF($C1448="","",U1448*AA1448/100)</f>
        <v/>
      </c>
      <c r="W1448" s="7">
        <f>IF($C1448="","",U1448-V1448)</f>
        <v/>
      </c>
      <c r="X1448" s="7">
        <f>IF($C1448="","",W1448-N1448)</f>
        <v/>
      </c>
      <c r="AA1448">
        <f>IF($C1448="","",IF($AN1448=1,0,IF($AM1448=1,Settings!$C$6,Settings!$C$7))*100)</f>
        <v/>
      </c>
      <c r="AE1448" s="7" t="n"/>
      <c r="AH1448" s="11" t="n"/>
      <c r="AJ1448">
        <f>IF($C1448="","",$C1448&amp;"|"&amp;$D1448&amp;"")</f>
        <v/>
      </c>
      <c r="AK1448">
        <f>IF($C1448="","",IF(COUNTIF($AJ$2:$AJ1448,$AJ1448)=1,1,0))</f>
        <v/>
      </c>
      <c r="AL1448">
        <f>IF($AK1448=1,SUMPRODUCT(--($AO$2:$AO$1501&lt;$AO1448))+1,"")</f>
        <v/>
      </c>
      <c r="AM1448">
        <f>IF($C1448="","",IF(OR($Q1448=TRUE(),$Q1448="TRUE"),1,0))</f>
        <v/>
      </c>
      <c r="AN1448">
        <f>IF($C1448="","",IF($Z1448="Yes",1,0))</f>
        <v/>
      </c>
      <c r="AO1448">
        <f>IF($AK1448=1,IFERROR(IF(VALUE($C1448)&lt;100000000,VALUE($C1448),1000000000),IFERROR(IF(VALUE(MID($C1448,2,20))&lt;100000000,VALUE(MID($C1448,2,20)),1000000000),1000000000))+ROW()/100000,"")</f>
        <v/>
      </c>
    </row>
    <row r="1449">
      <c r="F1449" s="11" t="n"/>
      <c r="N1449" s="7">
        <f>IF($C1449="","",M1449*U1449/100)</f>
        <v/>
      </c>
      <c r="T1449" s="7" t="n"/>
      <c r="U1449" s="7" t="n"/>
      <c r="V1449" s="7">
        <f>IF($C1449="","",U1449*AA1449/100)</f>
        <v/>
      </c>
      <c r="W1449" s="7">
        <f>IF($C1449="","",U1449-V1449)</f>
        <v/>
      </c>
      <c r="X1449" s="7">
        <f>IF($C1449="","",W1449-N1449)</f>
        <v/>
      </c>
      <c r="AA1449">
        <f>IF($C1449="","",IF($AN1449=1,0,IF($AM1449=1,Settings!$C$6,Settings!$C$7))*100)</f>
        <v/>
      </c>
      <c r="AE1449" s="7" t="n"/>
      <c r="AH1449" s="11" t="n"/>
      <c r="AJ1449">
        <f>IF($C1449="","",$C1449&amp;"|"&amp;$D1449&amp;"")</f>
        <v/>
      </c>
      <c r="AK1449">
        <f>IF($C1449="","",IF(COUNTIF($AJ$2:$AJ1449,$AJ1449)=1,1,0))</f>
        <v/>
      </c>
      <c r="AL1449">
        <f>IF($AK1449=1,SUMPRODUCT(--($AO$2:$AO$1501&lt;$AO1449))+1,"")</f>
        <v/>
      </c>
      <c r="AM1449">
        <f>IF($C1449="","",IF(OR($Q1449=TRUE(),$Q1449="TRUE"),1,0))</f>
        <v/>
      </c>
      <c r="AN1449">
        <f>IF($C1449="","",IF($Z1449="Yes",1,0))</f>
        <v/>
      </c>
      <c r="AO1449">
        <f>IF($AK1449=1,IFERROR(IF(VALUE($C1449)&lt;100000000,VALUE($C1449),1000000000),IFERROR(IF(VALUE(MID($C1449,2,20))&lt;100000000,VALUE(MID($C1449,2,20)),1000000000),1000000000))+ROW()/100000,"")</f>
        <v/>
      </c>
    </row>
    <row r="1450">
      <c r="F1450" s="11" t="n"/>
      <c r="N1450" s="7">
        <f>IF($C1450="","",M1450*U1450/100)</f>
        <v/>
      </c>
      <c r="T1450" s="7" t="n"/>
      <c r="U1450" s="7" t="n"/>
      <c r="V1450" s="7">
        <f>IF($C1450="","",U1450*AA1450/100)</f>
        <v/>
      </c>
      <c r="W1450" s="7">
        <f>IF($C1450="","",U1450-V1450)</f>
        <v/>
      </c>
      <c r="X1450" s="7">
        <f>IF($C1450="","",W1450-N1450)</f>
        <v/>
      </c>
      <c r="AA1450">
        <f>IF($C1450="","",IF($AN1450=1,0,IF($AM1450=1,Settings!$C$6,Settings!$C$7))*100)</f>
        <v/>
      </c>
      <c r="AE1450" s="7" t="n"/>
      <c r="AH1450" s="11" t="n"/>
      <c r="AJ1450">
        <f>IF($C1450="","",$C1450&amp;"|"&amp;$D1450&amp;"")</f>
        <v/>
      </c>
      <c r="AK1450">
        <f>IF($C1450="","",IF(COUNTIF($AJ$2:$AJ1450,$AJ1450)=1,1,0))</f>
        <v/>
      </c>
      <c r="AL1450">
        <f>IF($AK1450=1,SUMPRODUCT(--($AO$2:$AO$1501&lt;$AO1450))+1,"")</f>
        <v/>
      </c>
      <c r="AM1450">
        <f>IF($C1450="","",IF(OR($Q1450=TRUE(),$Q1450="TRUE"),1,0))</f>
        <v/>
      </c>
      <c r="AN1450">
        <f>IF($C1450="","",IF($Z1450="Yes",1,0))</f>
        <v/>
      </c>
      <c r="AO1450">
        <f>IF($AK1450=1,IFERROR(IF(VALUE($C1450)&lt;100000000,VALUE($C1450),1000000000),IFERROR(IF(VALUE(MID($C1450,2,20))&lt;100000000,VALUE(MID($C1450,2,20)),1000000000),1000000000))+ROW()/100000,"")</f>
        <v/>
      </c>
    </row>
    <row r="1451">
      <c r="F1451" s="11" t="n"/>
      <c r="N1451" s="7">
        <f>IF($C1451="","",M1451*U1451/100)</f>
        <v/>
      </c>
      <c r="T1451" s="7" t="n"/>
      <c r="U1451" s="7" t="n"/>
      <c r="V1451" s="7">
        <f>IF($C1451="","",U1451*AA1451/100)</f>
        <v/>
      </c>
      <c r="W1451" s="7">
        <f>IF($C1451="","",U1451-V1451)</f>
        <v/>
      </c>
      <c r="X1451" s="7">
        <f>IF($C1451="","",W1451-N1451)</f>
        <v/>
      </c>
      <c r="AA1451">
        <f>IF($C1451="","",IF($AN1451=1,0,IF($AM1451=1,Settings!$C$6,Settings!$C$7))*100)</f>
        <v/>
      </c>
      <c r="AE1451" s="7" t="n"/>
      <c r="AH1451" s="11" t="n"/>
      <c r="AJ1451">
        <f>IF($C1451="","",$C1451&amp;"|"&amp;$D1451&amp;"")</f>
        <v/>
      </c>
      <c r="AK1451">
        <f>IF($C1451="","",IF(COUNTIF($AJ$2:$AJ1451,$AJ1451)=1,1,0))</f>
        <v/>
      </c>
      <c r="AL1451">
        <f>IF($AK1451=1,SUMPRODUCT(--($AO$2:$AO$1501&lt;$AO1451))+1,"")</f>
        <v/>
      </c>
      <c r="AM1451">
        <f>IF($C1451="","",IF(OR($Q1451=TRUE(),$Q1451="TRUE"),1,0))</f>
        <v/>
      </c>
      <c r="AN1451">
        <f>IF($C1451="","",IF($Z1451="Yes",1,0))</f>
        <v/>
      </c>
      <c r="AO1451">
        <f>IF($AK1451=1,IFERROR(IF(VALUE($C1451)&lt;100000000,VALUE($C1451),1000000000),IFERROR(IF(VALUE(MID($C1451,2,20))&lt;100000000,VALUE(MID($C1451,2,20)),1000000000),1000000000))+ROW()/100000,"")</f>
        <v/>
      </c>
    </row>
    <row r="1452">
      <c r="F1452" s="11" t="n"/>
      <c r="N1452" s="7">
        <f>IF($C1452="","",M1452*U1452/100)</f>
        <v/>
      </c>
      <c r="T1452" s="7" t="n"/>
      <c r="U1452" s="7" t="n"/>
      <c r="V1452" s="7">
        <f>IF($C1452="","",U1452*AA1452/100)</f>
        <v/>
      </c>
      <c r="W1452" s="7">
        <f>IF($C1452="","",U1452-V1452)</f>
        <v/>
      </c>
      <c r="X1452" s="7">
        <f>IF($C1452="","",W1452-N1452)</f>
        <v/>
      </c>
      <c r="AA1452">
        <f>IF($C1452="","",IF($AN1452=1,0,IF($AM1452=1,Settings!$C$6,Settings!$C$7))*100)</f>
        <v/>
      </c>
      <c r="AE1452" s="7" t="n"/>
      <c r="AH1452" s="11" t="n"/>
      <c r="AJ1452">
        <f>IF($C1452="","",$C1452&amp;"|"&amp;$D1452&amp;"")</f>
        <v/>
      </c>
      <c r="AK1452">
        <f>IF($C1452="","",IF(COUNTIF($AJ$2:$AJ1452,$AJ1452)=1,1,0))</f>
        <v/>
      </c>
      <c r="AL1452">
        <f>IF($AK1452=1,SUMPRODUCT(--($AO$2:$AO$1501&lt;$AO1452))+1,"")</f>
        <v/>
      </c>
      <c r="AM1452">
        <f>IF($C1452="","",IF(OR($Q1452=TRUE(),$Q1452="TRUE"),1,0))</f>
        <v/>
      </c>
      <c r="AN1452">
        <f>IF($C1452="","",IF($Z1452="Yes",1,0))</f>
        <v/>
      </c>
      <c r="AO1452">
        <f>IF($AK1452=1,IFERROR(IF(VALUE($C1452)&lt;100000000,VALUE($C1452),1000000000),IFERROR(IF(VALUE(MID($C1452,2,20))&lt;100000000,VALUE(MID($C1452,2,20)),1000000000),1000000000))+ROW()/100000,"")</f>
        <v/>
      </c>
    </row>
    <row r="1453">
      <c r="F1453" s="11" t="n"/>
      <c r="N1453" s="7">
        <f>IF($C1453="","",M1453*U1453/100)</f>
        <v/>
      </c>
      <c r="T1453" s="7" t="n"/>
      <c r="U1453" s="7" t="n"/>
      <c r="V1453" s="7">
        <f>IF($C1453="","",U1453*AA1453/100)</f>
        <v/>
      </c>
      <c r="W1453" s="7">
        <f>IF($C1453="","",U1453-V1453)</f>
        <v/>
      </c>
      <c r="X1453" s="7">
        <f>IF($C1453="","",W1453-N1453)</f>
        <v/>
      </c>
      <c r="AA1453">
        <f>IF($C1453="","",IF($AN1453=1,0,IF($AM1453=1,Settings!$C$6,Settings!$C$7))*100)</f>
        <v/>
      </c>
      <c r="AE1453" s="7" t="n"/>
      <c r="AH1453" s="11" t="n"/>
      <c r="AJ1453">
        <f>IF($C1453="","",$C1453&amp;"|"&amp;$D1453&amp;"")</f>
        <v/>
      </c>
      <c r="AK1453">
        <f>IF($C1453="","",IF(COUNTIF($AJ$2:$AJ1453,$AJ1453)=1,1,0))</f>
        <v/>
      </c>
      <c r="AL1453">
        <f>IF($AK1453=1,SUMPRODUCT(--($AO$2:$AO$1501&lt;$AO1453))+1,"")</f>
        <v/>
      </c>
      <c r="AM1453">
        <f>IF($C1453="","",IF(OR($Q1453=TRUE(),$Q1453="TRUE"),1,0))</f>
        <v/>
      </c>
      <c r="AN1453">
        <f>IF($C1453="","",IF($Z1453="Yes",1,0))</f>
        <v/>
      </c>
      <c r="AO1453">
        <f>IF($AK1453=1,IFERROR(IF(VALUE($C1453)&lt;100000000,VALUE($C1453),1000000000),IFERROR(IF(VALUE(MID($C1453,2,20))&lt;100000000,VALUE(MID($C1453,2,20)),1000000000),1000000000))+ROW()/100000,"")</f>
        <v/>
      </c>
    </row>
    <row r="1454">
      <c r="F1454" s="11" t="n"/>
      <c r="N1454" s="7">
        <f>IF($C1454="","",M1454*U1454/100)</f>
        <v/>
      </c>
      <c r="T1454" s="7" t="n"/>
      <c r="U1454" s="7" t="n"/>
      <c r="V1454" s="7">
        <f>IF($C1454="","",U1454*AA1454/100)</f>
        <v/>
      </c>
      <c r="W1454" s="7">
        <f>IF($C1454="","",U1454-V1454)</f>
        <v/>
      </c>
      <c r="X1454" s="7">
        <f>IF($C1454="","",W1454-N1454)</f>
        <v/>
      </c>
      <c r="AA1454">
        <f>IF($C1454="","",IF($AN1454=1,0,IF($AM1454=1,Settings!$C$6,Settings!$C$7))*100)</f>
        <v/>
      </c>
      <c r="AE1454" s="7" t="n"/>
      <c r="AH1454" s="11" t="n"/>
      <c r="AJ1454">
        <f>IF($C1454="","",$C1454&amp;"|"&amp;$D1454&amp;"")</f>
        <v/>
      </c>
      <c r="AK1454">
        <f>IF($C1454="","",IF(COUNTIF($AJ$2:$AJ1454,$AJ1454)=1,1,0))</f>
        <v/>
      </c>
      <c r="AL1454">
        <f>IF($AK1454=1,SUMPRODUCT(--($AO$2:$AO$1501&lt;$AO1454))+1,"")</f>
        <v/>
      </c>
      <c r="AM1454">
        <f>IF($C1454="","",IF(OR($Q1454=TRUE(),$Q1454="TRUE"),1,0))</f>
        <v/>
      </c>
      <c r="AN1454">
        <f>IF($C1454="","",IF($Z1454="Yes",1,0))</f>
        <v/>
      </c>
      <c r="AO1454">
        <f>IF($AK1454=1,IFERROR(IF(VALUE($C1454)&lt;100000000,VALUE($C1454),1000000000),IFERROR(IF(VALUE(MID($C1454,2,20))&lt;100000000,VALUE(MID($C1454,2,20)),1000000000),1000000000))+ROW()/100000,"")</f>
        <v/>
      </c>
    </row>
    <row r="1455">
      <c r="F1455" s="11" t="n"/>
      <c r="N1455" s="7">
        <f>IF($C1455="","",M1455*U1455/100)</f>
        <v/>
      </c>
      <c r="T1455" s="7" t="n"/>
      <c r="U1455" s="7" t="n"/>
      <c r="V1455" s="7">
        <f>IF($C1455="","",U1455*AA1455/100)</f>
        <v/>
      </c>
      <c r="W1455" s="7">
        <f>IF($C1455="","",U1455-V1455)</f>
        <v/>
      </c>
      <c r="X1455" s="7">
        <f>IF($C1455="","",W1455-N1455)</f>
        <v/>
      </c>
      <c r="AA1455">
        <f>IF($C1455="","",IF($AN1455=1,0,IF($AM1455=1,Settings!$C$6,Settings!$C$7))*100)</f>
        <v/>
      </c>
      <c r="AE1455" s="7" t="n"/>
      <c r="AH1455" s="11" t="n"/>
      <c r="AJ1455">
        <f>IF($C1455="","",$C1455&amp;"|"&amp;$D1455&amp;"")</f>
        <v/>
      </c>
      <c r="AK1455">
        <f>IF($C1455="","",IF(COUNTIF($AJ$2:$AJ1455,$AJ1455)=1,1,0))</f>
        <v/>
      </c>
      <c r="AL1455">
        <f>IF($AK1455=1,SUMPRODUCT(--($AO$2:$AO$1501&lt;$AO1455))+1,"")</f>
        <v/>
      </c>
      <c r="AM1455">
        <f>IF($C1455="","",IF(OR($Q1455=TRUE(),$Q1455="TRUE"),1,0))</f>
        <v/>
      </c>
      <c r="AN1455">
        <f>IF($C1455="","",IF($Z1455="Yes",1,0))</f>
        <v/>
      </c>
      <c r="AO1455">
        <f>IF($AK1455=1,IFERROR(IF(VALUE($C1455)&lt;100000000,VALUE($C1455),1000000000),IFERROR(IF(VALUE(MID($C1455,2,20))&lt;100000000,VALUE(MID($C1455,2,20)),1000000000),1000000000))+ROW()/100000,"")</f>
        <v/>
      </c>
    </row>
    <row r="1456">
      <c r="F1456" s="11" t="n"/>
      <c r="N1456" s="7">
        <f>IF($C1456="","",M1456*U1456/100)</f>
        <v/>
      </c>
      <c r="T1456" s="7" t="n"/>
      <c r="U1456" s="7" t="n"/>
      <c r="V1456" s="7">
        <f>IF($C1456="","",U1456*AA1456/100)</f>
        <v/>
      </c>
      <c r="W1456" s="7">
        <f>IF($C1456="","",U1456-V1456)</f>
        <v/>
      </c>
      <c r="X1456" s="7">
        <f>IF($C1456="","",W1456-N1456)</f>
        <v/>
      </c>
      <c r="AA1456">
        <f>IF($C1456="","",IF($AN1456=1,0,IF($AM1456=1,Settings!$C$6,Settings!$C$7))*100)</f>
        <v/>
      </c>
      <c r="AE1456" s="7" t="n"/>
      <c r="AH1456" s="11" t="n"/>
      <c r="AJ1456">
        <f>IF($C1456="","",$C1456&amp;"|"&amp;$D1456&amp;"")</f>
        <v/>
      </c>
      <c r="AK1456">
        <f>IF($C1456="","",IF(COUNTIF($AJ$2:$AJ1456,$AJ1456)=1,1,0))</f>
        <v/>
      </c>
      <c r="AL1456">
        <f>IF($AK1456=1,SUMPRODUCT(--($AO$2:$AO$1501&lt;$AO1456))+1,"")</f>
        <v/>
      </c>
      <c r="AM1456">
        <f>IF($C1456="","",IF(OR($Q1456=TRUE(),$Q1456="TRUE"),1,0))</f>
        <v/>
      </c>
      <c r="AN1456">
        <f>IF($C1456="","",IF($Z1456="Yes",1,0))</f>
        <v/>
      </c>
      <c r="AO1456">
        <f>IF($AK1456=1,IFERROR(IF(VALUE($C1456)&lt;100000000,VALUE($C1456),1000000000),IFERROR(IF(VALUE(MID($C1456,2,20))&lt;100000000,VALUE(MID($C1456,2,20)),1000000000),1000000000))+ROW()/100000,"")</f>
        <v/>
      </c>
    </row>
    <row r="1457">
      <c r="F1457" s="11" t="n"/>
      <c r="N1457" s="7">
        <f>IF($C1457="","",M1457*U1457/100)</f>
        <v/>
      </c>
      <c r="T1457" s="7" t="n"/>
      <c r="U1457" s="7" t="n"/>
      <c r="V1457" s="7">
        <f>IF($C1457="","",U1457*AA1457/100)</f>
        <v/>
      </c>
      <c r="W1457" s="7">
        <f>IF($C1457="","",U1457-V1457)</f>
        <v/>
      </c>
      <c r="X1457" s="7">
        <f>IF($C1457="","",W1457-N1457)</f>
        <v/>
      </c>
      <c r="AA1457">
        <f>IF($C1457="","",IF($AN1457=1,0,IF($AM1457=1,Settings!$C$6,Settings!$C$7))*100)</f>
        <v/>
      </c>
      <c r="AE1457" s="7" t="n"/>
      <c r="AH1457" s="11" t="n"/>
      <c r="AJ1457">
        <f>IF($C1457="","",$C1457&amp;"|"&amp;$D1457&amp;"")</f>
        <v/>
      </c>
      <c r="AK1457">
        <f>IF($C1457="","",IF(COUNTIF($AJ$2:$AJ1457,$AJ1457)=1,1,0))</f>
        <v/>
      </c>
      <c r="AL1457">
        <f>IF($AK1457=1,SUMPRODUCT(--($AO$2:$AO$1501&lt;$AO1457))+1,"")</f>
        <v/>
      </c>
      <c r="AM1457">
        <f>IF($C1457="","",IF(OR($Q1457=TRUE(),$Q1457="TRUE"),1,0))</f>
        <v/>
      </c>
      <c r="AN1457">
        <f>IF($C1457="","",IF($Z1457="Yes",1,0))</f>
        <v/>
      </c>
      <c r="AO1457">
        <f>IF($AK1457=1,IFERROR(IF(VALUE($C1457)&lt;100000000,VALUE($C1457),1000000000),IFERROR(IF(VALUE(MID($C1457,2,20))&lt;100000000,VALUE(MID($C1457,2,20)),1000000000),1000000000))+ROW()/100000,"")</f>
        <v/>
      </c>
    </row>
    <row r="1458">
      <c r="F1458" s="11" t="n"/>
      <c r="N1458" s="7">
        <f>IF($C1458="","",M1458*U1458/100)</f>
        <v/>
      </c>
      <c r="T1458" s="7" t="n"/>
      <c r="U1458" s="7" t="n"/>
      <c r="V1458" s="7">
        <f>IF($C1458="","",U1458*AA1458/100)</f>
        <v/>
      </c>
      <c r="W1458" s="7">
        <f>IF($C1458="","",U1458-V1458)</f>
        <v/>
      </c>
      <c r="X1458" s="7">
        <f>IF($C1458="","",W1458-N1458)</f>
        <v/>
      </c>
      <c r="AA1458">
        <f>IF($C1458="","",IF($AN1458=1,0,IF($AM1458=1,Settings!$C$6,Settings!$C$7))*100)</f>
        <v/>
      </c>
      <c r="AE1458" s="7" t="n"/>
      <c r="AH1458" s="11" t="n"/>
      <c r="AJ1458">
        <f>IF($C1458="","",$C1458&amp;"|"&amp;$D1458&amp;"")</f>
        <v/>
      </c>
      <c r="AK1458">
        <f>IF($C1458="","",IF(COUNTIF($AJ$2:$AJ1458,$AJ1458)=1,1,0))</f>
        <v/>
      </c>
      <c r="AL1458">
        <f>IF($AK1458=1,SUMPRODUCT(--($AO$2:$AO$1501&lt;$AO1458))+1,"")</f>
        <v/>
      </c>
      <c r="AM1458">
        <f>IF($C1458="","",IF(OR($Q1458=TRUE(),$Q1458="TRUE"),1,0))</f>
        <v/>
      </c>
      <c r="AN1458">
        <f>IF($C1458="","",IF($Z1458="Yes",1,0))</f>
        <v/>
      </c>
      <c r="AO1458">
        <f>IF($AK1458=1,IFERROR(IF(VALUE($C1458)&lt;100000000,VALUE($C1458),1000000000),IFERROR(IF(VALUE(MID($C1458,2,20))&lt;100000000,VALUE(MID($C1458,2,20)),1000000000),1000000000))+ROW()/100000,"")</f>
        <v/>
      </c>
    </row>
    <row r="1459">
      <c r="F1459" s="11" t="n"/>
      <c r="N1459" s="7">
        <f>IF($C1459="","",M1459*U1459/100)</f>
        <v/>
      </c>
      <c r="T1459" s="7" t="n"/>
      <c r="U1459" s="7" t="n"/>
      <c r="V1459" s="7">
        <f>IF($C1459="","",U1459*AA1459/100)</f>
        <v/>
      </c>
      <c r="W1459" s="7">
        <f>IF($C1459="","",U1459-V1459)</f>
        <v/>
      </c>
      <c r="X1459" s="7">
        <f>IF($C1459="","",W1459-N1459)</f>
        <v/>
      </c>
      <c r="AA1459">
        <f>IF($C1459="","",IF($AN1459=1,0,IF($AM1459=1,Settings!$C$6,Settings!$C$7))*100)</f>
        <v/>
      </c>
      <c r="AE1459" s="7" t="n"/>
      <c r="AH1459" s="11" t="n"/>
      <c r="AJ1459">
        <f>IF($C1459="","",$C1459&amp;"|"&amp;$D1459&amp;"")</f>
        <v/>
      </c>
      <c r="AK1459">
        <f>IF($C1459="","",IF(COUNTIF($AJ$2:$AJ1459,$AJ1459)=1,1,0))</f>
        <v/>
      </c>
      <c r="AL1459">
        <f>IF($AK1459=1,SUMPRODUCT(--($AO$2:$AO$1501&lt;$AO1459))+1,"")</f>
        <v/>
      </c>
      <c r="AM1459">
        <f>IF($C1459="","",IF(OR($Q1459=TRUE(),$Q1459="TRUE"),1,0))</f>
        <v/>
      </c>
      <c r="AN1459">
        <f>IF($C1459="","",IF($Z1459="Yes",1,0))</f>
        <v/>
      </c>
      <c r="AO1459">
        <f>IF($AK1459=1,IFERROR(IF(VALUE($C1459)&lt;100000000,VALUE($C1459),1000000000),IFERROR(IF(VALUE(MID($C1459,2,20))&lt;100000000,VALUE(MID($C1459,2,20)),1000000000),1000000000))+ROW()/100000,"")</f>
        <v/>
      </c>
    </row>
    <row r="1460">
      <c r="F1460" s="11" t="n"/>
      <c r="N1460" s="7">
        <f>IF($C1460="","",M1460*U1460/100)</f>
        <v/>
      </c>
      <c r="T1460" s="7" t="n"/>
      <c r="U1460" s="7" t="n"/>
      <c r="V1460" s="7">
        <f>IF($C1460="","",U1460*AA1460/100)</f>
        <v/>
      </c>
      <c r="W1460" s="7">
        <f>IF($C1460="","",U1460-V1460)</f>
        <v/>
      </c>
      <c r="X1460" s="7">
        <f>IF($C1460="","",W1460-N1460)</f>
        <v/>
      </c>
      <c r="AA1460">
        <f>IF($C1460="","",IF($AN1460=1,0,IF($AM1460=1,Settings!$C$6,Settings!$C$7))*100)</f>
        <v/>
      </c>
      <c r="AE1460" s="7" t="n"/>
      <c r="AH1460" s="11" t="n"/>
      <c r="AJ1460">
        <f>IF($C1460="","",$C1460&amp;"|"&amp;$D1460&amp;"")</f>
        <v/>
      </c>
      <c r="AK1460">
        <f>IF($C1460="","",IF(COUNTIF($AJ$2:$AJ1460,$AJ1460)=1,1,0))</f>
        <v/>
      </c>
      <c r="AL1460">
        <f>IF($AK1460=1,SUMPRODUCT(--($AO$2:$AO$1501&lt;$AO1460))+1,"")</f>
        <v/>
      </c>
      <c r="AM1460">
        <f>IF($C1460="","",IF(OR($Q1460=TRUE(),$Q1460="TRUE"),1,0))</f>
        <v/>
      </c>
      <c r="AN1460">
        <f>IF($C1460="","",IF($Z1460="Yes",1,0))</f>
        <v/>
      </c>
      <c r="AO1460">
        <f>IF($AK1460=1,IFERROR(IF(VALUE($C1460)&lt;100000000,VALUE($C1460),1000000000),IFERROR(IF(VALUE(MID($C1460,2,20))&lt;100000000,VALUE(MID($C1460,2,20)),1000000000),1000000000))+ROW()/100000,"")</f>
        <v/>
      </c>
    </row>
    <row r="1461">
      <c r="F1461" s="11" t="n"/>
      <c r="N1461" s="7">
        <f>IF($C1461="","",M1461*U1461/100)</f>
        <v/>
      </c>
      <c r="T1461" s="7" t="n"/>
      <c r="U1461" s="7" t="n"/>
      <c r="V1461" s="7">
        <f>IF($C1461="","",U1461*AA1461/100)</f>
        <v/>
      </c>
      <c r="W1461" s="7">
        <f>IF($C1461="","",U1461-V1461)</f>
        <v/>
      </c>
      <c r="X1461" s="7">
        <f>IF($C1461="","",W1461-N1461)</f>
        <v/>
      </c>
      <c r="AA1461">
        <f>IF($C1461="","",IF($AN1461=1,0,IF($AM1461=1,Settings!$C$6,Settings!$C$7))*100)</f>
        <v/>
      </c>
      <c r="AE1461" s="7" t="n"/>
      <c r="AH1461" s="11" t="n"/>
      <c r="AJ1461">
        <f>IF($C1461="","",$C1461&amp;"|"&amp;$D1461&amp;"")</f>
        <v/>
      </c>
      <c r="AK1461">
        <f>IF($C1461="","",IF(COUNTIF($AJ$2:$AJ1461,$AJ1461)=1,1,0))</f>
        <v/>
      </c>
      <c r="AL1461">
        <f>IF($AK1461=1,SUMPRODUCT(--($AO$2:$AO$1501&lt;$AO1461))+1,"")</f>
        <v/>
      </c>
      <c r="AM1461">
        <f>IF($C1461="","",IF(OR($Q1461=TRUE(),$Q1461="TRUE"),1,0))</f>
        <v/>
      </c>
      <c r="AN1461">
        <f>IF($C1461="","",IF($Z1461="Yes",1,0))</f>
        <v/>
      </c>
      <c r="AO1461">
        <f>IF($AK1461=1,IFERROR(IF(VALUE($C1461)&lt;100000000,VALUE($C1461),1000000000),IFERROR(IF(VALUE(MID($C1461,2,20))&lt;100000000,VALUE(MID($C1461,2,20)),1000000000),1000000000))+ROW()/100000,"")</f>
        <v/>
      </c>
    </row>
    <row r="1462">
      <c r="F1462" s="11" t="n"/>
      <c r="N1462" s="7">
        <f>IF($C1462="","",M1462*U1462/100)</f>
        <v/>
      </c>
      <c r="T1462" s="7" t="n"/>
      <c r="U1462" s="7" t="n"/>
      <c r="V1462" s="7">
        <f>IF($C1462="","",U1462*AA1462/100)</f>
        <v/>
      </c>
      <c r="W1462" s="7">
        <f>IF($C1462="","",U1462-V1462)</f>
        <v/>
      </c>
      <c r="X1462" s="7">
        <f>IF($C1462="","",W1462-N1462)</f>
        <v/>
      </c>
      <c r="AA1462">
        <f>IF($C1462="","",IF($AN1462=1,0,IF($AM1462=1,Settings!$C$6,Settings!$C$7))*100)</f>
        <v/>
      </c>
      <c r="AE1462" s="7" t="n"/>
      <c r="AH1462" s="11" t="n"/>
      <c r="AJ1462">
        <f>IF($C1462="","",$C1462&amp;"|"&amp;$D1462&amp;"")</f>
        <v/>
      </c>
      <c r="AK1462">
        <f>IF($C1462="","",IF(COUNTIF($AJ$2:$AJ1462,$AJ1462)=1,1,0))</f>
        <v/>
      </c>
      <c r="AL1462">
        <f>IF($AK1462=1,SUMPRODUCT(--($AO$2:$AO$1501&lt;$AO1462))+1,"")</f>
        <v/>
      </c>
      <c r="AM1462">
        <f>IF($C1462="","",IF(OR($Q1462=TRUE(),$Q1462="TRUE"),1,0))</f>
        <v/>
      </c>
      <c r="AN1462">
        <f>IF($C1462="","",IF($Z1462="Yes",1,0))</f>
        <v/>
      </c>
      <c r="AO1462">
        <f>IF($AK1462=1,IFERROR(IF(VALUE($C1462)&lt;100000000,VALUE($C1462),1000000000),IFERROR(IF(VALUE(MID($C1462,2,20))&lt;100000000,VALUE(MID($C1462,2,20)),1000000000),1000000000))+ROW()/100000,"")</f>
        <v/>
      </c>
    </row>
    <row r="1463">
      <c r="F1463" s="11" t="n"/>
      <c r="N1463" s="7">
        <f>IF($C1463="","",M1463*U1463/100)</f>
        <v/>
      </c>
      <c r="T1463" s="7" t="n"/>
      <c r="U1463" s="7" t="n"/>
      <c r="V1463" s="7">
        <f>IF($C1463="","",U1463*AA1463/100)</f>
        <v/>
      </c>
      <c r="W1463" s="7">
        <f>IF($C1463="","",U1463-V1463)</f>
        <v/>
      </c>
      <c r="X1463" s="7">
        <f>IF($C1463="","",W1463-N1463)</f>
        <v/>
      </c>
      <c r="AA1463">
        <f>IF($C1463="","",IF($AN1463=1,0,IF($AM1463=1,Settings!$C$6,Settings!$C$7))*100)</f>
        <v/>
      </c>
      <c r="AE1463" s="7" t="n"/>
      <c r="AH1463" s="11" t="n"/>
      <c r="AJ1463">
        <f>IF($C1463="","",$C1463&amp;"|"&amp;$D1463&amp;"")</f>
        <v/>
      </c>
      <c r="AK1463">
        <f>IF($C1463="","",IF(COUNTIF($AJ$2:$AJ1463,$AJ1463)=1,1,0))</f>
        <v/>
      </c>
      <c r="AL1463">
        <f>IF($AK1463=1,SUMPRODUCT(--($AO$2:$AO$1501&lt;$AO1463))+1,"")</f>
        <v/>
      </c>
      <c r="AM1463">
        <f>IF($C1463="","",IF(OR($Q1463=TRUE(),$Q1463="TRUE"),1,0))</f>
        <v/>
      </c>
      <c r="AN1463">
        <f>IF($C1463="","",IF($Z1463="Yes",1,0))</f>
        <v/>
      </c>
      <c r="AO1463">
        <f>IF($AK1463=1,IFERROR(IF(VALUE($C1463)&lt;100000000,VALUE($C1463),1000000000),IFERROR(IF(VALUE(MID($C1463,2,20))&lt;100000000,VALUE(MID($C1463,2,20)),1000000000),1000000000))+ROW()/100000,"")</f>
        <v/>
      </c>
    </row>
    <row r="1464">
      <c r="F1464" s="11" t="n"/>
      <c r="N1464" s="7">
        <f>IF($C1464="","",M1464*U1464/100)</f>
        <v/>
      </c>
      <c r="T1464" s="7" t="n"/>
      <c r="U1464" s="7" t="n"/>
      <c r="V1464" s="7">
        <f>IF($C1464="","",U1464*AA1464/100)</f>
        <v/>
      </c>
      <c r="W1464" s="7">
        <f>IF($C1464="","",U1464-V1464)</f>
        <v/>
      </c>
      <c r="X1464" s="7">
        <f>IF($C1464="","",W1464-N1464)</f>
        <v/>
      </c>
      <c r="AA1464">
        <f>IF($C1464="","",IF($AN1464=1,0,IF($AM1464=1,Settings!$C$6,Settings!$C$7))*100)</f>
        <v/>
      </c>
      <c r="AE1464" s="7" t="n"/>
      <c r="AH1464" s="11" t="n"/>
      <c r="AJ1464">
        <f>IF($C1464="","",$C1464&amp;"|"&amp;$D1464&amp;"")</f>
        <v/>
      </c>
      <c r="AK1464">
        <f>IF($C1464="","",IF(COUNTIF($AJ$2:$AJ1464,$AJ1464)=1,1,0))</f>
        <v/>
      </c>
      <c r="AL1464">
        <f>IF($AK1464=1,SUMPRODUCT(--($AO$2:$AO$1501&lt;$AO1464))+1,"")</f>
        <v/>
      </c>
      <c r="AM1464">
        <f>IF($C1464="","",IF(OR($Q1464=TRUE(),$Q1464="TRUE"),1,0))</f>
        <v/>
      </c>
      <c r="AN1464">
        <f>IF($C1464="","",IF($Z1464="Yes",1,0))</f>
        <v/>
      </c>
      <c r="AO1464">
        <f>IF($AK1464=1,IFERROR(IF(VALUE($C1464)&lt;100000000,VALUE($C1464),1000000000),IFERROR(IF(VALUE(MID($C1464,2,20))&lt;100000000,VALUE(MID($C1464,2,20)),1000000000),1000000000))+ROW()/100000,"")</f>
        <v/>
      </c>
    </row>
    <row r="1465">
      <c r="F1465" s="11" t="n"/>
      <c r="N1465" s="7">
        <f>IF($C1465="","",M1465*U1465/100)</f>
        <v/>
      </c>
      <c r="T1465" s="7" t="n"/>
      <c r="U1465" s="7" t="n"/>
      <c r="V1465" s="7">
        <f>IF($C1465="","",U1465*AA1465/100)</f>
        <v/>
      </c>
      <c r="W1465" s="7">
        <f>IF($C1465="","",U1465-V1465)</f>
        <v/>
      </c>
      <c r="X1465" s="7">
        <f>IF($C1465="","",W1465-N1465)</f>
        <v/>
      </c>
      <c r="AA1465">
        <f>IF($C1465="","",IF($AN1465=1,0,IF($AM1465=1,Settings!$C$6,Settings!$C$7))*100)</f>
        <v/>
      </c>
      <c r="AE1465" s="7" t="n"/>
      <c r="AH1465" s="11" t="n"/>
      <c r="AJ1465">
        <f>IF($C1465="","",$C1465&amp;"|"&amp;$D1465&amp;"")</f>
        <v/>
      </c>
      <c r="AK1465">
        <f>IF($C1465="","",IF(COUNTIF($AJ$2:$AJ1465,$AJ1465)=1,1,0))</f>
        <v/>
      </c>
      <c r="AL1465">
        <f>IF($AK1465=1,SUMPRODUCT(--($AO$2:$AO$1501&lt;$AO1465))+1,"")</f>
        <v/>
      </c>
      <c r="AM1465">
        <f>IF($C1465="","",IF(OR($Q1465=TRUE(),$Q1465="TRUE"),1,0))</f>
        <v/>
      </c>
      <c r="AN1465">
        <f>IF($C1465="","",IF($Z1465="Yes",1,0))</f>
        <v/>
      </c>
      <c r="AO1465">
        <f>IF($AK1465=1,IFERROR(IF(VALUE($C1465)&lt;100000000,VALUE($C1465),1000000000),IFERROR(IF(VALUE(MID($C1465,2,20))&lt;100000000,VALUE(MID($C1465,2,20)),1000000000),1000000000))+ROW()/100000,"")</f>
        <v/>
      </c>
    </row>
    <row r="1466">
      <c r="F1466" s="11" t="n"/>
      <c r="N1466" s="7">
        <f>IF($C1466="","",M1466*U1466/100)</f>
        <v/>
      </c>
      <c r="T1466" s="7" t="n"/>
      <c r="U1466" s="7" t="n"/>
      <c r="V1466" s="7">
        <f>IF($C1466="","",U1466*AA1466/100)</f>
        <v/>
      </c>
      <c r="W1466" s="7">
        <f>IF($C1466="","",U1466-V1466)</f>
        <v/>
      </c>
      <c r="X1466" s="7">
        <f>IF($C1466="","",W1466-N1466)</f>
        <v/>
      </c>
      <c r="AA1466">
        <f>IF($C1466="","",IF($AN1466=1,0,IF($AM1466=1,Settings!$C$6,Settings!$C$7))*100)</f>
        <v/>
      </c>
      <c r="AE1466" s="7" t="n"/>
      <c r="AH1466" s="11" t="n"/>
      <c r="AJ1466">
        <f>IF($C1466="","",$C1466&amp;"|"&amp;$D1466&amp;"")</f>
        <v/>
      </c>
      <c r="AK1466">
        <f>IF($C1466="","",IF(COUNTIF($AJ$2:$AJ1466,$AJ1466)=1,1,0))</f>
        <v/>
      </c>
      <c r="AL1466">
        <f>IF($AK1466=1,SUMPRODUCT(--($AO$2:$AO$1501&lt;$AO1466))+1,"")</f>
        <v/>
      </c>
      <c r="AM1466">
        <f>IF($C1466="","",IF(OR($Q1466=TRUE(),$Q1466="TRUE"),1,0))</f>
        <v/>
      </c>
      <c r="AN1466">
        <f>IF($C1466="","",IF($Z1466="Yes",1,0))</f>
        <v/>
      </c>
      <c r="AO1466">
        <f>IF($AK1466=1,IFERROR(IF(VALUE($C1466)&lt;100000000,VALUE($C1466),1000000000),IFERROR(IF(VALUE(MID($C1466,2,20))&lt;100000000,VALUE(MID($C1466,2,20)),1000000000),1000000000))+ROW()/100000,"")</f>
        <v/>
      </c>
    </row>
    <row r="1467">
      <c r="F1467" s="11" t="n"/>
      <c r="N1467" s="7">
        <f>IF($C1467="","",M1467*U1467/100)</f>
        <v/>
      </c>
      <c r="T1467" s="7" t="n"/>
      <c r="U1467" s="7" t="n"/>
      <c r="V1467" s="7">
        <f>IF($C1467="","",U1467*AA1467/100)</f>
        <v/>
      </c>
      <c r="W1467" s="7">
        <f>IF($C1467="","",U1467-V1467)</f>
        <v/>
      </c>
      <c r="X1467" s="7">
        <f>IF($C1467="","",W1467-N1467)</f>
        <v/>
      </c>
      <c r="AA1467">
        <f>IF($C1467="","",IF($AN1467=1,0,IF($AM1467=1,Settings!$C$6,Settings!$C$7))*100)</f>
        <v/>
      </c>
      <c r="AE1467" s="7" t="n"/>
      <c r="AH1467" s="11" t="n"/>
      <c r="AJ1467">
        <f>IF($C1467="","",$C1467&amp;"|"&amp;$D1467&amp;"")</f>
        <v/>
      </c>
      <c r="AK1467">
        <f>IF($C1467="","",IF(COUNTIF($AJ$2:$AJ1467,$AJ1467)=1,1,0))</f>
        <v/>
      </c>
      <c r="AL1467">
        <f>IF($AK1467=1,SUMPRODUCT(--($AO$2:$AO$1501&lt;$AO1467))+1,"")</f>
        <v/>
      </c>
      <c r="AM1467">
        <f>IF($C1467="","",IF(OR($Q1467=TRUE(),$Q1467="TRUE"),1,0))</f>
        <v/>
      </c>
      <c r="AN1467">
        <f>IF($C1467="","",IF($Z1467="Yes",1,0))</f>
        <v/>
      </c>
      <c r="AO1467">
        <f>IF($AK1467=1,IFERROR(IF(VALUE($C1467)&lt;100000000,VALUE($C1467),1000000000),IFERROR(IF(VALUE(MID($C1467,2,20))&lt;100000000,VALUE(MID($C1467,2,20)),1000000000),1000000000))+ROW()/100000,"")</f>
        <v/>
      </c>
    </row>
    <row r="1468">
      <c r="F1468" s="11" t="n"/>
      <c r="N1468" s="7">
        <f>IF($C1468="","",M1468*U1468/100)</f>
        <v/>
      </c>
      <c r="T1468" s="7" t="n"/>
      <c r="U1468" s="7" t="n"/>
      <c r="V1468" s="7">
        <f>IF($C1468="","",U1468*AA1468/100)</f>
        <v/>
      </c>
      <c r="W1468" s="7">
        <f>IF($C1468="","",U1468-V1468)</f>
        <v/>
      </c>
      <c r="X1468" s="7">
        <f>IF($C1468="","",W1468-N1468)</f>
        <v/>
      </c>
      <c r="AA1468">
        <f>IF($C1468="","",IF($AN1468=1,0,IF($AM1468=1,Settings!$C$6,Settings!$C$7))*100)</f>
        <v/>
      </c>
      <c r="AE1468" s="7" t="n"/>
      <c r="AH1468" s="11" t="n"/>
      <c r="AJ1468">
        <f>IF($C1468="","",$C1468&amp;"|"&amp;$D1468&amp;"")</f>
        <v/>
      </c>
      <c r="AK1468">
        <f>IF($C1468="","",IF(COUNTIF($AJ$2:$AJ1468,$AJ1468)=1,1,0))</f>
        <v/>
      </c>
      <c r="AL1468">
        <f>IF($AK1468=1,SUMPRODUCT(--($AO$2:$AO$1501&lt;$AO1468))+1,"")</f>
        <v/>
      </c>
      <c r="AM1468">
        <f>IF($C1468="","",IF(OR($Q1468=TRUE(),$Q1468="TRUE"),1,0))</f>
        <v/>
      </c>
      <c r="AN1468">
        <f>IF($C1468="","",IF($Z1468="Yes",1,0))</f>
        <v/>
      </c>
      <c r="AO1468">
        <f>IF($AK1468=1,IFERROR(IF(VALUE($C1468)&lt;100000000,VALUE($C1468),1000000000),IFERROR(IF(VALUE(MID($C1468,2,20))&lt;100000000,VALUE(MID($C1468,2,20)),1000000000),1000000000))+ROW()/100000,"")</f>
        <v/>
      </c>
    </row>
    <row r="1469">
      <c r="F1469" s="11" t="n"/>
      <c r="N1469" s="7">
        <f>IF($C1469="","",M1469*U1469/100)</f>
        <v/>
      </c>
      <c r="T1469" s="7" t="n"/>
      <c r="U1469" s="7" t="n"/>
      <c r="V1469" s="7">
        <f>IF($C1469="","",U1469*AA1469/100)</f>
        <v/>
      </c>
      <c r="W1469" s="7">
        <f>IF($C1469="","",U1469-V1469)</f>
        <v/>
      </c>
      <c r="X1469" s="7">
        <f>IF($C1469="","",W1469-N1469)</f>
        <v/>
      </c>
      <c r="AA1469">
        <f>IF($C1469="","",IF($AN1469=1,0,IF($AM1469=1,Settings!$C$6,Settings!$C$7))*100)</f>
        <v/>
      </c>
      <c r="AE1469" s="7" t="n"/>
      <c r="AH1469" s="11" t="n"/>
      <c r="AJ1469">
        <f>IF($C1469="","",$C1469&amp;"|"&amp;$D1469&amp;"")</f>
        <v/>
      </c>
      <c r="AK1469">
        <f>IF($C1469="","",IF(COUNTIF($AJ$2:$AJ1469,$AJ1469)=1,1,0))</f>
        <v/>
      </c>
      <c r="AL1469">
        <f>IF($AK1469=1,SUMPRODUCT(--($AO$2:$AO$1501&lt;$AO1469))+1,"")</f>
        <v/>
      </c>
      <c r="AM1469">
        <f>IF($C1469="","",IF(OR($Q1469=TRUE(),$Q1469="TRUE"),1,0))</f>
        <v/>
      </c>
      <c r="AN1469">
        <f>IF($C1469="","",IF($Z1469="Yes",1,0))</f>
        <v/>
      </c>
      <c r="AO1469">
        <f>IF($AK1469=1,IFERROR(IF(VALUE($C1469)&lt;100000000,VALUE($C1469),1000000000),IFERROR(IF(VALUE(MID($C1469,2,20))&lt;100000000,VALUE(MID($C1469,2,20)),1000000000),1000000000))+ROW()/100000,"")</f>
        <v/>
      </c>
    </row>
    <row r="1470">
      <c r="F1470" s="11" t="n"/>
      <c r="N1470" s="7">
        <f>IF($C1470="","",M1470*U1470/100)</f>
        <v/>
      </c>
      <c r="T1470" s="7" t="n"/>
      <c r="U1470" s="7" t="n"/>
      <c r="V1470" s="7">
        <f>IF($C1470="","",U1470*AA1470/100)</f>
        <v/>
      </c>
      <c r="W1470" s="7">
        <f>IF($C1470="","",U1470-V1470)</f>
        <v/>
      </c>
      <c r="X1470" s="7">
        <f>IF($C1470="","",W1470-N1470)</f>
        <v/>
      </c>
      <c r="AA1470">
        <f>IF($C1470="","",IF($AN1470=1,0,IF($AM1470=1,Settings!$C$6,Settings!$C$7))*100)</f>
        <v/>
      </c>
      <c r="AE1470" s="7" t="n"/>
      <c r="AH1470" s="11" t="n"/>
      <c r="AJ1470">
        <f>IF($C1470="","",$C1470&amp;"|"&amp;$D1470&amp;"")</f>
        <v/>
      </c>
      <c r="AK1470">
        <f>IF($C1470="","",IF(COUNTIF($AJ$2:$AJ1470,$AJ1470)=1,1,0))</f>
        <v/>
      </c>
      <c r="AL1470">
        <f>IF($AK1470=1,SUMPRODUCT(--($AO$2:$AO$1501&lt;$AO1470))+1,"")</f>
        <v/>
      </c>
      <c r="AM1470">
        <f>IF($C1470="","",IF(OR($Q1470=TRUE(),$Q1470="TRUE"),1,0))</f>
        <v/>
      </c>
      <c r="AN1470">
        <f>IF($C1470="","",IF($Z1470="Yes",1,0))</f>
        <v/>
      </c>
      <c r="AO1470">
        <f>IF($AK1470=1,IFERROR(IF(VALUE($C1470)&lt;100000000,VALUE($C1470),1000000000),IFERROR(IF(VALUE(MID($C1470,2,20))&lt;100000000,VALUE(MID($C1470,2,20)),1000000000),1000000000))+ROW()/100000,"")</f>
        <v/>
      </c>
    </row>
    <row r="1471">
      <c r="F1471" s="11" t="n"/>
      <c r="N1471" s="7">
        <f>IF($C1471="","",M1471*U1471/100)</f>
        <v/>
      </c>
      <c r="T1471" s="7" t="n"/>
      <c r="U1471" s="7" t="n"/>
      <c r="V1471" s="7">
        <f>IF($C1471="","",U1471*AA1471/100)</f>
        <v/>
      </c>
      <c r="W1471" s="7">
        <f>IF($C1471="","",U1471-V1471)</f>
        <v/>
      </c>
      <c r="X1471" s="7">
        <f>IF($C1471="","",W1471-N1471)</f>
        <v/>
      </c>
      <c r="AA1471">
        <f>IF($C1471="","",IF($AN1471=1,0,IF($AM1471=1,Settings!$C$6,Settings!$C$7))*100)</f>
        <v/>
      </c>
      <c r="AE1471" s="7" t="n"/>
      <c r="AH1471" s="11" t="n"/>
      <c r="AJ1471">
        <f>IF($C1471="","",$C1471&amp;"|"&amp;$D1471&amp;"")</f>
        <v/>
      </c>
      <c r="AK1471">
        <f>IF($C1471="","",IF(COUNTIF($AJ$2:$AJ1471,$AJ1471)=1,1,0))</f>
        <v/>
      </c>
      <c r="AL1471">
        <f>IF($AK1471=1,SUMPRODUCT(--($AO$2:$AO$1501&lt;$AO1471))+1,"")</f>
        <v/>
      </c>
      <c r="AM1471">
        <f>IF($C1471="","",IF(OR($Q1471=TRUE(),$Q1471="TRUE"),1,0))</f>
        <v/>
      </c>
      <c r="AN1471">
        <f>IF($C1471="","",IF($Z1471="Yes",1,0))</f>
        <v/>
      </c>
      <c r="AO1471">
        <f>IF($AK1471=1,IFERROR(IF(VALUE($C1471)&lt;100000000,VALUE($C1471),1000000000),IFERROR(IF(VALUE(MID($C1471,2,20))&lt;100000000,VALUE(MID($C1471,2,20)),1000000000),1000000000))+ROW()/100000,"")</f>
        <v/>
      </c>
    </row>
    <row r="1472">
      <c r="F1472" s="11" t="n"/>
      <c r="N1472" s="7">
        <f>IF($C1472="","",M1472*U1472/100)</f>
        <v/>
      </c>
      <c r="T1472" s="7" t="n"/>
      <c r="U1472" s="7" t="n"/>
      <c r="V1472" s="7">
        <f>IF($C1472="","",U1472*AA1472/100)</f>
        <v/>
      </c>
      <c r="W1472" s="7">
        <f>IF($C1472="","",U1472-V1472)</f>
        <v/>
      </c>
      <c r="X1472" s="7">
        <f>IF($C1472="","",W1472-N1472)</f>
        <v/>
      </c>
      <c r="AA1472">
        <f>IF($C1472="","",IF($AN1472=1,0,IF($AM1472=1,Settings!$C$6,Settings!$C$7))*100)</f>
        <v/>
      </c>
      <c r="AE1472" s="7" t="n"/>
      <c r="AH1472" s="11" t="n"/>
      <c r="AJ1472">
        <f>IF($C1472="","",$C1472&amp;"|"&amp;$D1472&amp;"")</f>
        <v/>
      </c>
      <c r="AK1472">
        <f>IF($C1472="","",IF(COUNTIF($AJ$2:$AJ1472,$AJ1472)=1,1,0))</f>
        <v/>
      </c>
      <c r="AL1472">
        <f>IF($AK1472=1,SUMPRODUCT(--($AO$2:$AO$1501&lt;$AO1472))+1,"")</f>
        <v/>
      </c>
      <c r="AM1472">
        <f>IF($C1472="","",IF(OR($Q1472=TRUE(),$Q1472="TRUE"),1,0))</f>
        <v/>
      </c>
      <c r="AN1472">
        <f>IF($C1472="","",IF($Z1472="Yes",1,0))</f>
        <v/>
      </c>
      <c r="AO1472">
        <f>IF($AK1472=1,IFERROR(IF(VALUE($C1472)&lt;100000000,VALUE($C1472),1000000000),IFERROR(IF(VALUE(MID($C1472,2,20))&lt;100000000,VALUE(MID($C1472,2,20)),1000000000),1000000000))+ROW()/100000,"")</f>
        <v/>
      </c>
    </row>
    <row r="1473">
      <c r="F1473" s="11" t="n"/>
      <c r="N1473" s="7">
        <f>IF($C1473="","",M1473*U1473/100)</f>
        <v/>
      </c>
      <c r="T1473" s="7" t="n"/>
      <c r="U1473" s="7" t="n"/>
      <c r="V1473" s="7">
        <f>IF($C1473="","",U1473*AA1473/100)</f>
        <v/>
      </c>
      <c r="W1473" s="7">
        <f>IF($C1473="","",U1473-V1473)</f>
        <v/>
      </c>
      <c r="X1473" s="7">
        <f>IF($C1473="","",W1473-N1473)</f>
        <v/>
      </c>
      <c r="AA1473">
        <f>IF($C1473="","",IF($AN1473=1,0,IF($AM1473=1,Settings!$C$6,Settings!$C$7))*100)</f>
        <v/>
      </c>
      <c r="AE1473" s="7" t="n"/>
      <c r="AH1473" s="11" t="n"/>
      <c r="AJ1473">
        <f>IF($C1473="","",$C1473&amp;"|"&amp;$D1473&amp;"")</f>
        <v/>
      </c>
      <c r="AK1473">
        <f>IF($C1473="","",IF(COUNTIF($AJ$2:$AJ1473,$AJ1473)=1,1,0))</f>
        <v/>
      </c>
      <c r="AL1473">
        <f>IF($AK1473=1,SUMPRODUCT(--($AO$2:$AO$1501&lt;$AO1473))+1,"")</f>
        <v/>
      </c>
      <c r="AM1473">
        <f>IF($C1473="","",IF(OR($Q1473=TRUE(),$Q1473="TRUE"),1,0))</f>
        <v/>
      </c>
      <c r="AN1473">
        <f>IF($C1473="","",IF($Z1473="Yes",1,0))</f>
        <v/>
      </c>
      <c r="AO1473">
        <f>IF($AK1473=1,IFERROR(IF(VALUE($C1473)&lt;100000000,VALUE($C1473),1000000000),IFERROR(IF(VALUE(MID($C1473,2,20))&lt;100000000,VALUE(MID($C1473,2,20)),1000000000),1000000000))+ROW()/100000,"")</f>
        <v/>
      </c>
    </row>
    <row r="1474">
      <c r="F1474" s="11" t="n"/>
      <c r="N1474" s="7">
        <f>IF($C1474="","",M1474*U1474/100)</f>
        <v/>
      </c>
      <c r="T1474" s="7" t="n"/>
      <c r="U1474" s="7" t="n"/>
      <c r="V1474" s="7">
        <f>IF($C1474="","",U1474*AA1474/100)</f>
        <v/>
      </c>
      <c r="W1474" s="7">
        <f>IF($C1474="","",U1474-V1474)</f>
        <v/>
      </c>
      <c r="X1474" s="7">
        <f>IF($C1474="","",W1474-N1474)</f>
        <v/>
      </c>
      <c r="AA1474">
        <f>IF($C1474="","",IF($AN1474=1,0,IF($AM1474=1,Settings!$C$6,Settings!$C$7))*100)</f>
        <v/>
      </c>
      <c r="AE1474" s="7" t="n"/>
      <c r="AH1474" s="11" t="n"/>
      <c r="AJ1474">
        <f>IF($C1474="","",$C1474&amp;"|"&amp;$D1474&amp;"")</f>
        <v/>
      </c>
      <c r="AK1474">
        <f>IF($C1474="","",IF(COUNTIF($AJ$2:$AJ1474,$AJ1474)=1,1,0))</f>
        <v/>
      </c>
      <c r="AL1474">
        <f>IF($AK1474=1,SUMPRODUCT(--($AO$2:$AO$1501&lt;$AO1474))+1,"")</f>
        <v/>
      </c>
      <c r="AM1474">
        <f>IF($C1474="","",IF(OR($Q1474=TRUE(),$Q1474="TRUE"),1,0))</f>
        <v/>
      </c>
      <c r="AN1474">
        <f>IF($C1474="","",IF($Z1474="Yes",1,0))</f>
        <v/>
      </c>
      <c r="AO1474">
        <f>IF($AK1474=1,IFERROR(IF(VALUE($C1474)&lt;100000000,VALUE($C1474),1000000000),IFERROR(IF(VALUE(MID($C1474,2,20))&lt;100000000,VALUE(MID($C1474,2,20)),1000000000),1000000000))+ROW()/100000,"")</f>
        <v/>
      </c>
    </row>
    <row r="1475">
      <c r="F1475" s="11" t="n"/>
      <c r="N1475" s="7">
        <f>IF($C1475="","",M1475*U1475/100)</f>
        <v/>
      </c>
      <c r="T1475" s="7" t="n"/>
      <c r="U1475" s="7" t="n"/>
      <c r="V1475" s="7">
        <f>IF($C1475="","",U1475*AA1475/100)</f>
        <v/>
      </c>
      <c r="W1475" s="7">
        <f>IF($C1475="","",U1475-V1475)</f>
        <v/>
      </c>
      <c r="X1475" s="7">
        <f>IF($C1475="","",W1475-N1475)</f>
        <v/>
      </c>
      <c r="AA1475">
        <f>IF($C1475="","",IF($AN1475=1,0,IF($AM1475=1,Settings!$C$6,Settings!$C$7))*100)</f>
        <v/>
      </c>
      <c r="AE1475" s="7" t="n"/>
      <c r="AH1475" s="11" t="n"/>
      <c r="AJ1475">
        <f>IF($C1475="","",$C1475&amp;"|"&amp;$D1475&amp;"")</f>
        <v/>
      </c>
      <c r="AK1475">
        <f>IF($C1475="","",IF(COUNTIF($AJ$2:$AJ1475,$AJ1475)=1,1,0))</f>
        <v/>
      </c>
      <c r="AL1475">
        <f>IF($AK1475=1,SUMPRODUCT(--($AO$2:$AO$1501&lt;$AO1475))+1,"")</f>
        <v/>
      </c>
      <c r="AM1475">
        <f>IF($C1475="","",IF(OR($Q1475=TRUE(),$Q1475="TRUE"),1,0))</f>
        <v/>
      </c>
      <c r="AN1475">
        <f>IF($C1475="","",IF($Z1475="Yes",1,0))</f>
        <v/>
      </c>
      <c r="AO1475">
        <f>IF($AK1475=1,IFERROR(IF(VALUE($C1475)&lt;100000000,VALUE($C1475),1000000000),IFERROR(IF(VALUE(MID($C1475,2,20))&lt;100000000,VALUE(MID($C1475,2,20)),1000000000),1000000000))+ROW()/100000,"")</f>
        <v/>
      </c>
    </row>
    <row r="1476">
      <c r="F1476" s="11" t="n"/>
      <c r="N1476" s="7">
        <f>IF($C1476="","",M1476*U1476/100)</f>
        <v/>
      </c>
      <c r="T1476" s="7" t="n"/>
      <c r="U1476" s="7" t="n"/>
      <c r="V1476" s="7">
        <f>IF($C1476="","",U1476*AA1476/100)</f>
        <v/>
      </c>
      <c r="W1476" s="7">
        <f>IF($C1476="","",U1476-V1476)</f>
        <v/>
      </c>
      <c r="X1476" s="7">
        <f>IF($C1476="","",W1476-N1476)</f>
        <v/>
      </c>
      <c r="AA1476">
        <f>IF($C1476="","",IF($AN1476=1,0,IF($AM1476=1,Settings!$C$6,Settings!$C$7))*100)</f>
        <v/>
      </c>
      <c r="AE1476" s="7" t="n"/>
      <c r="AH1476" s="11" t="n"/>
      <c r="AJ1476">
        <f>IF($C1476="","",$C1476&amp;"|"&amp;$D1476&amp;"")</f>
        <v/>
      </c>
      <c r="AK1476">
        <f>IF($C1476="","",IF(COUNTIF($AJ$2:$AJ1476,$AJ1476)=1,1,0))</f>
        <v/>
      </c>
      <c r="AL1476">
        <f>IF($AK1476=1,SUMPRODUCT(--($AO$2:$AO$1501&lt;$AO1476))+1,"")</f>
        <v/>
      </c>
      <c r="AM1476">
        <f>IF($C1476="","",IF(OR($Q1476=TRUE(),$Q1476="TRUE"),1,0))</f>
        <v/>
      </c>
      <c r="AN1476">
        <f>IF($C1476="","",IF($Z1476="Yes",1,0))</f>
        <v/>
      </c>
      <c r="AO1476">
        <f>IF($AK1476=1,IFERROR(IF(VALUE($C1476)&lt;100000000,VALUE($C1476),1000000000),IFERROR(IF(VALUE(MID($C1476,2,20))&lt;100000000,VALUE(MID($C1476,2,20)),1000000000),1000000000))+ROW()/100000,"")</f>
        <v/>
      </c>
    </row>
    <row r="1477">
      <c r="F1477" s="11" t="n"/>
      <c r="N1477" s="7">
        <f>IF($C1477="","",M1477*U1477/100)</f>
        <v/>
      </c>
      <c r="T1477" s="7" t="n"/>
      <c r="U1477" s="7" t="n"/>
      <c r="V1477" s="7">
        <f>IF($C1477="","",U1477*AA1477/100)</f>
        <v/>
      </c>
      <c r="W1477" s="7">
        <f>IF($C1477="","",U1477-V1477)</f>
        <v/>
      </c>
      <c r="X1477" s="7">
        <f>IF($C1477="","",W1477-N1477)</f>
        <v/>
      </c>
      <c r="AA1477">
        <f>IF($C1477="","",IF($AN1477=1,0,IF($AM1477=1,Settings!$C$6,Settings!$C$7))*100)</f>
        <v/>
      </c>
      <c r="AE1477" s="7" t="n"/>
      <c r="AH1477" s="11" t="n"/>
      <c r="AJ1477">
        <f>IF($C1477="","",$C1477&amp;"|"&amp;$D1477&amp;"")</f>
        <v/>
      </c>
      <c r="AK1477">
        <f>IF($C1477="","",IF(COUNTIF($AJ$2:$AJ1477,$AJ1477)=1,1,0))</f>
        <v/>
      </c>
      <c r="AL1477">
        <f>IF($AK1477=1,SUMPRODUCT(--($AO$2:$AO$1501&lt;$AO1477))+1,"")</f>
        <v/>
      </c>
      <c r="AM1477">
        <f>IF($C1477="","",IF(OR($Q1477=TRUE(),$Q1477="TRUE"),1,0))</f>
        <v/>
      </c>
      <c r="AN1477">
        <f>IF($C1477="","",IF($Z1477="Yes",1,0))</f>
        <v/>
      </c>
      <c r="AO1477">
        <f>IF($AK1477=1,IFERROR(IF(VALUE($C1477)&lt;100000000,VALUE($C1477),1000000000),IFERROR(IF(VALUE(MID($C1477,2,20))&lt;100000000,VALUE(MID($C1477,2,20)),1000000000),1000000000))+ROW()/100000,"")</f>
        <v/>
      </c>
    </row>
    <row r="1478">
      <c r="F1478" s="11" t="n"/>
      <c r="N1478" s="7">
        <f>IF($C1478="","",M1478*U1478/100)</f>
        <v/>
      </c>
      <c r="T1478" s="7" t="n"/>
      <c r="U1478" s="7" t="n"/>
      <c r="V1478" s="7">
        <f>IF($C1478="","",U1478*AA1478/100)</f>
        <v/>
      </c>
      <c r="W1478" s="7">
        <f>IF($C1478="","",U1478-V1478)</f>
        <v/>
      </c>
      <c r="X1478" s="7">
        <f>IF($C1478="","",W1478-N1478)</f>
        <v/>
      </c>
      <c r="AA1478">
        <f>IF($C1478="","",IF($AN1478=1,0,IF($AM1478=1,Settings!$C$6,Settings!$C$7))*100)</f>
        <v/>
      </c>
      <c r="AE1478" s="7" t="n"/>
      <c r="AH1478" s="11" t="n"/>
      <c r="AJ1478">
        <f>IF($C1478="","",$C1478&amp;"|"&amp;$D1478&amp;"")</f>
        <v/>
      </c>
      <c r="AK1478">
        <f>IF($C1478="","",IF(COUNTIF($AJ$2:$AJ1478,$AJ1478)=1,1,0))</f>
        <v/>
      </c>
      <c r="AL1478">
        <f>IF($AK1478=1,SUMPRODUCT(--($AO$2:$AO$1501&lt;$AO1478))+1,"")</f>
        <v/>
      </c>
      <c r="AM1478">
        <f>IF($C1478="","",IF(OR($Q1478=TRUE(),$Q1478="TRUE"),1,0))</f>
        <v/>
      </c>
      <c r="AN1478">
        <f>IF($C1478="","",IF($Z1478="Yes",1,0))</f>
        <v/>
      </c>
      <c r="AO1478">
        <f>IF($AK1478=1,IFERROR(IF(VALUE($C1478)&lt;100000000,VALUE($C1478),1000000000),IFERROR(IF(VALUE(MID($C1478,2,20))&lt;100000000,VALUE(MID($C1478,2,20)),1000000000),1000000000))+ROW()/100000,"")</f>
        <v/>
      </c>
    </row>
    <row r="1479">
      <c r="F1479" s="11" t="n"/>
      <c r="N1479" s="7">
        <f>IF($C1479="","",M1479*U1479/100)</f>
        <v/>
      </c>
      <c r="T1479" s="7" t="n"/>
      <c r="U1479" s="7" t="n"/>
      <c r="V1479" s="7">
        <f>IF($C1479="","",U1479*AA1479/100)</f>
        <v/>
      </c>
      <c r="W1479" s="7">
        <f>IF($C1479="","",U1479-V1479)</f>
        <v/>
      </c>
      <c r="X1479" s="7">
        <f>IF($C1479="","",W1479-N1479)</f>
        <v/>
      </c>
      <c r="AA1479">
        <f>IF($C1479="","",IF($AN1479=1,0,IF($AM1479=1,Settings!$C$6,Settings!$C$7))*100)</f>
        <v/>
      </c>
      <c r="AE1479" s="7" t="n"/>
      <c r="AH1479" s="11" t="n"/>
      <c r="AJ1479">
        <f>IF($C1479="","",$C1479&amp;"|"&amp;$D1479&amp;"")</f>
        <v/>
      </c>
      <c r="AK1479">
        <f>IF($C1479="","",IF(COUNTIF($AJ$2:$AJ1479,$AJ1479)=1,1,0))</f>
        <v/>
      </c>
      <c r="AL1479">
        <f>IF($AK1479=1,SUMPRODUCT(--($AO$2:$AO$1501&lt;$AO1479))+1,"")</f>
        <v/>
      </c>
      <c r="AM1479">
        <f>IF($C1479="","",IF(OR($Q1479=TRUE(),$Q1479="TRUE"),1,0))</f>
        <v/>
      </c>
      <c r="AN1479">
        <f>IF($C1479="","",IF($Z1479="Yes",1,0))</f>
        <v/>
      </c>
      <c r="AO1479">
        <f>IF($AK1479=1,IFERROR(IF(VALUE($C1479)&lt;100000000,VALUE($C1479),1000000000),IFERROR(IF(VALUE(MID($C1479,2,20))&lt;100000000,VALUE(MID($C1479,2,20)),1000000000),1000000000))+ROW()/100000,"")</f>
        <v/>
      </c>
    </row>
    <row r="1480">
      <c r="F1480" s="11" t="n"/>
      <c r="N1480" s="7">
        <f>IF($C1480="","",M1480*U1480/100)</f>
        <v/>
      </c>
      <c r="T1480" s="7" t="n"/>
      <c r="U1480" s="7" t="n"/>
      <c r="V1480" s="7">
        <f>IF($C1480="","",U1480*AA1480/100)</f>
        <v/>
      </c>
      <c r="W1480" s="7">
        <f>IF($C1480="","",U1480-V1480)</f>
        <v/>
      </c>
      <c r="X1480" s="7">
        <f>IF($C1480="","",W1480-N1480)</f>
        <v/>
      </c>
      <c r="AA1480">
        <f>IF($C1480="","",IF($AN1480=1,0,IF($AM1480=1,Settings!$C$6,Settings!$C$7))*100)</f>
        <v/>
      </c>
      <c r="AE1480" s="7" t="n"/>
      <c r="AH1480" s="11" t="n"/>
      <c r="AJ1480">
        <f>IF($C1480="","",$C1480&amp;"|"&amp;$D1480&amp;"")</f>
        <v/>
      </c>
      <c r="AK1480">
        <f>IF($C1480="","",IF(COUNTIF($AJ$2:$AJ1480,$AJ1480)=1,1,0))</f>
        <v/>
      </c>
      <c r="AL1480">
        <f>IF($AK1480=1,SUMPRODUCT(--($AO$2:$AO$1501&lt;$AO1480))+1,"")</f>
        <v/>
      </c>
      <c r="AM1480">
        <f>IF($C1480="","",IF(OR($Q1480=TRUE(),$Q1480="TRUE"),1,0))</f>
        <v/>
      </c>
      <c r="AN1480">
        <f>IF($C1480="","",IF($Z1480="Yes",1,0))</f>
        <v/>
      </c>
      <c r="AO1480">
        <f>IF($AK1480=1,IFERROR(IF(VALUE($C1480)&lt;100000000,VALUE($C1480),1000000000),IFERROR(IF(VALUE(MID($C1480,2,20))&lt;100000000,VALUE(MID($C1480,2,20)),1000000000),1000000000))+ROW()/100000,"")</f>
        <v/>
      </c>
    </row>
    <row r="1481">
      <c r="F1481" s="11" t="n"/>
      <c r="N1481" s="7">
        <f>IF($C1481="","",M1481*U1481/100)</f>
        <v/>
      </c>
      <c r="T1481" s="7" t="n"/>
      <c r="U1481" s="7" t="n"/>
      <c r="V1481" s="7">
        <f>IF($C1481="","",U1481*AA1481/100)</f>
        <v/>
      </c>
      <c r="W1481" s="7">
        <f>IF($C1481="","",U1481-V1481)</f>
        <v/>
      </c>
      <c r="X1481" s="7">
        <f>IF($C1481="","",W1481-N1481)</f>
        <v/>
      </c>
      <c r="AA1481">
        <f>IF($C1481="","",IF($AN1481=1,0,IF($AM1481=1,Settings!$C$6,Settings!$C$7))*100)</f>
        <v/>
      </c>
      <c r="AE1481" s="7" t="n"/>
      <c r="AH1481" s="11" t="n"/>
      <c r="AJ1481">
        <f>IF($C1481="","",$C1481&amp;"|"&amp;$D1481&amp;"")</f>
        <v/>
      </c>
      <c r="AK1481">
        <f>IF($C1481="","",IF(COUNTIF($AJ$2:$AJ1481,$AJ1481)=1,1,0))</f>
        <v/>
      </c>
      <c r="AL1481">
        <f>IF($AK1481=1,SUMPRODUCT(--($AO$2:$AO$1501&lt;$AO1481))+1,"")</f>
        <v/>
      </c>
      <c r="AM1481">
        <f>IF($C1481="","",IF(OR($Q1481=TRUE(),$Q1481="TRUE"),1,0))</f>
        <v/>
      </c>
      <c r="AN1481">
        <f>IF($C1481="","",IF($Z1481="Yes",1,0))</f>
        <v/>
      </c>
      <c r="AO1481">
        <f>IF($AK1481=1,IFERROR(IF(VALUE($C1481)&lt;100000000,VALUE($C1481),1000000000),IFERROR(IF(VALUE(MID($C1481,2,20))&lt;100000000,VALUE(MID($C1481,2,20)),1000000000),1000000000))+ROW()/100000,"")</f>
        <v/>
      </c>
    </row>
    <row r="1482">
      <c r="F1482" s="11" t="n"/>
      <c r="N1482" s="7">
        <f>IF($C1482="","",M1482*U1482/100)</f>
        <v/>
      </c>
      <c r="T1482" s="7" t="n"/>
      <c r="U1482" s="7" t="n"/>
      <c r="V1482" s="7">
        <f>IF($C1482="","",U1482*AA1482/100)</f>
        <v/>
      </c>
      <c r="W1482" s="7">
        <f>IF($C1482="","",U1482-V1482)</f>
        <v/>
      </c>
      <c r="X1482" s="7">
        <f>IF($C1482="","",W1482-N1482)</f>
        <v/>
      </c>
      <c r="AA1482">
        <f>IF($C1482="","",IF($AN1482=1,0,IF($AM1482=1,Settings!$C$6,Settings!$C$7))*100)</f>
        <v/>
      </c>
      <c r="AE1482" s="7" t="n"/>
      <c r="AH1482" s="11" t="n"/>
      <c r="AJ1482">
        <f>IF($C1482="","",$C1482&amp;"|"&amp;$D1482&amp;"")</f>
        <v/>
      </c>
      <c r="AK1482">
        <f>IF($C1482="","",IF(COUNTIF($AJ$2:$AJ1482,$AJ1482)=1,1,0))</f>
        <v/>
      </c>
      <c r="AL1482">
        <f>IF($AK1482=1,SUMPRODUCT(--($AO$2:$AO$1501&lt;$AO1482))+1,"")</f>
        <v/>
      </c>
      <c r="AM1482">
        <f>IF($C1482="","",IF(OR($Q1482=TRUE(),$Q1482="TRUE"),1,0))</f>
        <v/>
      </c>
      <c r="AN1482">
        <f>IF($C1482="","",IF($Z1482="Yes",1,0))</f>
        <v/>
      </c>
      <c r="AO1482">
        <f>IF($AK1482=1,IFERROR(IF(VALUE($C1482)&lt;100000000,VALUE($C1482),1000000000),IFERROR(IF(VALUE(MID($C1482,2,20))&lt;100000000,VALUE(MID($C1482,2,20)),1000000000),1000000000))+ROW()/100000,"")</f>
        <v/>
      </c>
    </row>
    <row r="1483">
      <c r="F1483" s="11" t="n"/>
      <c r="N1483" s="7">
        <f>IF($C1483="","",M1483*U1483/100)</f>
        <v/>
      </c>
      <c r="T1483" s="7" t="n"/>
      <c r="U1483" s="7" t="n"/>
      <c r="V1483" s="7">
        <f>IF($C1483="","",U1483*AA1483/100)</f>
        <v/>
      </c>
      <c r="W1483" s="7">
        <f>IF($C1483="","",U1483-V1483)</f>
        <v/>
      </c>
      <c r="X1483" s="7">
        <f>IF($C1483="","",W1483-N1483)</f>
        <v/>
      </c>
      <c r="AA1483">
        <f>IF($C1483="","",IF($AN1483=1,0,IF($AM1483=1,Settings!$C$6,Settings!$C$7))*100)</f>
        <v/>
      </c>
      <c r="AE1483" s="7" t="n"/>
      <c r="AH1483" s="11" t="n"/>
      <c r="AJ1483">
        <f>IF($C1483="","",$C1483&amp;"|"&amp;$D1483&amp;"")</f>
        <v/>
      </c>
      <c r="AK1483">
        <f>IF($C1483="","",IF(COUNTIF($AJ$2:$AJ1483,$AJ1483)=1,1,0))</f>
        <v/>
      </c>
      <c r="AL1483">
        <f>IF($AK1483=1,SUMPRODUCT(--($AO$2:$AO$1501&lt;$AO1483))+1,"")</f>
        <v/>
      </c>
      <c r="AM1483">
        <f>IF($C1483="","",IF(OR($Q1483=TRUE(),$Q1483="TRUE"),1,0))</f>
        <v/>
      </c>
      <c r="AN1483">
        <f>IF($C1483="","",IF($Z1483="Yes",1,0))</f>
        <v/>
      </c>
      <c r="AO1483">
        <f>IF($AK1483=1,IFERROR(IF(VALUE($C1483)&lt;100000000,VALUE($C1483),1000000000),IFERROR(IF(VALUE(MID($C1483,2,20))&lt;100000000,VALUE(MID($C1483,2,20)),1000000000),1000000000))+ROW()/100000,"")</f>
        <v/>
      </c>
    </row>
    <row r="1484">
      <c r="F1484" s="11" t="n"/>
      <c r="N1484" s="7">
        <f>IF($C1484="","",M1484*U1484/100)</f>
        <v/>
      </c>
      <c r="T1484" s="7" t="n"/>
      <c r="U1484" s="7" t="n"/>
      <c r="V1484" s="7">
        <f>IF($C1484="","",U1484*AA1484/100)</f>
        <v/>
      </c>
      <c r="W1484" s="7">
        <f>IF($C1484="","",U1484-V1484)</f>
        <v/>
      </c>
      <c r="X1484" s="7">
        <f>IF($C1484="","",W1484-N1484)</f>
        <v/>
      </c>
      <c r="AA1484">
        <f>IF($C1484="","",IF($AN1484=1,0,IF($AM1484=1,Settings!$C$6,Settings!$C$7))*100)</f>
        <v/>
      </c>
      <c r="AE1484" s="7" t="n"/>
      <c r="AH1484" s="11" t="n"/>
      <c r="AJ1484">
        <f>IF($C1484="","",$C1484&amp;"|"&amp;$D1484&amp;"")</f>
        <v/>
      </c>
      <c r="AK1484">
        <f>IF($C1484="","",IF(COUNTIF($AJ$2:$AJ1484,$AJ1484)=1,1,0))</f>
        <v/>
      </c>
      <c r="AL1484">
        <f>IF($AK1484=1,SUMPRODUCT(--($AO$2:$AO$1501&lt;$AO1484))+1,"")</f>
        <v/>
      </c>
      <c r="AM1484">
        <f>IF($C1484="","",IF(OR($Q1484=TRUE(),$Q1484="TRUE"),1,0))</f>
        <v/>
      </c>
      <c r="AN1484">
        <f>IF($C1484="","",IF($Z1484="Yes",1,0))</f>
        <v/>
      </c>
      <c r="AO1484">
        <f>IF($AK1484=1,IFERROR(IF(VALUE($C1484)&lt;100000000,VALUE($C1484),1000000000),IFERROR(IF(VALUE(MID($C1484,2,20))&lt;100000000,VALUE(MID($C1484,2,20)),1000000000),1000000000))+ROW()/100000,"")</f>
        <v/>
      </c>
    </row>
    <row r="1485">
      <c r="F1485" s="11" t="n"/>
      <c r="N1485" s="7">
        <f>IF($C1485="","",M1485*U1485/100)</f>
        <v/>
      </c>
      <c r="T1485" s="7" t="n"/>
      <c r="U1485" s="7" t="n"/>
      <c r="V1485" s="7">
        <f>IF($C1485="","",U1485*AA1485/100)</f>
        <v/>
      </c>
      <c r="W1485" s="7">
        <f>IF($C1485="","",U1485-V1485)</f>
        <v/>
      </c>
      <c r="X1485" s="7">
        <f>IF($C1485="","",W1485-N1485)</f>
        <v/>
      </c>
      <c r="AA1485">
        <f>IF($C1485="","",IF($AN1485=1,0,IF($AM1485=1,Settings!$C$6,Settings!$C$7))*100)</f>
        <v/>
      </c>
      <c r="AE1485" s="7" t="n"/>
      <c r="AH1485" s="11" t="n"/>
      <c r="AJ1485">
        <f>IF($C1485="","",$C1485&amp;"|"&amp;$D1485&amp;"")</f>
        <v/>
      </c>
      <c r="AK1485">
        <f>IF($C1485="","",IF(COUNTIF($AJ$2:$AJ1485,$AJ1485)=1,1,0))</f>
        <v/>
      </c>
      <c r="AL1485">
        <f>IF($AK1485=1,SUMPRODUCT(--($AO$2:$AO$1501&lt;$AO1485))+1,"")</f>
        <v/>
      </c>
      <c r="AM1485">
        <f>IF($C1485="","",IF(OR($Q1485=TRUE(),$Q1485="TRUE"),1,0))</f>
        <v/>
      </c>
      <c r="AN1485">
        <f>IF($C1485="","",IF($Z1485="Yes",1,0))</f>
        <v/>
      </c>
      <c r="AO1485">
        <f>IF($AK1485=1,IFERROR(IF(VALUE($C1485)&lt;100000000,VALUE($C1485),1000000000),IFERROR(IF(VALUE(MID($C1485,2,20))&lt;100000000,VALUE(MID($C1485,2,20)),1000000000),1000000000))+ROW()/100000,"")</f>
        <v/>
      </c>
    </row>
    <row r="1486">
      <c r="F1486" s="11" t="n"/>
      <c r="N1486" s="7">
        <f>IF($C1486="","",M1486*U1486/100)</f>
        <v/>
      </c>
      <c r="T1486" s="7" t="n"/>
      <c r="U1486" s="7" t="n"/>
      <c r="V1486" s="7">
        <f>IF($C1486="","",U1486*AA1486/100)</f>
        <v/>
      </c>
      <c r="W1486" s="7">
        <f>IF($C1486="","",U1486-V1486)</f>
        <v/>
      </c>
      <c r="X1486" s="7">
        <f>IF($C1486="","",W1486-N1486)</f>
        <v/>
      </c>
      <c r="AA1486">
        <f>IF($C1486="","",IF($AN1486=1,0,IF($AM1486=1,Settings!$C$6,Settings!$C$7))*100)</f>
        <v/>
      </c>
      <c r="AE1486" s="7" t="n"/>
      <c r="AH1486" s="11" t="n"/>
      <c r="AJ1486">
        <f>IF($C1486="","",$C1486&amp;"|"&amp;$D1486&amp;"")</f>
        <v/>
      </c>
      <c r="AK1486">
        <f>IF($C1486="","",IF(COUNTIF($AJ$2:$AJ1486,$AJ1486)=1,1,0))</f>
        <v/>
      </c>
      <c r="AL1486">
        <f>IF($AK1486=1,SUMPRODUCT(--($AO$2:$AO$1501&lt;$AO1486))+1,"")</f>
        <v/>
      </c>
      <c r="AM1486">
        <f>IF($C1486="","",IF(OR($Q1486=TRUE(),$Q1486="TRUE"),1,0))</f>
        <v/>
      </c>
      <c r="AN1486">
        <f>IF($C1486="","",IF($Z1486="Yes",1,0))</f>
        <v/>
      </c>
      <c r="AO1486">
        <f>IF($AK1486=1,IFERROR(IF(VALUE($C1486)&lt;100000000,VALUE($C1486),1000000000),IFERROR(IF(VALUE(MID($C1486,2,20))&lt;100000000,VALUE(MID($C1486,2,20)),1000000000),1000000000))+ROW()/100000,"")</f>
        <v/>
      </c>
    </row>
    <row r="1487">
      <c r="F1487" s="11" t="n"/>
      <c r="N1487" s="7">
        <f>IF($C1487="","",M1487*U1487/100)</f>
        <v/>
      </c>
      <c r="T1487" s="7" t="n"/>
      <c r="U1487" s="7" t="n"/>
      <c r="V1487" s="7">
        <f>IF($C1487="","",U1487*AA1487/100)</f>
        <v/>
      </c>
      <c r="W1487" s="7">
        <f>IF($C1487="","",U1487-V1487)</f>
        <v/>
      </c>
      <c r="X1487" s="7">
        <f>IF($C1487="","",W1487-N1487)</f>
        <v/>
      </c>
      <c r="AA1487">
        <f>IF($C1487="","",IF($AN1487=1,0,IF($AM1487=1,Settings!$C$6,Settings!$C$7))*100)</f>
        <v/>
      </c>
      <c r="AE1487" s="7" t="n"/>
      <c r="AH1487" s="11" t="n"/>
      <c r="AJ1487">
        <f>IF($C1487="","",$C1487&amp;"|"&amp;$D1487&amp;"")</f>
        <v/>
      </c>
      <c r="AK1487">
        <f>IF($C1487="","",IF(COUNTIF($AJ$2:$AJ1487,$AJ1487)=1,1,0))</f>
        <v/>
      </c>
      <c r="AL1487">
        <f>IF($AK1487=1,SUMPRODUCT(--($AO$2:$AO$1501&lt;$AO1487))+1,"")</f>
        <v/>
      </c>
      <c r="AM1487">
        <f>IF($C1487="","",IF(OR($Q1487=TRUE(),$Q1487="TRUE"),1,0))</f>
        <v/>
      </c>
      <c r="AN1487">
        <f>IF($C1487="","",IF($Z1487="Yes",1,0))</f>
        <v/>
      </c>
      <c r="AO1487">
        <f>IF($AK1487=1,IFERROR(IF(VALUE($C1487)&lt;100000000,VALUE($C1487),1000000000),IFERROR(IF(VALUE(MID($C1487,2,20))&lt;100000000,VALUE(MID($C1487,2,20)),1000000000),1000000000))+ROW()/100000,"")</f>
        <v/>
      </c>
    </row>
    <row r="1488">
      <c r="F1488" s="11" t="n"/>
      <c r="N1488" s="7">
        <f>IF($C1488="","",M1488*U1488/100)</f>
        <v/>
      </c>
      <c r="T1488" s="7" t="n"/>
      <c r="U1488" s="7" t="n"/>
      <c r="V1488" s="7">
        <f>IF($C1488="","",U1488*AA1488/100)</f>
        <v/>
      </c>
      <c r="W1488" s="7">
        <f>IF($C1488="","",U1488-V1488)</f>
        <v/>
      </c>
      <c r="X1488" s="7">
        <f>IF($C1488="","",W1488-N1488)</f>
        <v/>
      </c>
      <c r="AA1488">
        <f>IF($C1488="","",IF($AN1488=1,0,IF($AM1488=1,Settings!$C$6,Settings!$C$7))*100)</f>
        <v/>
      </c>
      <c r="AE1488" s="7" t="n"/>
      <c r="AH1488" s="11" t="n"/>
      <c r="AJ1488">
        <f>IF($C1488="","",$C1488&amp;"|"&amp;$D1488&amp;"")</f>
        <v/>
      </c>
      <c r="AK1488">
        <f>IF($C1488="","",IF(COUNTIF($AJ$2:$AJ1488,$AJ1488)=1,1,0))</f>
        <v/>
      </c>
      <c r="AL1488">
        <f>IF($AK1488=1,SUMPRODUCT(--($AO$2:$AO$1501&lt;$AO1488))+1,"")</f>
        <v/>
      </c>
      <c r="AM1488">
        <f>IF($C1488="","",IF(OR($Q1488=TRUE(),$Q1488="TRUE"),1,0))</f>
        <v/>
      </c>
      <c r="AN1488">
        <f>IF($C1488="","",IF($Z1488="Yes",1,0))</f>
        <v/>
      </c>
      <c r="AO1488">
        <f>IF($AK1488=1,IFERROR(IF(VALUE($C1488)&lt;100000000,VALUE($C1488),1000000000),IFERROR(IF(VALUE(MID($C1488,2,20))&lt;100000000,VALUE(MID($C1488,2,20)),1000000000),1000000000))+ROW()/100000,"")</f>
        <v/>
      </c>
    </row>
    <row r="1489">
      <c r="F1489" s="11" t="n"/>
      <c r="N1489" s="7">
        <f>IF($C1489="","",M1489*U1489/100)</f>
        <v/>
      </c>
      <c r="T1489" s="7" t="n"/>
      <c r="U1489" s="7" t="n"/>
      <c r="V1489" s="7">
        <f>IF($C1489="","",U1489*AA1489/100)</f>
        <v/>
      </c>
      <c r="W1489" s="7">
        <f>IF($C1489="","",U1489-V1489)</f>
        <v/>
      </c>
      <c r="X1489" s="7">
        <f>IF($C1489="","",W1489-N1489)</f>
        <v/>
      </c>
      <c r="AA1489">
        <f>IF($C1489="","",IF($AN1489=1,0,IF($AM1489=1,Settings!$C$6,Settings!$C$7))*100)</f>
        <v/>
      </c>
      <c r="AE1489" s="7" t="n"/>
      <c r="AH1489" s="11" t="n"/>
      <c r="AJ1489">
        <f>IF($C1489="","",$C1489&amp;"|"&amp;$D1489&amp;"")</f>
        <v/>
      </c>
      <c r="AK1489">
        <f>IF($C1489="","",IF(COUNTIF($AJ$2:$AJ1489,$AJ1489)=1,1,0))</f>
        <v/>
      </c>
      <c r="AL1489">
        <f>IF($AK1489=1,SUMPRODUCT(--($AO$2:$AO$1501&lt;$AO1489))+1,"")</f>
        <v/>
      </c>
      <c r="AM1489">
        <f>IF($C1489="","",IF(OR($Q1489=TRUE(),$Q1489="TRUE"),1,0))</f>
        <v/>
      </c>
      <c r="AN1489">
        <f>IF($C1489="","",IF($Z1489="Yes",1,0))</f>
        <v/>
      </c>
      <c r="AO1489">
        <f>IF($AK1489=1,IFERROR(IF(VALUE($C1489)&lt;100000000,VALUE($C1489),1000000000),IFERROR(IF(VALUE(MID($C1489,2,20))&lt;100000000,VALUE(MID($C1489,2,20)),1000000000),1000000000))+ROW()/100000,"")</f>
        <v/>
      </c>
    </row>
    <row r="1490">
      <c r="F1490" s="11" t="n"/>
      <c r="N1490" s="7">
        <f>IF($C1490="","",M1490*U1490/100)</f>
        <v/>
      </c>
      <c r="T1490" s="7" t="n"/>
      <c r="U1490" s="7" t="n"/>
      <c r="V1490" s="7">
        <f>IF($C1490="","",U1490*AA1490/100)</f>
        <v/>
      </c>
      <c r="W1490" s="7">
        <f>IF($C1490="","",U1490-V1490)</f>
        <v/>
      </c>
      <c r="X1490" s="7">
        <f>IF($C1490="","",W1490-N1490)</f>
        <v/>
      </c>
      <c r="AA1490">
        <f>IF($C1490="","",IF($AN1490=1,0,IF($AM1490=1,Settings!$C$6,Settings!$C$7))*100)</f>
        <v/>
      </c>
      <c r="AE1490" s="7" t="n"/>
      <c r="AH1490" s="11" t="n"/>
      <c r="AJ1490">
        <f>IF($C1490="","",$C1490&amp;"|"&amp;$D1490&amp;"")</f>
        <v/>
      </c>
      <c r="AK1490">
        <f>IF($C1490="","",IF(COUNTIF($AJ$2:$AJ1490,$AJ1490)=1,1,0))</f>
        <v/>
      </c>
      <c r="AL1490">
        <f>IF($AK1490=1,SUMPRODUCT(--($AO$2:$AO$1501&lt;$AO1490))+1,"")</f>
        <v/>
      </c>
      <c r="AM1490">
        <f>IF($C1490="","",IF(OR($Q1490=TRUE(),$Q1490="TRUE"),1,0))</f>
        <v/>
      </c>
      <c r="AN1490">
        <f>IF($C1490="","",IF($Z1490="Yes",1,0))</f>
        <v/>
      </c>
      <c r="AO1490">
        <f>IF($AK1490=1,IFERROR(IF(VALUE($C1490)&lt;100000000,VALUE($C1490),1000000000),IFERROR(IF(VALUE(MID($C1490,2,20))&lt;100000000,VALUE(MID($C1490,2,20)),1000000000),1000000000))+ROW()/100000,"")</f>
        <v/>
      </c>
    </row>
    <row r="1491">
      <c r="F1491" s="11" t="n"/>
      <c r="N1491" s="7">
        <f>IF($C1491="","",M1491*U1491/100)</f>
        <v/>
      </c>
      <c r="T1491" s="7" t="n"/>
      <c r="U1491" s="7" t="n"/>
      <c r="V1491" s="7">
        <f>IF($C1491="","",U1491*AA1491/100)</f>
        <v/>
      </c>
      <c r="W1491" s="7">
        <f>IF($C1491="","",U1491-V1491)</f>
        <v/>
      </c>
      <c r="X1491" s="7">
        <f>IF($C1491="","",W1491-N1491)</f>
        <v/>
      </c>
      <c r="AA1491">
        <f>IF($C1491="","",IF($AN1491=1,0,IF($AM1491=1,Settings!$C$6,Settings!$C$7))*100)</f>
        <v/>
      </c>
      <c r="AE1491" s="7" t="n"/>
      <c r="AH1491" s="11" t="n"/>
      <c r="AJ1491">
        <f>IF($C1491="","",$C1491&amp;"|"&amp;$D1491&amp;"")</f>
        <v/>
      </c>
      <c r="AK1491">
        <f>IF($C1491="","",IF(COUNTIF($AJ$2:$AJ1491,$AJ1491)=1,1,0))</f>
        <v/>
      </c>
      <c r="AL1491">
        <f>IF($AK1491=1,SUMPRODUCT(--($AO$2:$AO$1501&lt;$AO1491))+1,"")</f>
        <v/>
      </c>
      <c r="AM1491">
        <f>IF($C1491="","",IF(OR($Q1491=TRUE(),$Q1491="TRUE"),1,0))</f>
        <v/>
      </c>
      <c r="AN1491">
        <f>IF($C1491="","",IF($Z1491="Yes",1,0))</f>
        <v/>
      </c>
      <c r="AO1491">
        <f>IF($AK1491=1,IFERROR(IF(VALUE($C1491)&lt;100000000,VALUE($C1491),1000000000),IFERROR(IF(VALUE(MID($C1491,2,20))&lt;100000000,VALUE(MID($C1491,2,20)),1000000000),1000000000))+ROW()/100000,"")</f>
        <v/>
      </c>
    </row>
    <row r="1492">
      <c r="F1492" s="11" t="n"/>
      <c r="N1492" s="7">
        <f>IF($C1492="","",M1492*U1492/100)</f>
        <v/>
      </c>
      <c r="T1492" s="7" t="n"/>
      <c r="U1492" s="7" t="n"/>
      <c r="V1492" s="7">
        <f>IF($C1492="","",U1492*AA1492/100)</f>
        <v/>
      </c>
      <c r="W1492" s="7">
        <f>IF($C1492="","",U1492-V1492)</f>
        <v/>
      </c>
      <c r="X1492" s="7">
        <f>IF($C1492="","",W1492-N1492)</f>
        <v/>
      </c>
      <c r="AA1492">
        <f>IF($C1492="","",IF($AN1492=1,0,IF($AM1492=1,Settings!$C$6,Settings!$C$7))*100)</f>
        <v/>
      </c>
      <c r="AE1492" s="7" t="n"/>
      <c r="AH1492" s="11" t="n"/>
      <c r="AJ1492">
        <f>IF($C1492="","",$C1492&amp;"|"&amp;$D1492&amp;"")</f>
        <v/>
      </c>
      <c r="AK1492">
        <f>IF($C1492="","",IF(COUNTIF($AJ$2:$AJ1492,$AJ1492)=1,1,0))</f>
        <v/>
      </c>
      <c r="AL1492">
        <f>IF($AK1492=1,SUMPRODUCT(--($AO$2:$AO$1501&lt;$AO1492))+1,"")</f>
        <v/>
      </c>
      <c r="AM1492">
        <f>IF($C1492="","",IF(OR($Q1492=TRUE(),$Q1492="TRUE"),1,0))</f>
        <v/>
      </c>
      <c r="AN1492">
        <f>IF($C1492="","",IF($Z1492="Yes",1,0))</f>
        <v/>
      </c>
      <c r="AO1492">
        <f>IF($AK1492=1,IFERROR(IF(VALUE($C1492)&lt;100000000,VALUE($C1492),1000000000),IFERROR(IF(VALUE(MID($C1492,2,20))&lt;100000000,VALUE(MID($C1492,2,20)),1000000000),1000000000))+ROW()/100000,"")</f>
        <v/>
      </c>
    </row>
    <row r="1493">
      <c r="F1493" s="11" t="n"/>
      <c r="N1493" s="7">
        <f>IF($C1493="","",M1493*U1493/100)</f>
        <v/>
      </c>
      <c r="T1493" s="7" t="n"/>
      <c r="U1493" s="7" t="n"/>
      <c r="V1493" s="7">
        <f>IF($C1493="","",U1493*AA1493/100)</f>
        <v/>
      </c>
      <c r="W1493" s="7">
        <f>IF($C1493="","",U1493-V1493)</f>
        <v/>
      </c>
      <c r="X1493" s="7">
        <f>IF($C1493="","",W1493-N1493)</f>
        <v/>
      </c>
      <c r="AA1493">
        <f>IF($C1493="","",IF($AN1493=1,0,IF($AM1493=1,Settings!$C$6,Settings!$C$7))*100)</f>
        <v/>
      </c>
      <c r="AE1493" s="7" t="n"/>
      <c r="AH1493" s="11" t="n"/>
      <c r="AJ1493">
        <f>IF($C1493="","",$C1493&amp;"|"&amp;$D1493&amp;"")</f>
        <v/>
      </c>
      <c r="AK1493">
        <f>IF($C1493="","",IF(COUNTIF($AJ$2:$AJ1493,$AJ1493)=1,1,0))</f>
        <v/>
      </c>
      <c r="AL1493">
        <f>IF($AK1493=1,SUMPRODUCT(--($AO$2:$AO$1501&lt;$AO1493))+1,"")</f>
        <v/>
      </c>
      <c r="AM1493">
        <f>IF($C1493="","",IF(OR($Q1493=TRUE(),$Q1493="TRUE"),1,0))</f>
        <v/>
      </c>
      <c r="AN1493">
        <f>IF($C1493="","",IF($Z1493="Yes",1,0))</f>
        <v/>
      </c>
      <c r="AO1493">
        <f>IF($AK1493=1,IFERROR(IF(VALUE($C1493)&lt;100000000,VALUE($C1493),1000000000),IFERROR(IF(VALUE(MID($C1493,2,20))&lt;100000000,VALUE(MID($C1493,2,20)),1000000000),1000000000))+ROW()/100000,"")</f>
        <v/>
      </c>
    </row>
    <row r="1494">
      <c r="F1494" s="11" t="n"/>
      <c r="N1494" s="7">
        <f>IF($C1494="","",M1494*U1494/100)</f>
        <v/>
      </c>
      <c r="T1494" s="7" t="n"/>
      <c r="U1494" s="7" t="n"/>
      <c r="V1494" s="7">
        <f>IF($C1494="","",U1494*AA1494/100)</f>
        <v/>
      </c>
      <c r="W1494" s="7">
        <f>IF($C1494="","",U1494-V1494)</f>
        <v/>
      </c>
      <c r="X1494" s="7">
        <f>IF($C1494="","",W1494-N1494)</f>
        <v/>
      </c>
      <c r="AA1494">
        <f>IF($C1494="","",IF($AN1494=1,0,IF($AM1494=1,Settings!$C$6,Settings!$C$7))*100)</f>
        <v/>
      </c>
      <c r="AE1494" s="7" t="n"/>
      <c r="AH1494" s="11" t="n"/>
      <c r="AJ1494">
        <f>IF($C1494="","",$C1494&amp;"|"&amp;$D1494&amp;"")</f>
        <v/>
      </c>
      <c r="AK1494">
        <f>IF($C1494="","",IF(COUNTIF($AJ$2:$AJ1494,$AJ1494)=1,1,0))</f>
        <v/>
      </c>
      <c r="AL1494">
        <f>IF($AK1494=1,SUMPRODUCT(--($AO$2:$AO$1501&lt;$AO1494))+1,"")</f>
        <v/>
      </c>
      <c r="AM1494">
        <f>IF($C1494="","",IF(OR($Q1494=TRUE(),$Q1494="TRUE"),1,0))</f>
        <v/>
      </c>
      <c r="AN1494">
        <f>IF($C1494="","",IF($Z1494="Yes",1,0))</f>
        <v/>
      </c>
      <c r="AO1494">
        <f>IF($AK1494=1,IFERROR(IF(VALUE($C1494)&lt;100000000,VALUE($C1494),1000000000),IFERROR(IF(VALUE(MID($C1494,2,20))&lt;100000000,VALUE(MID($C1494,2,20)),1000000000),1000000000))+ROW()/100000,"")</f>
        <v/>
      </c>
    </row>
    <row r="1495">
      <c r="F1495" s="11" t="n"/>
      <c r="N1495" s="7">
        <f>IF($C1495="","",M1495*U1495/100)</f>
        <v/>
      </c>
      <c r="T1495" s="7" t="n"/>
      <c r="U1495" s="7" t="n"/>
      <c r="V1495" s="7">
        <f>IF($C1495="","",U1495*AA1495/100)</f>
        <v/>
      </c>
      <c r="W1495" s="7">
        <f>IF($C1495="","",U1495-V1495)</f>
        <v/>
      </c>
      <c r="X1495" s="7">
        <f>IF($C1495="","",W1495-N1495)</f>
        <v/>
      </c>
      <c r="AA1495">
        <f>IF($C1495="","",IF($AN1495=1,0,IF($AM1495=1,Settings!$C$6,Settings!$C$7))*100)</f>
        <v/>
      </c>
      <c r="AE1495" s="7" t="n"/>
      <c r="AH1495" s="11" t="n"/>
      <c r="AJ1495">
        <f>IF($C1495="","",$C1495&amp;"|"&amp;$D1495&amp;"")</f>
        <v/>
      </c>
      <c r="AK1495">
        <f>IF($C1495="","",IF(COUNTIF($AJ$2:$AJ1495,$AJ1495)=1,1,0))</f>
        <v/>
      </c>
      <c r="AL1495">
        <f>IF($AK1495=1,SUMPRODUCT(--($AO$2:$AO$1501&lt;$AO1495))+1,"")</f>
        <v/>
      </c>
      <c r="AM1495">
        <f>IF($C1495="","",IF(OR($Q1495=TRUE(),$Q1495="TRUE"),1,0))</f>
        <v/>
      </c>
      <c r="AN1495">
        <f>IF($C1495="","",IF($Z1495="Yes",1,0))</f>
        <v/>
      </c>
      <c r="AO1495">
        <f>IF($AK1495=1,IFERROR(IF(VALUE($C1495)&lt;100000000,VALUE($C1495),1000000000),IFERROR(IF(VALUE(MID($C1495,2,20))&lt;100000000,VALUE(MID($C1495,2,20)),1000000000),1000000000))+ROW()/100000,"")</f>
        <v/>
      </c>
    </row>
    <row r="1496">
      <c r="F1496" s="11" t="n"/>
      <c r="N1496" s="7">
        <f>IF($C1496="","",M1496*U1496/100)</f>
        <v/>
      </c>
      <c r="T1496" s="7" t="n"/>
      <c r="U1496" s="7" t="n"/>
      <c r="V1496" s="7">
        <f>IF($C1496="","",U1496*AA1496/100)</f>
        <v/>
      </c>
      <c r="W1496" s="7">
        <f>IF($C1496="","",U1496-V1496)</f>
        <v/>
      </c>
      <c r="X1496" s="7">
        <f>IF($C1496="","",W1496-N1496)</f>
        <v/>
      </c>
      <c r="AA1496">
        <f>IF($C1496="","",IF($AN1496=1,0,IF($AM1496=1,Settings!$C$6,Settings!$C$7))*100)</f>
        <v/>
      </c>
      <c r="AE1496" s="7" t="n"/>
      <c r="AH1496" s="11" t="n"/>
      <c r="AJ1496">
        <f>IF($C1496="","",$C1496&amp;"|"&amp;$D1496&amp;"")</f>
        <v/>
      </c>
      <c r="AK1496">
        <f>IF($C1496="","",IF(COUNTIF($AJ$2:$AJ1496,$AJ1496)=1,1,0))</f>
        <v/>
      </c>
      <c r="AL1496">
        <f>IF($AK1496=1,SUMPRODUCT(--($AO$2:$AO$1501&lt;$AO1496))+1,"")</f>
        <v/>
      </c>
      <c r="AM1496">
        <f>IF($C1496="","",IF(OR($Q1496=TRUE(),$Q1496="TRUE"),1,0))</f>
        <v/>
      </c>
      <c r="AN1496">
        <f>IF($C1496="","",IF($Z1496="Yes",1,0))</f>
        <v/>
      </c>
      <c r="AO1496">
        <f>IF($AK1496=1,IFERROR(IF(VALUE($C1496)&lt;100000000,VALUE($C1496),1000000000),IFERROR(IF(VALUE(MID($C1496,2,20))&lt;100000000,VALUE(MID($C1496,2,20)),1000000000),1000000000))+ROW()/100000,"")</f>
        <v/>
      </c>
    </row>
    <row r="1497">
      <c r="F1497" s="11" t="n"/>
      <c r="N1497" s="7">
        <f>IF($C1497="","",M1497*U1497/100)</f>
        <v/>
      </c>
      <c r="T1497" s="7" t="n"/>
      <c r="U1497" s="7" t="n"/>
      <c r="V1497" s="7">
        <f>IF($C1497="","",U1497*AA1497/100)</f>
        <v/>
      </c>
      <c r="W1497" s="7">
        <f>IF($C1497="","",U1497-V1497)</f>
        <v/>
      </c>
      <c r="X1497" s="7">
        <f>IF($C1497="","",W1497-N1497)</f>
        <v/>
      </c>
      <c r="AA1497">
        <f>IF($C1497="","",IF($AN1497=1,0,IF($AM1497=1,Settings!$C$6,Settings!$C$7))*100)</f>
        <v/>
      </c>
      <c r="AE1497" s="7" t="n"/>
      <c r="AH1497" s="11" t="n"/>
      <c r="AJ1497">
        <f>IF($C1497="","",$C1497&amp;"|"&amp;$D1497&amp;"")</f>
        <v/>
      </c>
      <c r="AK1497">
        <f>IF($C1497="","",IF(COUNTIF($AJ$2:$AJ1497,$AJ1497)=1,1,0))</f>
        <v/>
      </c>
      <c r="AL1497">
        <f>IF($AK1497=1,SUMPRODUCT(--($AO$2:$AO$1501&lt;$AO1497))+1,"")</f>
        <v/>
      </c>
      <c r="AM1497">
        <f>IF($C1497="","",IF(OR($Q1497=TRUE(),$Q1497="TRUE"),1,0))</f>
        <v/>
      </c>
      <c r="AN1497">
        <f>IF($C1497="","",IF($Z1497="Yes",1,0))</f>
        <v/>
      </c>
      <c r="AO1497">
        <f>IF($AK1497=1,IFERROR(IF(VALUE($C1497)&lt;100000000,VALUE($C1497),1000000000),IFERROR(IF(VALUE(MID($C1497,2,20))&lt;100000000,VALUE(MID($C1497,2,20)),1000000000),1000000000))+ROW()/100000,"")</f>
        <v/>
      </c>
    </row>
    <row r="1498">
      <c r="F1498" s="11" t="n"/>
      <c r="N1498" s="7">
        <f>IF($C1498="","",M1498*U1498/100)</f>
        <v/>
      </c>
      <c r="T1498" s="7" t="n"/>
      <c r="U1498" s="7" t="n"/>
      <c r="V1498" s="7">
        <f>IF($C1498="","",U1498*AA1498/100)</f>
        <v/>
      </c>
      <c r="W1498" s="7">
        <f>IF($C1498="","",U1498-V1498)</f>
        <v/>
      </c>
      <c r="X1498" s="7">
        <f>IF($C1498="","",W1498-N1498)</f>
        <v/>
      </c>
      <c r="AA1498">
        <f>IF($C1498="","",IF($AN1498=1,0,IF($AM1498=1,Settings!$C$6,Settings!$C$7))*100)</f>
        <v/>
      </c>
      <c r="AE1498" s="7" t="n"/>
      <c r="AH1498" s="11" t="n"/>
      <c r="AJ1498">
        <f>IF($C1498="","",$C1498&amp;"|"&amp;$D1498&amp;"")</f>
        <v/>
      </c>
      <c r="AK1498">
        <f>IF($C1498="","",IF(COUNTIF($AJ$2:$AJ1498,$AJ1498)=1,1,0))</f>
        <v/>
      </c>
      <c r="AL1498">
        <f>IF($AK1498=1,SUMPRODUCT(--($AO$2:$AO$1501&lt;$AO1498))+1,"")</f>
        <v/>
      </c>
      <c r="AM1498">
        <f>IF($C1498="","",IF(OR($Q1498=TRUE(),$Q1498="TRUE"),1,0))</f>
        <v/>
      </c>
      <c r="AN1498">
        <f>IF($C1498="","",IF($Z1498="Yes",1,0))</f>
        <v/>
      </c>
      <c r="AO1498">
        <f>IF($AK1498=1,IFERROR(IF(VALUE($C1498)&lt;100000000,VALUE($C1498),1000000000),IFERROR(IF(VALUE(MID($C1498,2,20))&lt;100000000,VALUE(MID($C1498,2,20)),1000000000),1000000000))+ROW()/100000,"")</f>
        <v/>
      </c>
    </row>
    <row r="1499">
      <c r="F1499" s="11" t="n"/>
      <c r="N1499" s="7">
        <f>IF($C1499="","",M1499*U1499/100)</f>
        <v/>
      </c>
      <c r="T1499" s="7" t="n"/>
      <c r="U1499" s="7" t="n"/>
      <c r="V1499" s="7">
        <f>IF($C1499="","",U1499*AA1499/100)</f>
        <v/>
      </c>
      <c r="W1499" s="7">
        <f>IF($C1499="","",U1499-V1499)</f>
        <v/>
      </c>
      <c r="X1499" s="7">
        <f>IF($C1499="","",W1499-N1499)</f>
        <v/>
      </c>
      <c r="AA1499">
        <f>IF($C1499="","",IF($AN1499=1,0,IF($AM1499=1,Settings!$C$6,Settings!$C$7))*100)</f>
        <v/>
      </c>
      <c r="AE1499" s="7" t="n"/>
      <c r="AH1499" s="11" t="n"/>
      <c r="AJ1499">
        <f>IF($C1499="","",$C1499&amp;"|"&amp;$D1499&amp;"")</f>
        <v/>
      </c>
      <c r="AK1499">
        <f>IF($C1499="","",IF(COUNTIF($AJ$2:$AJ1499,$AJ1499)=1,1,0))</f>
        <v/>
      </c>
      <c r="AL1499">
        <f>IF($AK1499=1,SUMPRODUCT(--($AO$2:$AO$1501&lt;$AO1499))+1,"")</f>
        <v/>
      </c>
      <c r="AM1499">
        <f>IF($C1499="","",IF(OR($Q1499=TRUE(),$Q1499="TRUE"),1,0))</f>
        <v/>
      </c>
      <c r="AN1499">
        <f>IF($C1499="","",IF($Z1499="Yes",1,0))</f>
        <v/>
      </c>
      <c r="AO1499">
        <f>IF($AK1499=1,IFERROR(IF(VALUE($C1499)&lt;100000000,VALUE($C1499),1000000000),IFERROR(IF(VALUE(MID($C1499,2,20))&lt;100000000,VALUE(MID($C1499,2,20)),1000000000),1000000000))+ROW()/100000,"")</f>
        <v/>
      </c>
    </row>
    <row r="1500">
      <c r="F1500" s="11" t="n"/>
      <c r="N1500" s="7">
        <f>IF($C1500="","",M1500*U1500/100)</f>
        <v/>
      </c>
      <c r="T1500" s="7" t="n"/>
      <c r="U1500" s="7" t="n"/>
      <c r="V1500" s="7">
        <f>IF($C1500="","",U1500*AA1500/100)</f>
        <v/>
      </c>
      <c r="W1500" s="7">
        <f>IF($C1500="","",U1500-V1500)</f>
        <v/>
      </c>
      <c r="X1500" s="7">
        <f>IF($C1500="","",W1500-N1500)</f>
        <v/>
      </c>
      <c r="AA1500">
        <f>IF($C1500="","",IF($AN1500=1,0,IF($AM1500=1,Settings!$C$6,Settings!$C$7))*100)</f>
        <v/>
      </c>
      <c r="AE1500" s="7" t="n"/>
      <c r="AH1500" s="11" t="n"/>
      <c r="AJ1500">
        <f>IF($C1500="","",$C1500&amp;"|"&amp;$D1500&amp;"")</f>
        <v/>
      </c>
      <c r="AK1500">
        <f>IF($C1500="","",IF(COUNTIF($AJ$2:$AJ1500,$AJ1500)=1,1,0))</f>
        <v/>
      </c>
      <c r="AL1500">
        <f>IF($AK1500=1,SUMPRODUCT(--($AO$2:$AO$1501&lt;$AO1500))+1,"")</f>
        <v/>
      </c>
      <c r="AM1500">
        <f>IF($C1500="","",IF(OR($Q1500=TRUE(),$Q1500="TRUE"),1,0))</f>
        <v/>
      </c>
      <c r="AN1500">
        <f>IF($C1500="","",IF($Z1500="Yes",1,0))</f>
        <v/>
      </c>
      <c r="AO1500">
        <f>IF($AK1500=1,IFERROR(IF(VALUE($C1500)&lt;100000000,VALUE($C1500),1000000000),IFERROR(IF(VALUE(MID($C1500,2,20))&lt;100000000,VALUE(MID($C1500,2,20)),1000000000),1000000000))+ROW()/100000,"")</f>
        <v/>
      </c>
    </row>
    <row r="1501">
      <c r="F1501" s="11" t="n"/>
      <c r="N1501" s="7">
        <f>IF($C1501="","",M1501*U1501/100)</f>
        <v/>
      </c>
      <c r="T1501" s="7" t="n"/>
      <c r="U1501" s="7" t="n"/>
      <c r="V1501" s="7">
        <f>IF($C1501="","",U1501*AA1501/100)</f>
        <v/>
      </c>
      <c r="W1501" s="7">
        <f>IF($C1501="","",U1501-V1501)</f>
        <v/>
      </c>
      <c r="X1501" s="7">
        <f>IF($C1501="","",W1501-N1501)</f>
        <v/>
      </c>
      <c r="AA1501">
        <f>IF($C1501="","",IF($AN1501=1,0,IF($AM1501=1,Settings!$C$6,Settings!$C$7))*100)</f>
        <v/>
      </c>
      <c r="AE1501" s="7" t="n"/>
      <c r="AH1501" s="11" t="n"/>
      <c r="AJ1501">
        <f>IF($C1501="","",$C1501&amp;"|"&amp;$D1501&amp;"")</f>
        <v/>
      </c>
      <c r="AK1501">
        <f>IF($C1501="","",IF(COUNTIF($AJ$2:$AJ1501,$AJ1501)=1,1,0))</f>
        <v/>
      </c>
      <c r="AL1501">
        <f>IF($AK1501=1,SUMPRODUCT(--($AO$2:$AO$1501&lt;$AO1501))+1,"")</f>
        <v/>
      </c>
      <c r="AM1501">
        <f>IF($C1501="","",IF(OR($Q1501=TRUE(),$Q1501="TRUE"),1,0))</f>
        <v/>
      </c>
      <c r="AN1501">
        <f>IF($C1501="","",IF($Z1501="Yes",1,0))</f>
        <v/>
      </c>
      <c r="AO1501">
        <f>IF($AK1501=1,IFERROR(IF(VALUE($C1501)&lt;100000000,VALUE($C1501),1000000000),IFERROR(IF(VALUE(MID($C1501,2,20))&lt;100000000,VALUE(MID($C1501,2,20)),1000000000),1000000000))+ROW()/100000,"")</f>
        <v/>
      </c>
    </row>
  </sheetData>
  <autoFilter ref="A1:AO1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8" customWidth="1" min="5" max="5"/>
    <col width="17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</cols>
  <sheetData>
    <row r="1" ht="32" customHeight="1">
      <c r="A1" s="9" t="inlineStr">
        <is>
          <t>Order #</t>
        </is>
      </c>
      <c r="B1" s="8" t="inlineStr">
        <is>
          <t>Invoice</t>
        </is>
      </c>
      <c r="C1" s="9" t="inlineStr">
        <is>
          <t>Approval Ref</t>
        </is>
      </c>
      <c r="D1" s="9" t="inlineStr">
        <is>
          <t>Ticket #</t>
        </is>
      </c>
      <c r="E1" s="9" t="inlineStr">
        <is>
          <t>Insurance Company</t>
        </is>
      </c>
      <c r="F1" s="9" t="inlineStr">
        <is>
          <t>Create At</t>
        </is>
      </c>
      <c r="G1" s="9" t="inlineStr">
        <is>
          <t>Corporate</t>
        </is>
      </c>
      <c r="H1" s="9" t="inlineStr">
        <is>
          <t>Card</t>
        </is>
      </c>
      <c r="I1" s="9" t="inlineStr">
        <is>
          <t>Name</t>
        </is>
      </c>
      <c r="J1" s="9" t="inlineStr">
        <is>
          <t>Order Co Payment</t>
        </is>
      </c>
      <c r="K1" s="9" t="inlineStr">
        <is>
          <t>Co val</t>
        </is>
      </c>
      <c r="L1" s="9" t="inlineStr">
        <is>
          <t>ERX ID</t>
        </is>
      </c>
      <c r="M1" s="9" t="inlineStr">
        <is>
          <t>SP</t>
        </is>
      </c>
      <c r="N1" s="9" t="inlineStr">
        <is>
          <t>imp%</t>
        </is>
      </c>
      <c r="O1" s="9" t="inlineStr">
        <is>
          <t>IMP</t>
        </is>
      </c>
      <c r="P1" s="9" t="inlineStr">
        <is>
          <t>imp val</t>
        </is>
      </c>
      <c r="Q1" s="9" t="inlineStr">
        <is>
          <t>LOCAL%</t>
        </is>
      </c>
      <c r="R1" s="9" t="inlineStr">
        <is>
          <t>LOCAL</t>
        </is>
      </c>
      <c r="S1" s="9" t="inlineStr">
        <is>
          <t>LOCAL VAL</t>
        </is>
      </c>
      <c r="T1" s="9" t="inlineStr">
        <is>
          <t>TOTAL VAL</t>
        </is>
      </c>
      <c r="U1" s="9" t="inlineStr">
        <is>
          <t>SUBTOTAL</t>
        </is>
      </c>
      <c r="V1" s="9" t="inlineStr">
        <is>
          <t>Grand Total</t>
        </is>
      </c>
      <c r="W1" s="9" t="inlineStr">
        <is>
          <t>NET</t>
        </is>
      </c>
      <c r="X1" s="10" t="inlineStr">
        <is>
          <t>Src Row (helper)</t>
        </is>
      </c>
    </row>
    <row r="2">
      <c r="A2">
        <f>IF($X2="","",INDEX('Per Line'!$C$2:$C$1501,$X2)&amp;"")</f>
        <v/>
      </c>
      <c r="B2" s="12" t="n"/>
      <c r="C2">
        <f>IF($X2="","",INDEX('Per Line'!$D$2:$D$1501,$X2)&amp;"")</f>
        <v/>
      </c>
      <c r="D2">
        <f>IF($X2="","",INDEX('Per Line'!$A$2:$A$1501,$X2))</f>
        <v/>
      </c>
      <c r="E2">
        <f>IF($X2="","",INDEX('Per Line'!$G$2:$G$1501,$X2)&amp;"")</f>
        <v/>
      </c>
      <c r="F2" s="11">
        <f>IF($X2="","",INDEX('Per Line'!$F$2:$F$1501,$X2))</f>
        <v/>
      </c>
      <c r="G2">
        <f>IF($X2="","",INDEX('Per Line'!$I$2:$I$1501,$X2)&amp;"")</f>
        <v/>
      </c>
      <c r="H2">
        <f>IF($X2="","",INDEX('Per Line'!$J$2:$J$1501,$X2)&amp;"")</f>
        <v/>
      </c>
      <c r="I2">
        <f>IF($X2="","",INDEX('Per Line'!$K$2:$K$1501,$X2)&amp;"")</f>
        <v/>
      </c>
      <c r="J2">
        <f>IF($X2="","",INDEX('Per Line'!$M$2:$M$1501,$X2))</f>
        <v/>
      </c>
      <c r="K2" s="7">
        <f>IF($X2="","",J2*V2/100)</f>
        <v/>
      </c>
      <c r="L2">
        <f>IF($X2="","",INDEX('Per Line'!$Y$2:$Y$1501,$X2)&amp;"")</f>
        <v/>
      </c>
      <c r="M2" s="7">
        <f>IF($X2="","",SUMIFS('Per Line'!$U$2:$U$1501,'Per Line'!$AJ$2:$AJ$1501,$A2&amp;"|"&amp;$C2,'Per Line'!$AN$2:$AN$1501,1))</f>
        <v/>
      </c>
      <c r="N2">
        <f>IF($X2="","",Settings!$C$7)</f>
        <v/>
      </c>
      <c r="O2" s="7">
        <f>IF($X2="","",SUMIFS('Per Line'!$U$2:$U$1501,'Per Line'!$AJ$2:$AJ$1501,$A2&amp;"|"&amp;$C2,'Per Line'!$AM$2:$AM$1501,0,'Per Line'!$AN$2:$AN$1501,0))</f>
        <v/>
      </c>
      <c r="P2" s="7">
        <f>IF($X2="","",O2*N2)</f>
        <v/>
      </c>
      <c r="Q2">
        <f>IF($X2="","",Settings!$C$6)</f>
        <v/>
      </c>
      <c r="R2" s="7">
        <f>IF($X2="","",SUMIFS('Per Line'!$U$2:$U$1501,'Per Line'!$AJ$2:$AJ$1501,$A2&amp;"|"&amp;$C2,'Per Line'!$AM$2:$AM$1501,1,'Per Line'!$AN$2:$AN$1501,0))</f>
        <v/>
      </c>
      <c r="S2" s="7">
        <f>IF($X2="","",R2*Q2)</f>
        <v/>
      </c>
      <c r="T2" s="7">
        <f>IF($X2="","",S2+P2)</f>
        <v/>
      </c>
      <c r="U2" s="7">
        <f>IF($X2="","",V2-T2)</f>
        <v/>
      </c>
      <c r="V2" s="7">
        <f>IF($X2="","",O2+R2+M2)</f>
        <v/>
      </c>
      <c r="W2" s="7">
        <f>IF($X2="","",V2-T2-K2)</f>
        <v/>
      </c>
      <c r="X2" s="13">
        <f>IF(ROWS($X$2:$X2)&lt;=MAX('Per Line'!$AL$2:$AL$1501),MATCH(ROWS($X$2:$X2),'Per Line'!$AL$2:$AL$1501,0),"")</f>
        <v/>
      </c>
    </row>
    <row r="3">
      <c r="A3">
        <f>IF($X3="","",INDEX('Per Line'!$C$2:$C$1501,$X3)&amp;"")</f>
        <v/>
      </c>
      <c r="B3" s="12" t="n"/>
      <c r="C3">
        <f>IF($X3="","",INDEX('Per Line'!$D$2:$D$1501,$X3)&amp;"")</f>
        <v/>
      </c>
      <c r="D3">
        <f>IF($X3="","",INDEX('Per Line'!$A$2:$A$1501,$X3))</f>
        <v/>
      </c>
      <c r="E3">
        <f>IF($X3="","",INDEX('Per Line'!$G$2:$G$1501,$X3)&amp;"")</f>
        <v/>
      </c>
      <c r="F3" s="11">
        <f>IF($X3="","",INDEX('Per Line'!$F$2:$F$1501,$X3))</f>
        <v/>
      </c>
      <c r="G3">
        <f>IF($X3="","",INDEX('Per Line'!$I$2:$I$1501,$X3)&amp;"")</f>
        <v/>
      </c>
      <c r="H3">
        <f>IF($X3="","",INDEX('Per Line'!$J$2:$J$1501,$X3)&amp;"")</f>
        <v/>
      </c>
      <c r="I3">
        <f>IF($X3="","",INDEX('Per Line'!$K$2:$K$1501,$X3)&amp;"")</f>
        <v/>
      </c>
      <c r="J3">
        <f>IF($X3="","",INDEX('Per Line'!$M$2:$M$1501,$X3))</f>
        <v/>
      </c>
      <c r="K3" s="7">
        <f>IF($X3="","",J3*V3/100)</f>
        <v/>
      </c>
      <c r="L3">
        <f>IF($X3="","",INDEX('Per Line'!$Y$2:$Y$1501,$X3)&amp;"")</f>
        <v/>
      </c>
      <c r="M3" s="7">
        <f>IF($X3="","",SUMIFS('Per Line'!$U$2:$U$1501,'Per Line'!$AJ$2:$AJ$1501,$A3&amp;"|"&amp;$C3,'Per Line'!$AN$2:$AN$1501,1))</f>
        <v/>
      </c>
      <c r="N3">
        <f>IF($X3="","",Settings!$C$7)</f>
        <v/>
      </c>
      <c r="O3" s="7">
        <f>IF($X3="","",SUMIFS('Per Line'!$U$2:$U$1501,'Per Line'!$AJ$2:$AJ$1501,$A3&amp;"|"&amp;$C3,'Per Line'!$AM$2:$AM$1501,0,'Per Line'!$AN$2:$AN$1501,0))</f>
        <v/>
      </c>
      <c r="P3" s="7">
        <f>IF($X3="","",O3*N3)</f>
        <v/>
      </c>
      <c r="Q3">
        <f>IF($X3="","",Settings!$C$6)</f>
        <v/>
      </c>
      <c r="R3" s="7">
        <f>IF($X3="","",SUMIFS('Per Line'!$U$2:$U$1501,'Per Line'!$AJ$2:$AJ$1501,$A3&amp;"|"&amp;$C3,'Per Line'!$AM$2:$AM$1501,1,'Per Line'!$AN$2:$AN$1501,0))</f>
        <v/>
      </c>
      <c r="S3" s="7">
        <f>IF($X3="","",R3*Q3)</f>
        <v/>
      </c>
      <c r="T3" s="7">
        <f>IF($X3="","",S3+P3)</f>
        <v/>
      </c>
      <c r="U3" s="7">
        <f>IF($X3="","",V3-T3)</f>
        <v/>
      </c>
      <c r="V3" s="7">
        <f>IF($X3="","",O3+R3+M3)</f>
        <v/>
      </c>
      <c r="W3" s="7">
        <f>IF($X3="","",V3-T3-K3)</f>
        <v/>
      </c>
      <c r="X3" s="13">
        <f>IF(ROWS($X$2:$X3)&lt;=MAX('Per Line'!$AL$2:$AL$1501),MATCH(ROWS($X$2:$X3),'Per Line'!$AL$2:$AL$1501,0),"")</f>
        <v/>
      </c>
    </row>
    <row r="4">
      <c r="A4">
        <f>IF($X4="","",INDEX('Per Line'!$C$2:$C$1501,$X4)&amp;"")</f>
        <v/>
      </c>
      <c r="B4" s="12" t="n"/>
      <c r="C4">
        <f>IF($X4="","",INDEX('Per Line'!$D$2:$D$1501,$X4)&amp;"")</f>
        <v/>
      </c>
      <c r="D4">
        <f>IF($X4="","",INDEX('Per Line'!$A$2:$A$1501,$X4))</f>
        <v/>
      </c>
      <c r="E4">
        <f>IF($X4="","",INDEX('Per Line'!$G$2:$G$1501,$X4)&amp;"")</f>
        <v/>
      </c>
      <c r="F4" s="11">
        <f>IF($X4="","",INDEX('Per Line'!$F$2:$F$1501,$X4))</f>
        <v/>
      </c>
      <c r="G4">
        <f>IF($X4="","",INDEX('Per Line'!$I$2:$I$1501,$X4)&amp;"")</f>
        <v/>
      </c>
      <c r="H4">
        <f>IF($X4="","",INDEX('Per Line'!$J$2:$J$1501,$X4)&amp;"")</f>
        <v/>
      </c>
      <c r="I4">
        <f>IF($X4="","",INDEX('Per Line'!$K$2:$K$1501,$X4)&amp;"")</f>
        <v/>
      </c>
      <c r="J4">
        <f>IF($X4="","",INDEX('Per Line'!$M$2:$M$1501,$X4))</f>
        <v/>
      </c>
      <c r="K4" s="7">
        <f>IF($X4="","",J4*V4/100)</f>
        <v/>
      </c>
      <c r="L4">
        <f>IF($X4="","",INDEX('Per Line'!$Y$2:$Y$1501,$X4)&amp;"")</f>
        <v/>
      </c>
      <c r="M4" s="7">
        <f>IF($X4="","",SUMIFS('Per Line'!$U$2:$U$1501,'Per Line'!$AJ$2:$AJ$1501,$A4&amp;"|"&amp;$C4,'Per Line'!$AN$2:$AN$1501,1))</f>
        <v/>
      </c>
      <c r="N4">
        <f>IF($X4="","",Settings!$C$7)</f>
        <v/>
      </c>
      <c r="O4" s="7">
        <f>IF($X4="","",SUMIFS('Per Line'!$U$2:$U$1501,'Per Line'!$AJ$2:$AJ$1501,$A4&amp;"|"&amp;$C4,'Per Line'!$AM$2:$AM$1501,0,'Per Line'!$AN$2:$AN$1501,0))</f>
        <v/>
      </c>
      <c r="P4" s="7">
        <f>IF($X4="","",O4*N4)</f>
        <v/>
      </c>
      <c r="Q4">
        <f>IF($X4="","",Settings!$C$6)</f>
        <v/>
      </c>
      <c r="R4" s="7">
        <f>IF($X4="","",SUMIFS('Per Line'!$U$2:$U$1501,'Per Line'!$AJ$2:$AJ$1501,$A4&amp;"|"&amp;$C4,'Per Line'!$AM$2:$AM$1501,1,'Per Line'!$AN$2:$AN$1501,0))</f>
        <v/>
      </c>
      <c r="S4" s="7">
        <f>IF($X4="","",R4*Q4)</f>
        <v/>
      </c>
      <c r="T4" s="7">
        <f>IF($X4="","",S4+P4)</f>
        <v/>
      </c>
      <c r="U4" s="7">
        <f>IF($X4="","",V4-T4)</f>
        <v/>
      </c>
      <c r="V4" s="7">
        <f>IF($X4="","",O4+R4+M4)</f>
        <v/>
      </c>
      <c r="W4" s="7">
        <f>IF($X4="","",V4-T4-K4)</f>
        <v/>
      </c>
      <c r="X4" s="13">
        <f>IF(ROWS($X$2:$X4)&lt;=MAX('Per Line'!$AL$2:$AL$1501),MATCH(ROWS($X$2:$X4),'Per Line'!$AL$2:$AL$1501,0),"")</f>
        <v/>
      </c>
    </row>
    <row r="5">
      <c r="A5">
        <f>IF($X5="","",INDEX('Per Line'!$C$2:$C$1501,$X5)&amp;"")</f>
        <v/>
      </c>
      <c r="B5" s="12" t="n"/>
      <c r="C5">
        <f>IF($X5="","",INDEX('Per Line'!$D$2:$D$1501,$X5)&amp;"")</f>
        <v/>
      </c>
      <c r="D5">
        <f>IF($X5="","",INDEX('Per Line'!$A$2:$A$1501,$X5))</f>
        <v/>
      </c>
      <c r="E5">
        <f>IF($X5="","",INDEX('Per Line'!$G$2:$G$1501,$X5)&amp;"")</f>
        <v/>
      </c>
      <c r="F5" s="11">
        <f>IF($X5="","",INDEX('Per Line'!$F$2:$F$1501,$X5))</f>
        <v/>
      </c>
      <c r="G5">
        <f>IF($X5="","",INDEX('Per Line'!$I$2:$I$1501,$X5)&amp;"")</f>
        <v/>
      </c>
      <c r="H5">
        <f>IF($X5="","",INDEX('Per Line'!$J$2:$J$1501,$X5)&amp;"")</f>
        <v/>
      </c>
      <c r="I5">
        <f>IF($X5="","",INDEX('Per Line'!$K$2:$K$1501,$X5)&amp;"")</f>
        <v/>
      </c>
      <c r="J5">
        <f>IF($X5="","",INDEX('Per Line'!$M$2:$M$1501,$X5))</f>
        <v/>
      </c>
      <c r="K5" s="7">
        <f>IF($X5="","",J5*V5/100)</f>
        <v/>
      </c>
      <c r="L5">
        <f>IF($X5="","",INDEX('Per Line'!$Y$2:$Y$1501,$X5)&amp;"")</f>
        <v/>
      </c>
      <c r="M5" s="7">
        <f>IF($X5="","",SUMIFS('Per Line'!$U$2:$U$1501,'Per Line'!$AJ$2:$AJ$1501,$A5&amp;"|"&amp;$C5,'Per Line'!$AN$2:$AN$1501,1))</f>
        <v/>
      </c>
      <c r="N5">
        <f>IF($X5="","",Settings!$C$7)</f>
        <v/>
      </c>
      <c r="O5" s="7">
        <f>IF($X5="","",SUMIFS('Per Line'!$U$2:$U$1501,'Per Line'!$AJ$2:$AJ$1501,$A5&amp;"|"&amp;$C5,'Per Line'!$AM$2:$AM$1501,0,'Per Line'!$AN$2:$AN$1501,0))</f>
        <v/>
      </c>
      <c r="P5" s="7">
        <f>IF($X5="","",O5*N5)</f>
        <v/>
      </c>
      <c r="Q5">
        <f>IF($X5="","",Settings!$C$6)</f>
        <v/>
      </c>
      <c r="R5" s="7">
        <f>IF($X5="","",SUMIFS('Per Line'!$U$2:$U$1501,'Per Line'!$AJ$2:$AJ$1501,$A5&amp;"|"&amp;$C5,'Per Line'!$AM$2:$AM$1501,1,'Per Line'!$AN$2:$AN$1501,0))</f>
        <v/>
      </c>
      <c r="S5" s="7">
        <f>IF($X5="","",R5*Q5)</f>
        <v/>
      </c>
      <c r="T5" s="7">
        <f>IF($X5="","",S5+P5)</f>
        <v/>
      </c>
      <c r="U5" s="7">
        <f>IF($X5="","",V5-T5)</f>
        <v/>
      </c>
      <c r="V5" s="7">
        <f>IF($X5="","",O5+R5+M5)</f>
        <v/>
      </c>
      <c r="W5" s="7">
        <f>IF($X5="","",V5-T5-K5)</f>
        <v/>
      </c>
      <c r="X5" s="13">
        <f>IF(ROWS($X$2:$X5)&lt;=MAX('Per Line'!$AL$2:$AL$1501),MATCH(ROWS($X$2:$X5),'Per Line'!$AL$2:$AL$1501,0),"")</f>
        <v/>
      </c>
    </row>
    <row r="6">
      <c r="A6">
        <f>IF($X6="","",INDEX('Per Line'!$C$2:$C$1501,$X6)&amp;"")</f>
        <v/>
      </c>
      <c r="B6" s="12" t="n"/>
      <c r="C6">
        <f>IF($X6="","",INDEX('Per Line'!$D$2:$D$1501,$X6)&amp;"")</f>
        <v/>
      </c>
      <c r="D6">
        <f>IF($X6="","",INDEX('Per Line'!$A$2:$A$1501,$X6))</f>
        <v/>
      </c>
      <c r="E6">
        <f>IF($X6="","",INDEX('Per Line'!$G$2:$G$1501,$X6)&amp;"")</f>
        <v/>
      </c>
      <c r="F6" s="11">
        <f>IF($X6="","",INDEX('Per Line'!$F$2:$F$1501,$X6))</f>
        <v/>
      </c>
      <c r="G6">
        <f>IF($X6="","",INDEX('Per Line'!$I$2:$I$1501,$X6)&amp;"")</f>
        <v/>
      </c>
      <c r="H6">
        <f>IF($X6="","",INDEX('Per Line'!$J$2:$J$1501,$X6)&amp;"")</f>
        <v/>
      </c>
      <c r="I6">
        <f>IF($X6="","",INDEX('Per Line'!$K$2:$K$1501,$X6)&amp;"")</f>
        <v/>
      </c>
      <c r="J6">
        <f>IF($X6="","",INDEX('Per Line'!$M$2:$M$1501,$X6))</f>
        <v/>
      </c>
      <c r="K6" s="7">
        <f>IF($X6="","",J6*V6/100)</f>
        <v/>
      </c>
      <c r="L6">
        <f>IF($X6="","",INDEX('Per Line'!$Y$2:$Y$1501,$X6)&amp;"")</f>
        <v/>
      </c>
      <c r="M6" s="7">
        <f>IF($X6="","",SUMIFS('Per Line'!$U$2:$U$1501,'Per Line'!$AJ$2:$AJ$1501,$A6&amp;"|"&amp;$C6,'Per Line'!$AN$2:$AN$1501,1))</f>
        <v/>
      </c>
      <c r="N6">
        <f>IF($X6="","",Settings!$C$7)</f>
        <v/>
      </c>
      <c r="O6" s="7">
        <f>IF($X6="","",SUMIFS('Per Line'!$U$2:$U$1501,'Per Line'!$AJ$2:$AJ$1501,$A6&amp;"|"&amp;$C6,'Per Line'!$AM$2:$AM$1501,0,'Per Line'!$AN$2:$AN$1501,0))</f>
        <v/>
      </c>
      <c r="P6" s="7">
        <f>IF($X6="","",O6*N6)</f>
        <v/>
      </c>
      <c r="Q6">
        <f>IF($X6="","",Settings!$C$6)</f>
        <v/>
      </c>
      <c r="R6" s="7">
        <f>IF($X6="","",SUMIFS('Per Line'!$U$2:$U$1501,'Per Line'!$AJ$2:$AJ$1501,$A6&amp;"|"&amp;$C6,'Per Line'!$AM$2:$AM$1501,1,'Per Line'!$AN$2:$AN$1501,0))</f>
        <v/>
      </c>
      <c r="S6" s="7">
        <f>IF($X6="","",R6*Q6)</f>
        <v/>
      </c>
      <c r="T6" s="7">
        <f>IF($X6="","",S6+P6)</f>
        <v/>
      </c>
      <c r="U6" s="7">
        <f>IF($X6="","",V6-T6)</f>
        <v/>
      </c>
      <c r="V6" s="7">
        <f>IF($X6="","",O6+R6+M6)</f>
        <v/>
      </c>
      <c r="W6" s="7">
        <f>IF($X6="","",V6-T6-K6)</f>
        <v/>
      </c>
      <c r="X6" s="13">
        <f>IF(ROWS($X$2:$X6)&lt;=MAX('Per Line'!$AL$2:$AL$1501),MATCH(ROWS($X$2:$X6),'Per Line'!$AL$2:$AL$1501,0),"")</f>
        <v/>
      </c>
    </row>
    <row r="7">
      <c r="A7">
        <f>IF($X7="","",INDEX('Per Line'!$C$2:$C$1501,$X7)&amp;"")</f>
        <v/>
      </c>
      <c r="B7" s="12" t="n"/>
      <c r="C7">
        <f>IF($X7="","",INDEX('Per Line'!$D$2:$D$1501,$X7)&amp;"")</f>
        <v/>
      </c>
      <c r="D7">
        <f>IF($X7="","",INDEX('Per Line'!$A$2:$A$1501,$X7))</f>
        <v/>
      </c>
      <c r="E7">
        <f>IF($X7="","",INDEX('Per Line'!$G$2:$G$1501,$X7)&amp;"")</f>
        <v/>
      </c>
      <c r="F7" s="11">
        <f>IF($X7="","",INDEX('Per Line'!$F$2:$F$1501,$X7))</f>
        <v/>
      </c>
      <c r="G7">
        <f>IF($X7="","",INDEX('Per Line'!$I$2:$I$1501,$X7)&amp;"")</f>
        <v/>
      </c>
      <c r="H7">
        <f>IF($X7="","",INDEX('Per Line'!$J$2:$J$1501,$X7)&amp;"")</f>
        <v/>
      </c>
      <c r="I7">
        <f>IF($X7="","",INDEX('Per Line'!$K$2:$K$1501,$X7)&amp;"")</f>
        <v/>
      </c>
      <c r="J7">
        <f>IF($X7="","",INDEX('Per Line'!$M$2:$M$1501,$X7))</f>
        <v/>
      </c>
      <c r="K7" s="7">
        <f>IF($X7="","",J7*V7/100)</f>
        <v/>
      </c>
      <c r="L7">
        <f>IF($X7="","",INDEX('Per Line'!$Y$2:$Y$1501,$X7)&amp;"")</f>
        <v/>
      </c>
      <c r="M7" s="7">
        <f>IF($X7="","",SUMIFS('Per Line'!$U$2:$U$1501,'Per Line'!$AJ$2:$AJ$1501,$A7&amp;"|"&amp;$C7,'Per Line'!$AN$2:$AN$1501,1))</f>
        <v/>
      </c>
      <c r="N7">
        <f>IF($X7="","",Settings!$C$7)</f>
        <v/>
      </c>
      <c r="O7" s="7">
        <f>IF($X7="","",SUMIFS('Per Line'!$U$2:$U$1501,'Per Line'!$AJ$2:$AJ$1501,$A7&amp;"|"&amp;$C7,'Per Line'!$AM$2:$AM$1501,0,'Per Line'!$AN$2:$AN$1501,0))</f>
        <v/>
      </c>
      <c r="P7" s="7">
        <f>IF($X7="","",O7*N7)</f>
        <v/>
      </c>
      <c r="Q7">
        <f>IF($X7="","",Settings!$C$6)</f>
        <v/>
      </c>
      <c r="R7" s="7">
        <f>IF($X7="","",SUMIFS('Per Line'!$U$2:$U$1501,'Per Line'!$AJ$2:$AJ$1501,$A7&amp;"|"&amp;$C7,'Per Line'!$AM$2:$AM$1501,1,'Per Line'!$AN$2:$AN$1501,0))</f>
        <v/>
      </c>
      <c r="S7" s="7">
        <f>IF($X7="","",R7*Q7)</f>
        <v/>
      </c>
      <c r="T7" s="7">
        <f>IF($X7="","",S7+P7)</f>
        <v/>
      </c>
      <c r="U7" s="7">
        <f>IF($X7="","",V7-T7)</f>
        <v/>
      </c>
      <c r="V7" s="7">
        <f>IF($X7="","",O7+R7+M7)</f>
        <v/>
      </c>
      <c r="W7" s="7">
        <f>IF($X7="","",V7-T7-K7)</f>
        <v/>
      </c>
      <c r="X7" s="13">
        <f>IF(ROWS($X$2:$X7)&lt;=MAX('Per Line'!$AL$2:$AL$1501),MATCH(ROWS($X$2:$X7),'Per Line'!$AL$2:$AL$1501,0),"")</f>
        <v/>
      </c>
    </row>
    <row r="8">
      <c r="A8">
        <f>IF($X8="","",INDEX('Per Line'!$C$2:$C$1501,$X8)&amp;"")</f>
        <v/>
      </c>
      <c r="B8" s="12" t="n"/>
      <c r="C8">
        <f>IF($X8="","",INDEX('Per Line'!$D$2:$D$1501,$X8)&amp;"")</f>
        <v/>
      </c>
      <c r="D8">
        <f>IF($X8="","",INDEX('Per Line'!$A$2:$A$1501,$X8))</f>
        <v/>
      </c>
      <c r="E8">
        <f>IF($X8="","",INDEX('Per Line'!$G$2:$G$1501,$X8)&amp;"")</f>
        <v/>
      </c>
      <c r="F8" s="11">
        <f>IF($X8="","",INDEX('Per Line'!$F$2:$F$1501,$X8))</f>
        <v/>
      </c>
      <c r="G8">
        <f>IF($X8="","",INDEX('Per Line'!$I$2:$I$1501,$X8)&amp;"")</f>
        <v/>
      </c>
      <c r="H8">
        <f>IF($X8="","",INDEX('Per Line'!$J$2:$J$1501,$X8)&amp;"")</f>
        <v/>
      </c>
      <c r="I8">
        <f>IF($X8="","",INDEX('Per Line'!$K$2:$K$1501,$X8)&amp;"")</f>
        <v/>
      </c>
      <c r="J8">
        <f>IF($X8="","",INDEX('Per Line'!$M$2:$M$1501,$X8))</f>
        <v/>
      </c>
      <c r="K8" s="7">
        <f>IF($X8="","",J8*V8/100)</f>
        <v/>
      </c>
      <c r="L8">
        <f>IF($X8="","",INDEX('Per Line'!$Y$2:$Y$1501,$X8)&amp;"")</f>
        <v/>
      </c>
      <c r="M8" s="7">
        <f>IF($X8="","",SUMIFS('Per Line'!$U$2:$U$1501,'Per Line'!$AJ$2:$AJ$1501,$A8&amp;"|"&amp;$C8,'Per Line'!$AN$2:$AN$1501,1))</f>
        <v/>
      </c>
      <c r="N8">
        <f>IF($X8="","",Settings!$C$7)</f>
        <v/>
      </c>
      <c r="O8" s="7">
        <f>IF($X8="","",SUMIFS('Per Line'!$U$2:$U$1501,'Per Line'!$AJ$2:$AJ$1501,$A8&amp;"|"&amp;$C8,'Per Line'!$AM$2:$AM$1501,0,'Per Line'!$AN$2:$AN$1501,0))</f>
        <v/>
      </c>
      <c r="P8" s="7">
        <f>IF($X8="","",O8*N8)</f>
        <v/>
      </c>
      <c r="Q8">
        <f>IF($X8="","",Settings!$C$6)</f>
        <v/>
      </c>
      <c r="R8" s="7">
        <f>IF($X8="","",SUMIFS('Per Line'!$U$2:$U$1501,'Per Line'!$AJ$2:$AJ$1501,$A8&amp;"|"&amp;$C8,'Per Line'!$AM$2:$AM$1501,1,'Per Line'!$AN$2:$AN$1501,0))</f>
        <v/>
      </c>
      <c r="S8" s="7">
        <f>IF($X8="","",R8*Q8)</f>
        <v/>
      </c>
      <c r="T8" s="7">
        <f>IF($X8="","",S8+P8)</f>
        <v/>
      </c>
      <c r="U8" s="7">
        <f>IF($X8="","",V8-T8)</f>
        <v/>
      </c>
      <c r="V8" s="7">
        <f>IF($X8="","",O8+R8+M8)</f>
        <v/>
      </c>
      <c r="W8" s="7">
        <f>IF($X8="","",V8-T8-K8)</f>
        <v/>
      </c>
      <c r="X8" s="13">
        <f>IF(ROWS($X$2:$X8)&lt;=MAX('Per Line'!$AL$2:$AL$1501),MATCH(ROWS($X$2:$X8),'Per Line'!$AL$2:$AL$1501,0),"")</f>
        <v/>
      </c>
    </row>
    <row r="9">
      <c r="A9">
        <f>IF($X9="","",INDEX('Per Line'!$C$2:$C$1501,$X9)&amp;"")</f>
        <v/>
      </c>
      <c r="B9" s="12" t="n"/>
      <c r="C9">
        <f>IF($X9="","",INDEX('Per Line'!$D$2:$D$1501,$X9)&amp;"")</f>
        <v/>
      </c>
      <c r="D9">
        <f>IF($X9="","",INDEX('Per Line'!$A$2:$A$1501,$X9))</f>
        <v/>
      </c>
      <c r="E9">
        <f>IF($X9="","",INDEX('Per Line'!$G$2:$G$1501,$X9)&amp;"")</f>
        <v/>
      </c>
      <c r="F9" s="11">
        <f>IF($X9="","",INDEX('Per Line'!$F$2:$F$1501,$X9))</f>
        <v/>
      </c>
      <c r="G9">
        <f>IF($X9="","",INDEX('Per Line'!$I$2:$I$1501,$X9)&amp;"")</f>
        <v/>
      </c>
      <c r="H9">
        <f>IF($X9="","",INDEX('Per Line'!$J$2:$J$1501,$X9)&amp;"")</f>
        <v/>
      </c>
      <c r="I9">
        <f>IF($X9="","",INDEX('Per Line'!$K$2:$K$1501,$X9)&amp;"")</f>
        <v/>
      </c>
      <c r="J9">
        <f>IF($X9="","",INDEX('Per Line'!$M$2:$M$1501,$X9))</f>
        <v/>
      </c>
      <c r="K9" s="7">
        <f>IF($X9="","",J9*V9/100)</f>
        <v/>
      </c>
      <c r="L9">
        <f>IF($X9="","",INDEX('Per Line'!$Y$2:$Y$1501,$X9)&amp;"")</f>
        <v/>
      </c>
      <c r="M9" s="7">
        <f>IF($X9="","",SUMIFS('Per Line'!$U$2:$U$1501,'Per Line'!$AJ$2:$AJ$1501,$A9&amp;"|"&amp;$C9,'Per Line'!$AN$2:$AN$1501,1))</f>
        <v/>
      </c>
      <c r="N9">
        <f>IF($X9="","",Settings!$C$7)</f>
        <v/>
      </c>
      <c r="O9" s="7">
        <f>IF($X9="","",SUMIFS('Per Line'!$U$2:$U$1501,'Per Line'!$AJ$2:$AJ$1501,$A9&amp;"|"&amp;$C9,'Per Line'!$AM$2:$AM$1501,0,'Per Line'!$AN$2:$AN$1501,0))</f>
        <v/>
      </c>
      <c r="P9" s="7">
        <f>IF($X9="","",O9*N9)</f>
        <v/>
      </c>
      <c r="Q9">
        <f>IF($X9="","",Settings!$C$6)</f>
        <v/>
      </c>
      <c r="R9" s="7">
        <f>IF($X9="","",SUMIFS('Per Line'!$U$2:$U$1501,'Per Line'!$AJ$2:$AJ$1501,$A9&amp;"|"&amp;$C9,'Per Line'!$AM$2:$AM$1501,1,'Per Line'!$AN$2:$AN$1501,0))</f>
        <v/>
      </c>
      <c r="S9" s="7">
        <f>IF($X9="","",R9*Q9)</f>
        <v/>
      </c>
      <c r="T9" s="7">
        <f>IF($X9="","",S9+P9)</f>
        <v/>
      </c>
      <c r="U9" s="7">
        <f>IF($X9="","",V9-T9)</f>
        <v/>
      </c>
      <c r="V9" s="7">
        <f>IF($X9="","",O9+R9+M9)</f>
        <v/>
      </c>
      <c r="W9" s="7">
        <f>IF($X9="","",V9-T9-K9)</f>
        <v/>
      </c>
      <c r="X9" s="13">
        <f>IF(ROWS($X$2:$X9)&lt;=MAX('Per Line'!$AL$2:$AL$1501),MATCH(ROWS($X$2:$X9),'Per Line'!$AL$2:$AL$1501,0),"")</f>
        <v/>
      </c>
    </row>
    <row r="10">
      <c r="A10">
        <f>IF($X10="","",INDEX('Per Line'!$C$2:$C$1501,$X10)&amp;"")</f>
        <v/>
      </c>
      <c r="B10" s="12" t="n"/>
      <c r="C10">
        <f>IF($X10="","",INDEX('Per Line'!$D$2:$D$1501,$X10)&amp;"")</f>
        <v/>
      </c>
      <c r="D10">
        <f>IF($X10="","",INDEX('Per Line'!$A$2:$A$1501,$X10))</f>
        <v/>
      </c>
      <c r="E10">
        <f>IF($X10="","",INDEX('Per Line'!$G$2:$G$1501,$X10)&amp;"")</f>
        <v/>
      </c>
      <c r="F10" s="11">
        <f>IF($X10="","",INDEX('Per Line'!$F$2:$F$1501,$X10))</f>
        <v/>
      </c>
      <c r="G10">
        <f>IF($X10="","",INDEX('Per Line'!$I$2:$I$1501,$X10)&amp;"")</f>
        <v/>
      </c>
      <c r="H10">
        <f>IF($X10="","",INDEX('Per Line'!$J$2:$J$1501,$X10)&amp;"")</f>
        <v/>
      </c>
      <c r="I10">
        <f>IF($X10="","",INDEX('Per Line'!$K$2:$K$1501,$X10)&amp;"")</f>
        <v/>
      </c>
      <c r="J10">
        <f>IF($X10="","",INDEX('Per Line'!$M$2:$M$1501,$X10))</f>
        <v/>
      </c>
      <c r="K10" s="7">
        <f>IF($X10="","",J10*V10/100)</f>
        <v/>
      </c>
      <c r="L10">
        <f>IF($X10="","",INDEX('Per Line'!$Y$2:$Y$1501,$X10)&amp;"")</f>
        <v/>
      </c>
      <c r="M10" s="7">
        <f>IF($X10="","",SUMIFS('Per Line'!$U$2:$U$1501,'Per Line'!$AJ$2:$AJ$1501,$A10&amp;"|"&amp;$C10,'Per Line'!$AN$2:$AN$1501,1))</f>
        <v/>
      </c>
      <c r="N10">
        <f>IF($X10="","",Settings!$C$7)</f>
        <v/>
      </c>
      <c r="O10" s="7">
        <f>IF($X10="","",SUMIFS('Per Line'!$U$2:$U$1501,'Per Line'!$AJ$2:$AJ$1501,$A10&amp;"|"&amp;$C10,'Per Line'!$AM$2:$AM$1501,0,'Per Line'!$AN$2:$AN$1501,0))</f>
        <v/>
      </c>
      <c r="P10" s="7">
        <f>IF($X10="","",O10*N10)</f>
        <v/>
      </c>
      <c r="Q10">
        <f>IF($X10="","",Settings!$C$6)</f>
        <v/>
      </c>
      <c r="R10" s="7">
        <f>IF($X10="","",SUMIFS('Per Line'!$U$2:$U$1501,'Per Line'!$AJ$2:$AJ$1501,$A10&amp;"|"&amp;$C10,'Per Line'!$AM$2:$AM$1501,1,'Per Line'!$AN$2:$AN$1501,0))</f>
        <v/>
      </c>
      <c r="S10" s="7">
        <f>IF($X10="","",R10*Q10)</f>
        <v/>
      </c>
      <c r="T10" s="7">
        <f>IF($X10="","",S10+P10)</f>
        <v/>
      </c>
      <c r="U10" s="7">
        <f>IF($X10="","",V10-T10)</f>
        <v/>
      </c>
      <c r="V10" s="7">
        <f>IF($X10="","",O10+R10+M10)</f>
        <v/>
      </c>
      <c r="W10" s="7">
        <f>IF($X10="","",V10-T10-K10)</f>
        <v/>
      </c>
      <c r="X10" s="13">
        <f>IF(ROWS($X$2:$X10)&lt;=MAX('Per Line'!$AL$2:$AL$1501),MATCH(ROWS($X$2:$X10),'Per Line'!$AL$2:$AL$1501,0),"")</f>
        <v/>
      </c>
    </row>
    <row r="11">
      <c r="A11">
        <f>IF($X11="","",INDEX('Per Line'!$C$2:$C$1501,$X11)&amp;"")</f>
        <v/>
      </c>
      <c r="B11" s="12" t="n"/>
      <c r="C11">
        <f>IF($X11="","",INDEX('Per Line'!$D$2:$D$1501,$X11)&amp;"")</f>
        <v/>
      </c>
      <c r="D11">
        <f>IF($X11="","",INDEX('Per Line'!$A$2:$A$1501,$X11))</f>
        <v/>
      </c>
      <c r="E11">
        <f>IF($X11="","",INDEX('Per Line'!$G$2:$G$1501,$X11)&amp;"")</f>
        <v/>
      </c>
      <c r="F11" s="11">
        <f>IF($X11="","",INDEX('Per Line'!$F$2:$F$1501,$X11))</f>
        <v/>
      </c>
      <c r="G11">
        <f>IF($X11="","",INDEX('Per Line'!$I$2:$I$1501,$X11)&amp;"")</f>
        <v/>
      </c>
      <c r="H11">
        <f>IF($X11="","",INDEX('Per Line'!$J$2:$J$1501,$X11)&amp;"")</f>
        <v/>
      </c>
      <c r="I11">
        <f>IF($X11="","",INDEX('Per Line'!$K$2:$K$1501,$X11)&amp;"")</f>
        <v/>
      </c>
      <c r="J11">
        <f>IF($X11="","",INDEX('Per Line'!$M$2:$M$1501,$X11))</f>
        <v/>
      </c>
      <c r="K11" s="7">
        <f>IF($X11="","",J11*V11/100)</f>
        <v/>
      </c>
      <c r="L11">
        <f>IF($X11="","",INDEX('Per Line'!$Y$2:$Y$1501,$X11)&amp;"")</f>
        <v/>
      </c>
      <c r="M11" s="7">
        <f>IF($X11="","",SUMIFS('Per Line'!$U$2:$U$1501,'Per Line'!$AJ$2:$AJ$1501,$A11&amp;"|"&amp;$C11,'Per Line'!$AN$2:$AN$1501,1))</f>
        <v/>
      </c>
      <c r="N11">
        <f>IF($X11="","",Settings!$C$7)</f>
        <v/>
      </c>
      <c r="O11" s="7">
        <f>IF($X11="","",SUMIFS('Per Line'!$U$2:$U$1501,'Per Line'!$AJ$2:$AJ$1501,$A11&amp;"|"&amp;$C11,'Per Line'!$AM$2:$AM$1501,0,'Per Line'!$AN$2:$AN$1501,0))</f>
        <v/>
      </c>
      <c r="P11" s="7">
        <f>IF($X11="","",O11*N11)</f>
        <v/>
      </c>
      <c r="Q11">
        <f>IF($X11="","",Settings!$C$6)</f>
        <v/>
      </c>
      <c r="R11" s="7">
        <f>IF($X11="","",SUMIFS('Per Line'!$U$2:$U$1501,'Per Line'!$AJ$2:$AJ$1501,$A11&amp;"|"&amp;$C11,'Per Line'!$AM$2:$AM$1501,1,'Per Line'!$AN$2:$AN$1501,0))</f>
        <v/>
      </c>
      <c r="S11" s="7">
        <f>IF($X11="","",R11*Q11)</f>
        <v/>
      </c>
      <c r="T11" s="7">
        <f>IF($X11="","",S11+P11)</f>
        <v/>
      </c>
      <c r="U11" s="7">
        <f>IF($X11="","",V11-T11)</f>
        <v/>
      </c>
      <c r="V11" s="7">
        <f>IF($X11="","",O11+R11+M11)</f>
        <v/>
      </c>
      <c r="W11" s="7">
        <f>IF($X11="","",V11-T11-K11)</f>
        <v/>
      </c>
      <c r="X11" s="13">
        <f>IF(ROWS($X$2:$X11)&lt;=MAX('Per Line'!$AL$2:$AL$1501),MATCH(ROWS($X$2:$X11),'Per Line'!$AL$2:$AL$1501,0),"")</f>
        <v/>
      </c>
    </row>
    <row r="12">
      <c r="A12">
        <f>IF($X12="","",INDEX('Per Line'!$C$2:$C$1501,$X12)&amp;"")</f>
        <v/>
      </c>
      <c r="B12" s="12" t="n"/>
      <c r="C12">
        <f>IF($X12="","",INDEX('Per Line'!$D$2:$D$1501,$X12)&amp;"")</f>
        <v/>
      </c>
      <c r="D12">
        <f>IF($X12="","",INDEX('Per Line'!$A$2:$A$1501,$X12))</f>
        <v/>
      </c>
      <c r="E12">
        <f>IF($X12="","",INDEX('Per Line'!$G$2:$G$1501,$X12)&amp;"")</f>
        <v/>
      </c>
      <c r="F12" s="11">
        <f>IF($X12="","",INDEX('Per Line'!$F$2:$F$1501,$X12))</f>
        <v/>
      </c>
      <c r="G12">
        <f>IF($X12="","",INDEX('Per Line'!$I$2:$I$1501,$X12)&amp;"")</f>
        <v/>
      </c>
      <c r="H12">
        <f>IF($X12="","",INDEX('Per Line'!$J$2:$J$1501,$X12)&amp;"")</f>
        <v/>
      </c>
      <c r="I12">
        <f>IF($X12="","",INDEX('Per Line'!$K$2:$K$1501,$X12)&amp;"")</f>
        <v/>
      </c>
      <c r="J12">
        <f>IF($X12="","",INDEX('Per Line'!$M$2:$M$1501,$X12))</f>
        <v/>
      </c>
      <c r="K12" s="7">
        <f>IF($X12="","",J12*V12/100)</f>
        <v/>
      </c>
      <c r="L12">
        <f>IF($X12="","",INDEX('Per Line'!$Y$2:$Y$1501,$X12)&amp;"")</f>
        <v/>
      </c>
      <c r="M12" s="7">
        <f>IF($X12="","",SUMIFS('Per Line'!$U$2:$U$1501,'Per Line'!$AJ$2:$AJ$1501,$A12&amp;"|"&amp;$C12,'Per Line'!$AN$2:$AN$1501,1))</f>
        <v/>
      </c>
      <c r="N12">
        <f>IF($X12="","",Settings!$C$7)</f>
        <v/>
      </c>
      <c r="O12" s="7">
        <f>IF($X12="","",SUMIFS('Per Line'!$U$2:$U$1501,'Per Line'!$AJ$2:$AJ$1501,$A12&amp;"|"&amp;$C12,'Per Line'!$AM$2:$AM$1501,0,'Per Line'!$AN$2:$AN$1501,0))</f>
        <v/>
      </c>
      <c r="P12" s="7">
        <f>IF($X12="","",O12*N12)</f>
        <v/>
      </c>
      <c r="Q12">
        <f>IF($X12="","",Settings!$C$6)</f>
        <v/>
      </c>
      <c r="R12" s="7">
        <f>IF($X12="","",SUMIFS('Per Line'!$U$2:$U$1501,'Per Line'!$AJ$2:$AJ$1501,$A12&amp;"|"&amp;$C12,'Per Line'!$AM$2:$AM$1501,1,'Per Line'!$AN$2:$AN$1501,0))</f>
        <v/>
      </c>
      <c r="S12" s="7">
        <f>IF($X12="","",R12*Q12)</f>
        <v/>
      </c>
      <c r="T12" s="7">
        <f>IF($X12="","",S12+P12)</f>
        <v/>
      </c>
      <c r="U12" s="7">
        <f>IF($X12="","",V12-T12)</f>
        <v/>
      </c>
      <c r="V12" s="7">
        <f>IF($X12="","",O12+R12+M12)</f>
        <v/>
      </c>
      <c r="W12" s="7">
        <f>IF($X12="","",V12-T12-K12)</f>
        <v/>
      </c>
      <c r="X12" s="13">
        <f>IF(ROWS($X$2:$X12)&lt;=MAX('Per Line'!$AL$2:$AL$1501),MATCH(ROWS($X$2:$X12),'Per Line'!$AL$2:$AL$1501,0),"")</f>
        <v/>
      </c>
    </row>
    <row r="13">
      <c r="A13">
        <f>IF($X13="","",INDEX('Per Line'!$C$2:$C$1501,$X13)&amp;"")</f>
        <v/>
      </c>
      <c r="B13" s="12" t="n"/>
      <c r="C13">
        <f>IF($X13="","",INDEX('Per Line'!$D$2:$D$1501,$X13)&amp;"")</f>
        <v/>
      </c>
      <c r="D13">
        <f>IF($X13="","",INDEX('Per Line'!$A$2:$A$1501,$X13))</f>
        <v/>
      </c>
      <c r="E13">
        <f>IF($X13="","",INDEX('Per Line'!$G$2:$G$1501,$X13)&amp;"")</f>
        <v/>
      </c>
      <c r="F13" s="11">
        <f>IF($X13="","",INDEX('Per Line'!$F$2:$F$1501,$X13))</f>
        <v/>
      </c>
      <c r="G13">
        <f>IF($X13="","",INDEX('Per Line'!$I$2:$I$1501,$X13)&amp;"")</f>
        <v/>
      </c>
      <c r="H13">
        <f>IF($X13="","",INDEX('Per Line'!$J$2:$J$1501,$X13)&amp;"")</f>
        <v/>
      </c>
      <c r="I13">
        <f>IF($X13="","",INDEX('Per Line'!$K$2:$K$1501,$X13)&amp;"")</f>
        <v/>
      </c>
      <c r="J13">
        <f>IF($X13="","",INDEX('Per Line'!$M$2:$M$1501,$X13))</f>
        <v/>
      </c>
      <c r="K13" s="7">
        <f>IF($X13="","",J13*V13/100)</f>
        <v/>
      </c>
      <c r="L13">
        <f>IF($X13="","",INDEX('Per Line'!$Y$2:$Y$1501,$X13)&amp;"")</f>
        <v/>
      </c>
      <c r="M13" s="7">
        <f>IF($X13="","",SUMIFS('Per Line'!$U$2:$U$1501,'Per Line'!$AJ$2:$AJ$1501,$A13&amp;"|"&amp;$C13,'Per Line'!$AN$2:$AN$1501,1))</f>
        <v/>
      </c>
      <c r="N13">
        <f>IF($X13="","",Settings!$C$7)</f>
        <v/>
      </c>
      <c r="O13" s="7">
        <f>IF($X13="","",SUMIFS('Per Line'!$U$2:$U$1501,'Per Line'!$AJ$2:$AJ$1501,$A13&amp;"|"&amp;$C13,'Per Line'!$AM$2:$AM$1501,0,'Per Line'!$AN$2:$AN$1501,0))</f>
        <v/>
      </c>
      <c r="P13" s="7">
        <f>IF($X13="","",O13*N13)</f>
        <v/>
      </c>
      <c r="Q13">
        <f>IF($X13="","",Settings!$C$6)</f>
        <v/>
      </c>
      <c r="R13" s="7">
        <f>IF($X13="","",SUMIFS('Per Line'!$U$2:$U$1501,'Per Line'!$AJ$2:$AJ$1501,$A13&amp;"|"&amp;$C13,'Per Line'!$AM$2:$AM$1501,1,'Per Line'!$AN$2:$AN$1501,0))</f>
        <v/>
      </c>
      <c r="S13" s="7">
        <f>IF($X13="","",R13*Q13)</f>
        <v/>
      </c>
      <c r="T13" s="7">
        <f>IF($X13="","",S13+P13)</f>
        <v/>
      </c>
      <c r="U13" s="7">
        <f>IF($X13="","",V13-T13)</f>
        <v/>
      </c>
      <c r="V13" s="7">
        <f>IF($X13="","",O13+R13+M13)</f>
        <v/>
      </c>
      <c r="W13" s="7">
        <f>IF($X13="","",V13-T13-K13)</f>
        <v/>
      </c>
      <c r="X13" s="13">
        <f>IF(ROWS($X$2:$X13)&lt;=MAX('Per Line'!$AL$2:$AL$1501),MATCH(ROWS($X$2:$X13),'Per Line'!$AL$2:$AL$1501,0),"")</f>
        <v/>
      </c>
    </row>
    <row r="14">
      <c r="A14">
        <f>IF($X14="","",INDEX('Per Line'!$C$2:$C$1501,$X14)&amp;"")</f>
        <v/>
      </c>
      <c r="B14" s="12" t="n"/>
      <c r="C14">
        <f>IF($X14="","",INDEX('Per Line'!$D$2:$D$1501,$X14)&amp;"")</f>
        <v/>
      </c>
      <c r="D14">
        <f>IF($X14="","",INDEX('Per Line'!$A$2:$A$1501,$X14))</f>
        <v/>
      </c>
      <c r="E14">
        <f>IF($X14="","",INDEX('Per Line'!$G$2:$G$1501,$X14)&amp;"")</f>
        <v/>
      </c>
      <c r="F14" s="11">
        <f>IF($X14="","",INDEX('Per Line'!$F$2:$F$1501,$X14))</f>
        <v/>
      </c>
      <c r="G14">
        <f>IF($X14="","",INDEX('Per Line'!$I$2:$I$1501,$X14)&amp;"")</f>
        <v/>
      </c>
      <c r="H14">
        <f>IF($X14="","",INDEX('Per Line'!$J$2:$J$1501,$X14)&amp;"")</f>
        <v/>
      </c>
      <c r="I14">
        <f>IF($X14="","",INDEX('Per Line'!$K$2:$K$1501,$X14)&amp;"")</f>
        <v/>
      </c>
      <c r="J14">
        <f>IF($X14="","",INDEX('Per Line'!$M$2:$M$1501,$X14))</f>
        <v/>
      </c>
      <c r="K14" s="7">
        <f>IF($X14="","",J14*V14/100)</f>
        <v/>
      </c>
      <c r="L14">
        <f>IF($X14="","",INDEX('Per Line'!$Y$2:$Y$1501,$X14)&amp;"")</f>
        <v/>
      </c>
      <c r="M14" s="7">
        <f>IF($X14="","",SUMIFS('Per Line'!$U$2:$U$1501,'Per Line'!$AJ$2:$AJ$1501,$A14&amp;"|"&amp;$C14,'Per Line'!$AN$2:$AN$1501,1))</f>
        <v/>
      </c>
      <c r="N14">
        <f>IF($X14="","",Settings!$C$7)</f>
        <v/>
      </c>
      <c r="O14" s="7">
        <f>IF($X14="","",SUMIFS('Per Line'!$U$2:$U$1501,'Per Line'!$AJ$2:$AJ$1501,$A14&amp;"|"&amp;$C14,'Per Line'!$AM$2:$AM$1501,0,'Per Line'!$AN$2:$AN$1501,0))</f>
        <v/>
      </c>
      <c r="P14" s="7">
        <f>IF($X14="","",O14*N14)</f>
        <v/>
      </c>
      <c r="Q14">
        <f>IF($X14="","",Settings!$C$6)</f>
        <v/>
      </c>
      <c r="R14" s="7">
        <f>IF($X14="","",SUMIFS('Per Line'!$U$2:$U$1501,'Per Line'!$AJ$2:$AJ$1501,$A14&amp;"|"&amp;$C14,'Per Line'!$AM$2:$AM$1501,1,'Per Line'!$AN$2:$AN$1501,0))</f>
        <v/>
      </c>
      <c r="S14" s="7">
        <f>IF($X14="","",R14*Q14)</f>
        <v/>
      </c>
      <c r="T14" s="7">
        <f>IF($X14="","",S14+P14)</f>
        <v/>
      </c>
      <c r="U14" s="7">
        <f>IF($X14="","",V14-T14)</f>
        <v/>
      </c>
      <c r="V14" s="7">
        <f>IF($X14="","",O14+R14+M14)</f>
        <v/>
      </c>
      <c r="W14" s="7">
        <f>IF($X14="","",V14-T14-K14)</f>
        <v/>
      </c>
      <c r="X14" s="13">
        <f>IF(ROWS($X$2:$X14)&lt;=MAX('Per Line'!$AL$2:$AL$1501),MATCH(ROWS($X$2:$X14),'Per Line'!$AL$2:$AL$1501,0),"")</f>
        <v/>
      </c>
    </row>
    <row r="15">
      <c r="A15">
        <f>IF($X15="","",INDEX('Per Line'!$C$2:$C$1501,$X15)&amp;"")</f>
        <v/>
      </c>
      <c r="B15" s="12" t="n"/>
      <c r="C15">
        <f>IF($X15="","",INDEX('Per Line'!$D$2:$D$1501,$X15)&amp;"")</f>
        <v/>
      </c>
      <c r="D15">
        <f>IF($X15="","",INDEX('Per Line'!$A$2:$A$1501,$X15))</f>
        <v/>
      </c>
      <c r="E15">
        <f>IF($X15="","",INDEX('Per Line'!$G$2:$G$1501,$X15)&amp;"")</f>
        <v/>
      </c>
      <c r="F15" s="11">
        <f>IF($X15="","",INDEX('Per Line'!$F$2:$F$1501,$X15))</f>
        <v/>
      </c>
      <c r="G15">
        <f>IF($X15="","",INDEX('Per Line'!$I$2:$I$1501,$X15)&amp;"")</f>
        <v/>
      </c>
      <c r="H15">
        <f>IF($X15="","",INDEX('Per Line'!$J$2:$J$1501,$X15)&amp;"")</f>
        <v/>
      </c>
      <c r="I15">
        <f>IF($X15="","",INDEX('Per Line'!$K$2:$K$1501,$X15)&amp;"")</f>
        <v/>
      </c>
      <c r="J15">
        <f>IF($X15="","",INDEX('Per Line'!$M$2:$M$1501,$X15))</f>
        <v/>
      </c>
      <c r="K15" s="7">
        <f>IF($X15="","",J15*V15/100)</f>
        <v/>
      </c>
      <c r="L15">
        <f>IF($X15="","",INDEX('Per Line'!$Y$2:$Y$1501,$X15)&amp;"")</f>
        <v/>
      </c>
      <c r="M15" s="7">
        <f>IF($X15="","",SUMIFS('Per Line'!$U$2:$U$1501,'Per Line'!$AJ$2:$AJ$1501,$A15&amp;"|"&amp;$C15,'Per Line'!$AN$2:$AN$1501,1))</f>
        <v/>
      </c>
      <c r="N15">
        <f>IF($X15="","",Settings!$C$7)</f>
        <v/>
      </c>
      <c r="O15" s="7">
        <f>IF($X15="","",SUMIFS('Per Line'!$U$2:$U$1501,'Per Line'!$AJ$2:$AJ$1501,$A15&amp;"|"&amp;$C15,'Per Line'!$AM$2:$AM$1501,0,'Per Line'!$AN$2:$AN$1501,0))</f>
        <v/>
      </c>
      <c r="P15" s="7">
        <f>IF($X15="","",O15*N15)</f>
        <v/>
      </c>
      <c r="Q15">
        <f>IF($X15="","",Settings!$C$6)</f>
        <v/>
      </c>
      <c r="R15" s="7">
        <f>IF($X15="","",SUMIFS('Per Line'!$U$2:$U$1501,'Per Line'!$AJ$2:$AJ$1501,$A15&amp;"|"&amp;$C15,'Per Line'!$AM$2:$AM$1501,1,'Per Line'!$AN$2:$AN$1501,0))</f>
        <v/>
      </c>
      <c r="S15" s="7">
        <f>IF($X15="","",R15*Q15)</f>
        <v/>
      </c>
      <c r="T15" s="7">
        <f>IF($X15="","",S15+P15)</f>
        <v/>
      </c>
      <c r="U15" s="7">
        <f>IF($X15="","",V15-T15)</f>
        <v/>
      </c>
      <c r="V15" s="7">
        <f>IF($X15="","",O15+R15+M15)</f>
        <v/>
      </c>
      <c r="W15" s="7">
        <f>IF($X15="","",V15-T15-K15)</f>
        <v/>
      </c>
      <c r="X15" s="13">
        <f>IF(ROWS($X$2:$X15)&lt;=MAX('Per Line'!$AL$2:$AL$1501),MATCH(ROWS($X$2:$X15),'Per Line'!$AL$2:$AL$1501,0),"")</f>
        <v/>
      </c>
    </row>
    <row r="16">
      <c r="A16">
        <f>IF($X16="","",INDEX('Per Line'!$C$2:$C$1501,$X16)&amp;"")</f>
        <v/>
      </c>
      <c r="B16" s="12" t="n"/>
      <c r="C16">
        <f>IF($X16="","",INDEX('Per Line'!$D$2:$D$1501,$X16)&amp;"")</f>
        <v/>
      </c>
      <c r="D16">
        <f>IF($X16="","",INDEX('Per Line'!$A$2:$A$1501,$X16))</f>
        <v/>
      </c>
      <c r="E16">
        <f>IF($X16="","",INDEX('Per Line'!$G$2:$G$1501,$X16)&amp;"")</f>
        <v/>
      </c>
      <c r="F16" s="11">
        <f>IF($X16="","",INDEX('Per Line'!$F$2:$F$1501,$X16))</f>
        <v/>
      </c>
      <c r="G16">
        <f>IF($X16="","",INDEX('Per Line'!$I$2:$I$1501,$X16)&amp;"")</f>
        <v/>
      </c>
      <c r="H16">
        <f>IF($X16="","",INDEX('Per Line'!$J$2:$J$1501,$X16)&amp;"")</f>
        <v/>
      </c>
      <c r="I16">
        <f>IF($X16="","",INDEX('Per Line'!$K$2:$K$1501,$X16)&amp;"")</f>
        <v/>
      </c>
      <c r="J16">
        <f>IF($X16="","",INDEX('Per Line'!$M$2:$M$1501,$X16))</f>
        <v/>
      </c>
      <c r="K16" s="7">
        <f>IF($X16="","",J16*V16/100)</f>
        <v/>
      </c>
      <c r="L16">
        <f>IF($X16="","",INDEX('Per Line'!$Y$2:$Y$1501,$X16)&amp;"")</f>
        <v/>
      </c>
      <c r="M16" s="7">
        <f>IF($X16="","",SUMIFS('Per Line'!$U$2:$U$1501,'Per Line'!$AJ$2:$AJ$1501,$A16&amp;"|"&amp;$C16,'Per Line'!$AN$2:$AN$1501,1))</f>
        <v/>
      </c>
      <c r="N16">
        <f>IF($X16="","",Settings!$C$7)</f>
        <v/>
      </c>
      <c r="O16" s="7">
        <f>IF($X16="","",SUMIFS('Per Line'!$U$2:$U$1501,'Per Line'!$AJ$2:$AJ$1501,$A16&amp;"|"&amp;$C16,'Per Line'!$AM$2:$AM$1501,0,'Per Line'!$AN$2:$AN$1501,0))</f>
        <v/>
      </c>
      <c r="P16" s="7">
        <f>IF($X16="","",O16*N16)</f>
        <v/>
      </c>
      <c r="Q16">
        <f>IF($X16="","",Settings!$C$6)</f>
        <v/>
      </c>
      <c r="R16" s="7">
        <f>IF($X16="","",SUMIFS('Per Line'!$U$2:$U$1501,'Per Line'!$AJ$2:$AJ$1501,$A16&amp;"|"&amp;$C16,'Per Line'!$AM$2:$AM$1501,1,'Per Line'!$AN$2:$AN$1501,0))</f>
        <v/>
      </c>
      <c r="S16" s="7">
        <f>IF($X16="","",R16*Q16)</f>
        <v/>
      </c>
      <c r="T16" s="7">
        <f>IF($X16="","",S16+P16)</f>
        <v/>
      </c>
      <c r="U16" s="7">
        <f>IF($X16="","",V16-T16)</f>
        <v/>
      </c>
      <c r="V16" s="7">
        <f>IF($X16="","",O16+R16+M16)</f>
        <v/>
      </c>
      <c r="W16" s="7">
        <f>IF($X16="","",V16-T16-K16)</f>
        <v/>
      </c>
      <c r="X16" s="13">
        <f>IF(ROWS($X$2:$X16)&lt;=MAX('Per Line'!$AL$2:$AL$1501),MATCH(ROWS($X$2:$X16),'Per Line'!$AL$2:$AL$1501,0),"")</f>
        <v/>
      </c>
    </row>
    <row r="17">
      <c r="A17">
        <f>IF($X17="","",INDEX('Per Line'!$C$2:$C$1501,$X17)&amp;"")</f>
        <v/>
      </c>
      <c r="B17" s="12" t="n"/>
      <c r="C17">
        <f>IF($X17="","",INDEX('Per Line'!$D$2:$D$1501,$X17)&amp;"")</f>
        <v/>
      </c>
      <c r="D17">
        <f>IF($X17="","",INDEX('Per Line'!$A$2:$A$1501,$X17))</f>
        <v/>
      </c>
      <c r="E17">
        <f>IF($X17="","",INDEX('Per Line'!$G$2:$G$1501,$X17)&amp;"")</f>
        <v/>
      </c>
      <c r="F17" s="11">
        <f>IF($X17="","",INDEX('Per Line'!$F$2:$F$1501,$X17))</f>
        <v/>
      </c>
      <c r="G17">
        <f>IF($X17="","",INDEX('Per Line'!$I$2:$I$1501,$X17)&amp;"")</f>
        <v/>
      </c>
      <c r="H17">
        <f>IF($X17="","",INDEX('Per Line'!$J$2:$J$1501,$X17)&amp;"")</f>
        <v/>
      </c>
      <c r="I17">
        <f>IF($X17="","",INDEX('Per Line'!$K$2:$K$1501,$X17)&amp;"")</f>
        <v/>
      </c>
      <c r="J17">
        <f>IF($X17="","",INDEX('Per Line'!$M$2:$M$1501,$X17))</f>
        <v/>
      </c>
      <c r="K17" s="7">
        <f>IF($X17="","",J17*V17/100)</f>
        <v/>
      </c>
      <c r="L17">
        <f>IF($X17="","",INDEX('Per Line'!$Y$2:$Y$1501,$X17)&amp;"")</f>
        <v/>
      </c>
      <c r="M17" s="7">
        <f>IF($X17="","",SUMIFS('Per Line'!$U$2:$U$1501,'Per Line'!$AJ$2:$AJ$1501,$A17&amp;"|"&amp;$C17,'Per Line'!$AN$2:$AN$1501,1))</f>
        <v/>
      </c>
      <c r="N17">
        <f>IF($X17="","",Settings!$C$7)</f>
        <v/>
      </c>
      <c r="O17" s="7">
        <f>IF($X17="","",SUMIFS('Per Line'!$U$2:$U$1501,'Per Line'!$AJ$2:$AJ$1501,$A17&amp;"|"&amp;$C17,'Per Line'!$AM$2:$AM$1501,0,'Per Line'!$AN$2:$AN$1501,0))</f>
        <v/>
      </c>
      <c r="P17" s="7">
        <f>IF($X17="","",O17*N17)</f>
        <v/>
      </c>
      <c r="Q17">
        <f>IF($X17="","",Settings!$C$6)</f>
        <v/>
      </c>
      <c r="R17" s="7">
        <f>IF($X17="","",SUMIFS('Per Line'!$U$2:$U$1501,'Per Line'!$AJ$2:$AJ$1501,$A17&amp;"|"&amp;$C17,'Per Line'!$AM$2:$AM$1501,1,'Per Line'!$AN$2:$AN$1501,0))</f>
        <v/>
      </c>
      <c r="S17" s="7">
        <f>IF($X17="","",R17*Q17)</f>
        <v/>
      </c>
      <c r="T17" s="7">
        <f>IF($X17="","",S17+P17)</f>
        <v/>
      </c>
      <c r="U17" s="7">
        <f>IF($X17="","",V17-T17)</f>
        <v/>
      </c>
      <c r="V17" s="7">
        <f>IF($X17="","",O17+R17+M17)</f>
        <v/>
      </c>
      <c r="W17" s="7">
        <f>IF($X17="","",V17-T17-K17)</f>
        <v/>
      </c>
      <c r="X17" s="13">
        <f>IF(ROWS($X$2:$X17)&lt;=MAX('Per Line'!$AL$2:$AL$1501),MATCH(ROWS($X$2:$X17),'Per Line'!$AL$2:$AL$1501,0),"")</f>
        <v/>
      </c>
    </row>
    <row r="18">
      <c r="A18">
        <f>IF($X18="","",INDEX('Per Line'!$C$2:$C$1501,$X18)&amp;"")</f>
        <v/>
      </c>
      <c r="B18" s="12" t="n"/>
      <c r="C18">
        <f>IF($X18="","",INDEX('Per Line'!$D$2:$D$1501,$X18)&amp;"")</f>
        <v/>
      </c>
      <c r="D18">
        <f>IF($X18="","",INDEX('Per Line'!$A$2:$A$1501,$X18))</f>
        <v/>
      </c>
      <c r="E18">
        <f>IF($X18="","",INDEX('Per Line'!$G$2:$G$1501,$X18)&amp;"")</f>
        <v/>
      </c>
      <c r="F18" s="11">
        <f>IF($X18="","",INDEX('Per Line'!$F$2:$F$1501,$X18))</f>
        <v/>
      </c>
      <c r="G18">
        <f>IF($X18="","",INDEX('Per Line'!$I$2:$I$1501,$X18)&amp;"")</f>
        <v/>
      </c>
      <c r="H18">
        <f>IF($X18="","",INDEX('Per Line'!$J$2:$J$1501,$X18)&amp;"")</f>
        <v/>
      </c>
      <c r="I18">
        <f>IF($X18="","",INDEX('Per Line'!$K$2:$K$1501,$X18)&amp;"")</f>
        <v/>
      </c>
      <c r="J18">
        <f>IF($X18="","",INDEX('Per Line'!$M$2:$M$1501,$X18))</f>
        <v/>
      </c>
      <c r="K18" s="7">
        <f>IF($X18="","",J18*V18/100)</f>
        <v/>
      </c>
      <c r="L18">
        <f>IF($X18="","",INDEX('Per Line'!$Y$2:$Y$1501,$X18)&amp;"")</f>
        <v/>
      </c>
      <c r="M18" s="7">
        <f>IF($X18="","",SUMIFS('Per Line'!$U$2:$U$1501,'Per Line'!$AJ$2:$AJ$1501,$A18&amp;"|"&amp;$C18,'Per Line'!$AN$2:$AN$1501,1))</f>
        <v/>
      </c>
      <c r="N18">
        <f>IF($X18="","",Settings!$C$7)</f>
        <v/>
      </c>
      <c r="O18" s="7">
        <f>IF($X18="","",SUMIFS('Per Line'!$U$2:$U$1501,'Per Line'!$AJ$2:$AJ$1501,$A18&amp;"|"&amp;$C18,'Per Line'!$AM$2:$AM$1501,0,'Per Line'!$AN$2:$AN$1501,0))</f>
        <v/>
      </c>
      <c r="P18" s="7">
        <f>IF($X18="","",O18*N18)</f>
        <v/>
      </c>
      <c r="Q18">
        <f>IF($X18="","",Settings!$C$6)</f>
        <v/>
      </c>
      <c r="R18" s="7">
        <f>IF($X18="","",SUMIFS('Per Line'!$U$2:$U$1501,'Per Line'!$AJ$2:$AJ$1501,$A18&amp;"|"&amp;$C18,'Per Line'!$AM$2:$AM$1501,1,'Per Line'!$AN$2:$AN$1501,0))</f>
        <v/>
      </c>
      <c r="S18" s="7">
        <f>IF($X18="","",R18*Q18)</f>
        <v/>
      </c>
      <c r="T18" s="7">
        <f>IF($X18="","",S18+P18)</f>
        <v/>
      </c>
      <c r="U18" s="7">
        <f>IF($X18="","",V18-T18)</f>
        <v/>
      </c>
      <c r="V18" s="7">
        <f>IF($X18="","",O18+R18+M18)</f>
        <v/>
      </c>
      <c r="W18" s="7">
        <f>IF($X18="","",V18-T18-K18)</f>
        <v/>
      </c>
      <c r="X18" s="13">
        <f>IF(ROWS($X$2:$X18)&lt;=MAX('Per Line'!$AL$2:$AL$1501),MATCH(ROWS($X$2:$X18),'Per Line'!$AL$2:$AL$1501,0),"")</f>
        <v/>
      </c>
    </row>
    <row r="19">
      <c r="A19">
        <f>IF($X19="","",INDEX('Per Line'!$C$2:$C$1501,$X19)&amp;"")</f>
        <v/>
      </c>
      <c r="B19" s="12" t="n"/>
      <c r="C19">
        <f>IF($X19="","",INDEX('Per Line'!$D$2:$D$1501,$X19)&amp;"")</f>
        <v/>
      </c>
      <c r="D19">
        <f>IF($X19="","",INDEX('Per Line'!$A$2:$A$1501,$X19))</f>
        <v/>
      </c>
      <c r="E19">
        <f>IF($X19="","",INDEX('Per Line'!$G$2:$G$1501,$X19)&amp;"")</f>
        <v/>
      </c>
      <c r="F19" s="11">
        <f>IF($X19="","",INDEX('Per Line'!$F$2:$F$1501,$X19))</f>
        <v/>
      </c>
      <c r="G19">
        <f>IF($X19="","",INDEX('Per Line'!$I$2:$I$1501,$X19)&amp;"")</f>
        <v/>
      </c>
      <c r="H19">
        <f>IF($X19="","",INDEX('Per Line'!$J$2:$J$1501,$X19)&amp;"")</f>
        <v/>
      </c>
      <c r="I19">
        <f>IF($X19="","",INDEX('Per Line'!$K$2:$K$1501,$X19)&amp;"")</f>
        <v/>
      </c>
      <c r="J19">
        <f>IF($X19="","",INDEX('Per Line'!$M$2:$M$1501,$X19))</f>
        <v/>
      </c>
      <c r="K19" s="7">
        <f>IF($X19="","",J19*V19/100)</f>
        <v/>
      </c>
      <c r="L19">
        <f>IF($X19="","",INDEX('Per Line'!$Y$2:$Y$1501,$X19)&amp;"")</f>
        <v/>
      </c>
      <c r="M19" s="7">
        <f>IF($X19="","",SUMIFS('Per Line'!$U$2:$U$1501,'Per Line'!$AJ$2:$AJ$1501,$A19&amp;"|"&amp;$C19,'Per Line'!$AN$2:$AN$1501,1))</f>
        <v/>
      </c>
      <c r="N19">
        <f>IF($X19="","",Settings!$C$7)</f>
        <v/>
      </c>
      <c r="O19" s="7">
        <f>IF($X19="","",SUMIFS('Per Line'!$U$2:$U$1501,'Per Line'!$AJ$2:$AJ$1501,$A19&amp;"|"&amp;$C19,'Per Line'!$AM$2:$AM$1501,0,'Per Line'!$AN$2:$AN$1501,0))</f>
        <v/>
      </c>
      <c r="P19" s="7">
        <f>IF($X19="","",O19*N19)</f>
        <v/>
      </c>
      <c r="Q19">
        <f>IF($X19="","",Settings!$C$6)</f>
        <v/>
      </c>
      <c r="R19" s="7">
        <f>IF($X19="","",SUMIFS('Per Line'!$U$2:$U$1501,'Per Line'!$AJ$2:$AJ$1501,$A19&amp;"|"&amp;$C19,'Per Line'!$AM$2:$AM$1501,1,'Per Line'!$AN$2:$AN$1501,0))</f>
        <v/>
      </c>
      <c r="S19" s="7">
        <f>IF($X19="","",R19*Q19)</f>
        <v/>
      </c>
      <c r="T19" s="7">
        <f>IF($X19="","",S19+P19)</f>
        <v/>
      </c>
      <c r="U19" s="7">
        <f>IF($X19="","",V19-T19)</f>
        <v/>
      </c>
      <c r="V19" s="7">
        <f>IF($X19="","",O19+R19+M19)</f>
        <v/>
      </c>
      <c r="W19" s="7">
        <f>IF($X19="","",V19-T19-K19)</f>
        <v/>
      </c>
      <c r="X19" s="13">
        <f>IF(ROWS($X$2:$X19)&lt;=MAX('Per Line'!$AL$2:$AL$1501),MATCH(ROWS($X$2:$X19),'Per Line'!$AL$2:$AL$1501,0),"")</f>
        <v/>
      </c>
    </row>
    <row r="20">
      <c r="A20">
        <f>IF($X20="","",INDEX('Per Line'!$C$2:$C$1501,$X20)&amp;"")</f>
        <v/>
      </c>
      <c r="B20" s="12" t="n"/>
      <c r="C20">
        <f>IF($X20="","",INDEX('Per Line'!$D$2:$D$1501,$X20)&amp;"")</f>
        <v/>
      </c>
      <c r="D20">
        <f>IF($X20="","",INDEX('Per Line'!$A$2:$A$1501,$X20))</f>
        <v/>
      </c>
      <c r="E20">
        <f>IF($X20="","",INDEX('Per Line'!$G$2:$G$1501,$X20)&amp;"")</f>
        <v/>
      </c>
      <c r="F20" s="11">
        <f>IF($X20="","",INDEX('Per Line'!$F$2:$F$1501,$X20))</f>
        <v/>
      </c>
      <c r="G20">
        <f>IF($X20="","",INDEX('Per Line'!$I$2:$I$1501,$X20)&amp;"")</f>
        <v/>
      </c>
      <c r="H20">
        <f>IF($X20="","",INDEX('Per Line'!$J$2:$J$1501,$X20)&amp;"")</f>
        <v/>
      </c>
      <c r="I20">
        <f>IF($X20="","",INDEX('Per Line'!$K$2:$K$1501,$X20)&amp;"")</f>
        <v/>
      </c>
      <c r="J20">
        <f>IF($X20="","",INDEX('Per Line'!$M$2:$M$1501,$X20))</f>
        <v/>
      </c>
      <c r="K20" s="7">
        <f>IF($X20="","",J20*V20/100)</f>
        <v/>
      </c>
      <c r="L20">
        <f>IF($X20="","",INDEX('Per Line'!$Y$2:$Y$1501,$X20)&amp;"")</f>
        <v/>
      </c>
      <c r="M20" s="7">
        <f>IF($X20="","",SUMIFS('Per Line'!$U$2:$U$1501,'Per Line'!$AJ$2:$AJ$1501,$A20&amp;"|"&amp;$C20,'Per Line'!$AN$2:$AN$1501,1))</f>
        <v/>
      </c>
      <c r="N20">
        <f>IF($X20="","",Settings!$C$7)</f>
        <v/>
      </c>
      <c r="O20" s="7">
        <f>IF($X20="","",SUMIFS('Per Line'!$U$2:$U$1501,'Per Line'!$AJ$2:$AJ$1501,$A20&amp;"|"&amp;$C20,'Per Line'!$AM$2:$AM$1501,0,'Per Line'!$AN$2:$AN$1501,0))</f>
        <v/>
      </c>
      <c r="P20" s="7">
        <f>IF($X20="","",O20*N20)</f>
        <v/>
      </c>
      <c r="Q20">
        <f>IF($X20="","",Settings!$C$6)</f>
        <v/>
      </c>
      <c r="R20" s="7">
        <f>IF($X20="","",SUMIFS('Per Line'!$U$2:$U$1501,'Per Line'!$AJ$2:$AJ$1501,$A20&amp;"|"&amp;$C20,'Per Line'!$AM$2:$AM$1501,1,'Per Line'!$AN$2:$AN$1501,0))</f>
        <v/>
      </c>
      <c r="S20" s="7">
        <f>IF($X20="","",R20*Q20)</f>
        <v/>
      </c>
      <c r="T20" s="7">
        <f>IF($X20="","",S20+P20)</f>
        <v/>
      </c>
      <c r="U20" s="7">
        <f>IF($X20="","",V20-T20)</f>
        <v/>
      </c>
      <c r="V20" s="7">
        <f>IF($X20="","",O20+R20+M20)</f>
        <v/>
      </c>
      <c r="W20" s="7">
        <f>IF($X20="","",V20-T20-K20)</f>
        <v/>
      </c>
      <c r="X20" s="13">
        <f>IF(ROWS($X$2:$X20)&lt;=MAX('Per Line'!$AL$2:$AL$1501),MATCH(ROWS($X$2:$X20),'Per Line'!$AL$2:$AL$1501,0),"")</f>
        <v/>
      </c>
    </row>
    <row r="21">
      <c r="A21">
        <f>IF($X21="","",INDEX('Per Line'!$C$2:$C$1501,$X21)&amp;"")</f>
        <v/>
      </c>
      <c r="B21" s="12" t="n"/>
      <c r="C21">
        <f>IF($X21="","",INDEX('Per Line'!$D$2:$D$1501,$X21)&amp;"")</f>
        <v/>
      </c>
      <c r="D21">
        <f>IF($X21="","",INDEX('Per Line'!$A$2:$A$1501,$X21))</f>
        <v/>
      </c>
      <c r="E21">
        <f>IF($X21="","",INDEX('Per Line'!$G$2:$G$1501,$X21)&amp;"")</f>
        <v/>
      </c>
      <c r="F21" s="11">
        <f>IF($X21="","",INDEX('Per Line'!$F$2:$F$1501,$X21))</f>
        <v/>
      </c>
      <c r="G21">
        <f>IF($X21="","",INDEX('Per Line'!$I$2:$I$1501,$X21)&amp;"")</f>
        <v/>
      </c>
      <c r="H21">
        <f>IF($X21="","",INDEX('Per Line'!$J$2:$J$1501,$X21)&amp;"")</f>
        <v/>
      </c>
      <c r="I21">
        <f>IF($X21="","",INDEX('Per Line'!$K$2:$K$1501,$X21)&amp;"")</f>
        <v/>
      </c>
      <c r="J21">
        <f>IF($X21="","",INDEX('Per Line'!$M$2:$M$1501,$X21))</f>
        <v/>
      </c>
      <c r="K21" s="7">
        <f>IF($X21="","",J21*V21/100)</f>
        <v/>
      </c>
      <c r="L21">
        <f>IF($X21="","",INDEX('Per Line'!$Y$2:$Y$1501,$X21)&amp;"")</f>
        <v/>
      </c>
      <c r="M21" s="7">
        <f>IF($X21="","",SUMIFS('Per Line'!$U$2:$U$1501,'Per Line'!$AJ$2:$AJ$1501,$A21&amp;"|"&amp;$C21,'Per Line'!$AN$2:$AN$1501,1))</f>
        <v/>
      </c>
      <c r="N21">
        <f>IF($X21="","",Settings!$C$7)</f>
        <v/>
      </c>
      <c r="O21" s="7">
        <f>IF($X21="","",SUMIFS('Per Line'!$U$2:$U$1501,'Per Line'!$AJ$2:$AJ$1501,$A21&amp;"|"&amp;$C21,'Per Line'!$AM$2:$AM$1501,0,'Per Line'!$AN$2:$AN$1501,0))</f>
        <v/>
      </c>
      <c r="P21" s="7">
        <f>IF($X21="","",O21*N21)</f>
        <v/>
      </c>
      <c r="Q21">
        <f>IF($X21="","",Settings!$C$6)</f>
        <v/>
      </c>
      <c r="R21" s="7">
        <f>IF($X21="","",SUMIFS('Per Line'!$U$2:$U$1501,'Per Line'!$AJ$2:$AJ$1501,$A21&amp;"|"&amp;$C21,'Per Line'!$AM$2:$AM$1501,1,'Per Line'!$AN$2:$AN$1501,0))</f>
        <v/>
      </c>
      <c r="S21" s="7">
        <f>IF($X21="","",R21*Q21)</f>
        <v/>
      </c>
      <c r="T21" s="7">
        <f>IF($X21="","",S21+P21)</f>
        <v/>
      </c>
      <c r="U21" s="7">
        <f>IF($X21="","",V21-T21)</f>
        <v/>
      </c>
      <c r="V21" s="7">
        <f>IF($X21="","",O21+R21+M21)</f>
        <v/>
      </c>
      <c r="W21" s="7">
        <f>IF($X21="","",V21-T21-K21)</f>
        <v/>
      </c>
      <c r="X21" s="13">
        <f>IF(ROWS($X$2:$X21)&lt;=MAX('Per Line'!$AL$2:$AL$1501),MATCH(ROWS($X$2:$X21),'Per Line'!$AL$2:$AL$1501,0),"")</f>
        <v/>
      </c>
    </row>
    <row r="22">
      <c r="A22">
        <f>IF($X22="","",INDEX('Per Line'!$C$2:$C$1501,$X22)&amp;"")</f>
        <v/>
      </c>
      <c r="B22" s="12" t="n"/>
      <c r="C22">
        <f>IF($X22="","",INDEX('Per Line'!$D$2:$D$1501,$X22)&amp;"")</f>
        <v/>
      </c>
      <c r="D22">
        <f>IF($X22="","",INDEX('Per Line'!$A$2:$A$1501,$X22))</f>
        <v/>
      </c>
      <c r="E22">
        <f>IF($X22="","",INDEX('Per Line'!$G$2:$G$1501,$X22)&amp;"")</f>
        <v/>
      </c>
      <c r="F22" s="11">
        <f>IF($X22="","",INDEX('Per Line'!$F$2:$F$1501,$X22))</f>
        <v/>
      </c>
      <c r="G22">
        <f>IF($X22="","",INDEX('Per Line'!$I$2:$I$1501,$X22)&amp;"")</f>
        <v/>
      </c>
      <c r="H22">
        <f>IF($X22="","",INDEX('Per Line'!$J$2:$J$1501,$X22)&amp;"")</f>
        <v/>
      </c>
      <c r="I22">
        <f>IF($X22="","",INDEX('Per Line'!$K$2:$K$1501,$X22)&amp;"")</f>
        <v/>
      </c>
      <c r="J22">
        <f>IF($X22="","",INDEX('Per Line'!$M$2:$M$1501,$X22))</f>
        <v/>
      </c>
      <c r="K22" s="7">
        <f>IF($X22="","",J22*V22/100)</f>
        <v/>
      </c>
      <c r="L22">
        <f>IF($X22="","",INDEX('Per Line'!$Y$2:$Y$1501,$X22)&amp;"")</f>
        <v/>
      </c>
      <c r="M22" s="7">
        <f>IF($X22="","",SUMIFS('Per Line'!$U$2:$U$1501,'Per Line'!$AJ$2:$AJ$1501,$A22&amp;"|"&amp;$C22,'Per Line'!$AN$2:$AN$1501,1))</f>
        <v/>
      </c>
      <c r="N22">
        <f>IF($X22="","",Settings!$C$7)</f>
        <v/>
      </c>
      <c r="O22" s="7">
        <f>IF($X22="","",SUMIFS('Per Line'!$U$2:$U$1501,'Per Line'!$AJ$2:$AJ$1501,$A22&amp;"|"&amp;$C22,'Per Line'!$AM$2:$AM$1501,0,'Per Line'!$AN$2:$AN$1501,0))</f>
        <v/>
      </c>
      <c r="P22" s="7">
        <f>IF($X22="","",O22*N22)</f>
        <v/>
      </c>
      <c r="Q22">
        <f>IF($X22="","",Settings!$C$6)</f>
        <v/>
      </c>
      <c r="R22" s="7">
        <f>IF($X22="","",SUMIFS('Per Line'!$U$2:$U$1501,'Per Line'!$AJ$2:$AJ$1501,$A22&amp;"|"&amp;$C22,'Per Line'!$AM$2:$AM$1501,1,'Per Line'!$AN$2:$AN$1501,0))</f>
        <v/>
      </c>
      <c r="S22" s="7">
        <f>IF($X22="","",R22*Q22)</f>
        <v/>
      </c>
      <c r="T22" s="7">
        <f>IF($X22="","",S22+P22)</f>
        <v/>
      </c>
      <c r="U22" s="7">
        <f>IF($X22="","",V22-T22)</f>
        <v/>
      </c>
      <c r="V22" s="7">
        <f>IF($X22="","",O22+R22+M22)</f>
        <v/>
      </c>
      <c r="W22" s="7">
        <f>IF($X22="","",V22-T22-K22)</f>
        <v/>
      </c>
      <c r="X22" s="13">
        <f>IF(ROWS($X$2:$X22)&lt;=MAX('Per Line'!$AL$2:$AL$1501),MATCH(ROWS($X$2:$X22),'Per Line'!$AL$2:$AL$1501,0),"")</f>
        <v/>
      </c>
    </row>
    <row r="23">
      <c r="A23">
        <f>IF($X23="","",INDEX('Per Line'!$C$2:$C$1501,$X23)&amp;"")</f>
        <v/>
      </c>
      <c r="B23" s="12" t="n"/>
      <c r="C23">
        <f>IF($X23="","",INDEX('Per Line'!$D$2:$D$1501,$X23)&amp;"")</f>
        <v/>
      </c>
      <c r="D23">
        <f>IF($X23="","",INDEX('Per Line'!$A$2:$A$1501,$X23))</f>
        <v/>
      </c>
      <c r="E23">
        <f>IF($X23="","",INDEX('Per Line'!$G$2:$G$1501,$X23)&amp;"")</f>
        <v/>
      </c>
      <c r="F23" s="11">
        <f>IF($X23="","",INDEX('Per Line'!$F$2:$F$1501,$X23))</f>
        <v/>
      </c>
      <c r="G23">
        <f>IF($X23="","",INDEX('Per Line'!$I$2:$I$1501,$X23)&amp;"")</f>
        <v/>
      </c>
      <c r="H23">
        <f>IF($X23="","",INDEX('Per Line'!$J$2:$J$1501,$X23)&amp;"")</f>
        <v/>
      </c>
      <c r="I23">
        <f>IF($X23="","",INDEX('Per Line'!$K$2:$K$1501,$X23)&amp;"")</f>
        <v/>
      </c>
      <c r="J23">
        <f>IF($X23="","",INDEX('Per Line'!$M$2:$M$1501,$X23))</f>
        <v/>
      </c>
      <c r="K23" s="7">
        <f>IF($X23="","",J23*V23/100)</f>
        <v/>
      </c>
      <c r="L23">
        <f>IF($X23="","",INDEX('Per Line'!$Y$2:$Y$1501,$X23)&amp;"")</f>
        <v/>
      </c>
      <c r="M23" s="7">
        <f>IF($X23="","",SUMIFS('Per Line'!$U$2:$U$1501,'Per Line'!$AJ$2:$AJ$1501,$A23&amp;"|"&amp;$C23,'Per Line'!$AN$2:$AN$1501,1))</f>
        <v/>
      </c>
      <c r="N23">
        <f>IF($X23="","",Settings!$C$7)</f>
        <v/>
      </c>
      <c r="O23" s="7">
        <f>IF($X23="","",SUMIFS('Per Line'!$U$2:$U$1501,'Per Line'!$AJ$2:$AJ$1501,$A23&amp;"|"&amp;$C23,'Per Line'!$AM$2:$AM$1501,0,'Per Line'!$AN$2:$AN$1501,0))</f>
        <v/>
      </c>
      <c r="P23" s="7">
        <f>IF($X23="","",O23*N23)</f>
        <v/>
      </c>
      <c r="Q23">
        <f>IF($X23="","",Settings!$C$6)</f>
        <v/>
      </c>
      <c r="R23" s="7">
        <f>IF($X23="","",SUMIFS('Per Line'!$U$2:$U$1501,'Per Line'!$AJ$2:$AJ$1501,$A23&amp;"|"&amp;$C23,'Per Line'!$AM$2:$AM$1501,1,'Per Line'!$AN$2:$AN$1501,0))</f>
        <v/>
      </c>
      <c r="S23" s="7">
        <f>IF($X23="","",R23*Q23)</f>
        <v/>
      </c>
      <c r="T23" s="7">
        <f>IF($X23="","",S23+P23)</f>
        <v/>
      </c>
      <c r="U23" s="7">
        <f>IF($X23="","",V23-T23)</f>
        <v/>
      </c>
      <c r="V23" s="7">
        <f>IF($X23="","",O23+R23+M23)</f>
        <v/>
      </c>
      <c r="W23" s="7">
        <f>IF($X23="","",V23-T23-K23)</f>
        <v/>
      </c>
      <c r="X23" s="13">
        <f>IF(ROWS($X$2:$X23)&lt;=MAX('Per Line'!$AL$2:$AL$1501),MATCH(ROWS($X$2:$X23),'Per Line'!$AL$2:$AL$1501,0),"")</f>
        <v/>
      </c>
    </row>
    <row r="24">
      <c r="A24">
        <f>IF($X24="","",INDEX('Per Line'!$C$2:$C$1501,$X24)&amp;"")</f>
        <v/>
      </c>
      <c r="B24" s="12" t="n"/>
      <c r="C24">
        <f>IF($X24="","",INDEX('Per Line'!$D$2:$D$1501,$X24)&amp;"")</f>
        <v/>
      </c>
      <c r="D24">
        <f>IF($X24="","",INDEX('Per Line'!$A$2:$A$1501,$X24))</f>
        <v/>
      </c>
      <c r="E24">
        <f>IF($X24="","",INDEX('Per Line'!$G$2:$G$1501,$X24)&amp;"")</f>
        <v/>
      </c>
      <c r="F24" s="11">
        <f>IF($X24="","",INDEX('Per Line'!$F$2:$F$1501,$X24))</f>
        <v/>
      </c>
      <c r="G24">
        <f>IF($X24="","",INDEX('Per Line'!$I$2:$I$1501,$X24)&amp;"")</f>
        <v/>
      </c>
      <c r="H24">
        <f>IF($X24="","",INDEX('Per Line'!$J$2:$J$1501,$X24)&amp;"")</f>
        <v/>
      </c>
      <c r="I24">
        <f>IF($X24="","",INDEX('Per Line'!$K$2:$K$1501,$X24)&amp;"")</f>
        <v/>
      </c>
      <c r="J24">
        <f>IF($X24="","",INDEX('Per Line'!$M$2:$M$1501,$X24))</f>
        <v/>
      </c>
      <c r="K24" s="7">
        <f>IF($X24="","",J24*V24/100)</f>
        <v/>
      </c>
      <c r="L24">
        <f>IF($X24="","",INDEX('Per Line'!$Y$2:$Y$1501,$X24)&amp;"")</f>
        <v/>
      </c>
      <c r="M24" s="7">
        <f>IF($X24="","",SUMIFS('Per Line'!$U$2:$U$1501,'Per Line'!$AJ$2:$AJ$1501,$A24&amp;"|"&amp;$C24,'Per Line'!$AN$2:$AN$1501,1))</f>
        <v/>
      </c>
      <c r="N24">
        <f>IF($X24="","",Settings!$C$7)</f>
        <v/>
      </c>
      <c r="O24" s="7">
        <f>IF($X24="","",SUMIFS('Per Line'!$U$2:$U$1501,'Per Line'!$AJ$2:$AJ$1501,$A24&amp;"|"&amp;$C24,'Per Line'!$AM$2:$AM$1501,0,'Per Line'!$AN$2:$AN$1501,0))</f>
        <v/>
      </c>
      <c r="P24" s="7">
        <f>IF($X24="","",O24*N24)</f>
        <v/>
      </c>
      <c r="Q24">
        <f>IF($X24="","",Settings!$C$6)</f>
        <v/>
      </c>
      <c r="R24" s="7">
        <f>IF($X24="","",SUMIFS('Per Line'!$U$2:$U$1501,'Per Line'!$AJ$2:$AJ$1501,$A24&amp;"|"&amp;$C24,'Per Line'!$AM$2:$AM$1501,1,'Per Line'!$AN$2:$AN$1501,0))</f>
        <v/>
      </c>
      <c r="S24" s="7">
        <f>IF($X24="","",R24*Q24)</f>
        <v/>
      </c>
      <c r="T24" s="7">
        <f>IF($X24="","",S24+P24)</f>
        <v/>
      </c>
      <c r="U24" s="7">
        <f>IF($X24="","",V24-T24)</f>
        <v/>
      </c>
      <c r="V24" s="7">
        <f>IF($X24="","",O24+R24+M24)</f>
        <v/>
      </c>
      <c r="W24" s="7">
        <f>IF($X24="","",V24-T24-K24)</f>
        <v/>
      </c>
      <c r="X24" s="13">
        <f>IF(ROWS($X$2:$X24)&lt;=MAX('Per Line'!$AL$2:$AL$1501),MATCH(ROWS($X$2:$X24),'Per Line'!$AL$2:$AL$1501,0),"")</f>
        <v/>
      </c>
    </row>
    <row r="25">
      <c r="A25">
        <f>IF($X25="","",INDEX('Per Line'!$C$2:$C$1501,$X25)&amp;"")</f>
        <v/>
      </c>
      <c r="B25" s="12" t="n"/>
      <c r="C25">
        <f>IF($X25="","",INDEX('Per Line'!$D$2:$D$1501,$X25)&amp;"")</f>
        <v/>
      </c>
      <c r="D25">
        <f>IF($X25="","",INDEX('Per Line'!$A$2:$A$1501,$X25))</f>
        <v/>
      </c>
      <c r="E25">
        <f>IF($X25="","",INDEX('Per Line'!$G$2:$G$1501,$X25)&amp;"")</f>
        <v/>
      </c>
      <c r="F25" s="11">
        <f>IF($X25="","",INDEX('Per Line'!$F$2:$F$1501,$X25))</f>
        <v/>
      </c>
      <c r="G25">
        <f>IF($X25="","",INDEX('Per Line'!$I$2:$I$1501,$X25)&amp;"")</f>
        <v/>
      </c>
      <c r="H25">
        <f>IF($X25="","",INDEX('Per Line'!$J$2:$J$1501,$X25)&amp;"")</f>
        <v/>
      </c>
      <c r="I25">
        <f>IF($X25="","",INDEX('Per Line'!$K$2:$K$1501,$X25)&amp;"")</f>
        <v/>
      </c>
      <c r="J25">
        <f>IF($X25="","",INDEX('Per Line'!$M$2:$M$1501,$X25))</f>
        <v/>
      </c>
      <c r="K25" s="7">
        <f>IF($X25="","",J25*V25/100)</f>
        <v/>
      </c>
      <c r="L25">
        <f>IF($X25="","",INDEX('Per Line'!$Y$2:$Y$1501,$X25)&amp;"")</f>
        <v/>
      </c>
      <c r="M25" s="7">
        <f>IF($X25="","",SUMIFS('Per Line'!$U$2:$U$1501,'Per Line'!$AJ$2:$AJ$1501,$A25&amp;"|"&amp;$C25,'Per Line'!$AN$2:$AN$1501,1))</f>
        <v/>
      </c>
      <c r="N25">
        <f>IF($X25="","",Settings!$C$7)</f>
        <v/>
      </c>
      <c r="O25" s="7">
        <f>IF($X25="","",SUMIFS('Per Line'!$U$2:$U$1501,'Per Line'!$AJ$2:$AJ$1501,$A25&amp;"|"&amp;$C25,'Per Line'!$AM$2:$AM$1501,0,'Per Line'!$AN$2:$AN$1501,0))</f>
        <v/>
      </c>
      <c r="P25" s="7">
        <f>IF($X25="","",O25*N25)</f>
        <v/>
      </c>
      <c r="Q25">
        <f>IF($X25="","",Settings!$C$6)</f>
        <v/>
      </c>
      <c r="R25" s="7">
        <f>IF($X25="","",SUMIFS('Per Line'!$U$2:$U$1501,'Per Line'!$AJ$2:$AJ$1501,$A25&amp;"|"&amp;$C25,'Per Line'!$AM$2:$AM$1501,1,'Per Line'!$AN$2:$AN$1501,0))</f>
        <v/>
      </c>
      <c r="S25" s="7">
        <f>IF($X25="","",R25*Q25)</f>
        <v/>
      </c>
      <c r="T25" s="7">
        <f>IF($X25="","",S25+P25)</f>
        <v/>
      </c>
      <c r="U25" s="7">
        <f>IF($X25="","",V25-T25)</f>
        <v/>
      </c>
      <c r="V25" s="7">
        <f>IF($X25="","",O25+R25+M25)</f>
        <v/>
      </c>
      <c r="W25" s="7">
        <f>IF($X25="","",V25-T25-K25)</f>
        <v/>
      </c>
      <c r="X25" s="13">
        <f>IF(ROWS($X$2:$X25)&lt;=MAX('Per Line'!$AL$2:$AL$1501),MATCH(ROWS($X$2:$X25),'Per Line'!$AL$2:$AL$1501,0),"")</f>
        <v/>
      </c>
    </row>
    <row r="26">
      <c r="A26">
        <f>IF($X26="","",INDEX('Per Line'!$C$2:$C$1501,$X26)&amp;"")</f>
        <v/>
      </c>
      <c r="B26" s="12" t="n"/>
      <c r="C26">
        <f>IF($X26="","",INDEX('Per Line'!$D$2:$D$1501,$X26)&amp;"")</f>
        <v/>
      </c>
      <c r="D26">
        <f>IF($X26="","",INDEX('Per Line'!$A$2:$A$1501,$X26))</f>
        <v/>
      </c>
      <c r="E26">
        <f>IF($X26="","",INDEX('Per Line'!$G$2:$G$1501,$X26)&amp;"")</f>
        <v/>
      </c>
      <c r="F26" s="11">
        <f>IF($X26="","",INDEX('Per Line'!$F$2:$F$1501,$X26))</f>
        <v/>
      </c>
      <c r="G26">
        <f>IF($X26="","",INDEX('Per Line'!$I$2:$I$1501,$X26)&amp;"")</f>
        <v/>
      </c>
      <c r="H26">
        <f>IF($X26="","",INDEX('Per Line'!$J$2:$J$1501,$X26)&amp;"")</f>
        <v/>
      </c>
      <c r="I26">
        <f>IF($X26="","",INDEX('Per Line'!$K$2:$K$1501,$X26)&amp;"")</f>
        <v/>
      </c>
      <c r="J26">
        <f>IF($X26="","",INDEX('Per Line'!$M$2:$M$1501,$X26))</f>
        <v/>
      </c>
      <c r="K26" s="7">
        <f>IF($X26="","",J26*V26/100)</f>
        <v/>
      </c>
      <c r="L26">
        <f>IF($X26="","",INDEX('Per Line'!$Y$2:$Y$1501,$X26)&amp;"")</f>
        <v/>
      </c>
      <c r="M26" s="7">
        <f>IF($X26="","",SUMIFS('Per Line'!$U$2:$U$1501,'Per Line'!$AJ$2:$AJ$1501,$A26&amp;"|"&amp;$C26,'Per Line'!$AN$2:$AN$1501,1))</f>
        <v/>
      </c>
      <c r="N26">
        <f>IF($X26="","",Settings!$C$7)</f>
        <v/>
      </c>
      <c r="O26" s="7">
        <f>IF($X26="","",SUMIFS('Per Line'!$U$2:$U$1501,'Per Line'!$AJ$2:$AJ$1501,$A26&amp;"|"&amp;$C26,'Per Line'!$AM$2:$AM$1501,0,'Per Line'!$AN$2:$AN$1501,0))</f>
        <v/>
      </c>
      <c r="P26" s="7">
        <f>IF($X26="","",O26*N26)</f>
        <v/>
      </c>
      <c r="Q26">
        <f>IF($X26="","",Settings!$C$6)</f>
        <v/>
      </c>
      <c r="R26" s="7">
        <f>IF($X26="","",SUMIFS('Per Line'!$U$2:$U$1501,'Per Line'!$AJ$2:$AJ$1501,$A26&amp;"|"&amp;$C26,'Per Line'!$AM$2:$AM$1501,1,'Per Line'!$AN$2:$AN$1501,0))</f>
        <v/>
      </c>
      <c r="S26" s="7">
        <f>IF($X26="","",R26*Q26)</f>
        <v/>
      </c>
      <c r="T26" s="7">
        <f>IF($X26="","",S26+P26)</f>
        <v/>
      </c>
      <c r="U26" s="7">
        <f>IF($X26="","",V26-T26)</f>
        <v/>
      </c>
      <c r="V26" s="7">
        <f>IF($X26="","",O26+R26+M26)</f>
        <v/>
      </c>
      <c r="W26" s="7">
        <f>IF($X26="","",V26-T26-K26)</f>
        <v/>
      </c>
      <c r="X26" s="13">
        <f>IF(ROWS($X$2:$X26)&lt;=MAX('Per Line'!$AL$2:$AL$1501),MATCH(ROWS($X$2:$X26),'Per Line'!$AL$2:$AL$1501,0),"")</f>
        <v/>
      </c>
    </row>
    <row r="27">
      <c r="A27">
        <f>IF($X27="","",INDEX('Per Line'!$C$2:$C$1501,$X27)&amp;"")</f>
        <v/>
      </c>
      <c r="B27" s="12" t="n"/>
      <c r="C27">
        <f>IF($X27="","",INDEX('Per Line'!$D$2:$D$1501,$X27)&amp;"")</f>
        <v/>
      </c>
      <c r="D27">
        <f>IF($X27="","",INDEX('Per Line'!$A$2:$A$1501,$X27))</f>
        <v/>
      </c>
      <c r="E27">
        <f>IF($X27="","",INDEX('Per Line'!$G$2:$G$1501,$X27)&amp;"")</f>
        <v/>
      </c>
      <c r="F27" s="11">
        <f>IF($X27="","",INDEX('Per Line'!$F$2:$F$1501,$X27))</f>
        <v/>
      </c>
      <c r="G27">
        <f>IF($X27="","",INDEX('Per Line'!$I$2:$I$1501,$X27)&amp;"")</f>
        <v/>
      </c>
      <c r="H27">
        <f>IF($X27="","",INDEX('Per Line'!$J$2:$J$1501,$X27)&amp;"")</f>
        <v/>
      </c>
      <c r="I27">
        <f>IF($X27="","",INDEX('Per Line'!$K$2:$K$1501,$X27)&amp;"")</f>
        <v/>
      </c>
      <c r="J27">
        <f>IF($X27="","",INDEX('Per Line'!$M$2:$M$1501,$X27))</f>
        <v/>
      </c>
      <c r="K27" s="7">
        <f>IF($X27="","",J27*V27/100)</f>
        <v/>
      </c>
      <c r="L27">
        <f>IF($X27="","",INDEX('Per Line'!$Y$2:$Y$1501,$X27)&amp;"")</f>
        <v/>
      </c>
      <c r="M27" s="7">
        <f>IF($X27="","",SUMIFS('Per Line'!$U$2:$U$1501,'Per Line'!$AJ$2:$AJ$1501,$A27&amp;"|"&amp;$C27,'Per Line'!$AN$2:$AN$1501,1))</f>
        <v/>
      </c>
      <c r="N27">
        <f>IF($X27="","",Settings!$C$7)</f>
        <v/>
      </c>
      <c r="O27" s="7">
        <f>IF($X27="","",SUMIFS('Per Line'!$U$2:$U$1501,'Per Line'!$AJ$2:$AJ$1501,$A27&amp;"|"&amp;$C27,'Per Line'!$AM$2:$AM$1501,0,'Per Line'!$AN$2:$AN$1501,0))</f>
        <v/>
      </c>
      <c r="P27" s="7">
        <f>IF($X27="","",O27*N27)</f>
        <v/>
      </c>
      <c r="Q27">
        <f>IF($X27="","",Settings!$C$6)</f>
        <v/>
      </c>
      <c r="R27" s="7">
        <f>IF($X27="","",SUMIFS('Per Line'!$U$2:$U$1501,'Per Line'!$AJ$2:$AJ$1501,$A27&amp;"|"&amp;$C27,'Per Line'!$AM$2:$AM$1501,1,'Per Line'!$AN$2:$AN$1501,0))</f>
        <v/>
      </c>
      <c r="S27" s="7">
        <f>IF($X27="","",R27*Q27)</f>
        <v/>
      </c>
      <c r="T27" s="7">
        <f>IF($X27="","",S27+P27)</f>
        <v/>
      </c>
      <c r="U27" s="7">
        <f>IF($X27="","",V27-T27)</f>
        <v/>
      </c>
      <c r="V27" s="7">
        <f>IF($X27="","",O27+R27+M27)</f>
        <v/>
      </c>
      <c r="W27" s="7">
        <f>IF($X27="","",V27-T27-K27)</f>
        <v/>
      </c>
      <c r="X27" s="13">
        <f>IF(ROWS($X$2:$X27)&lt;=MAX('Per Line'!$AL$2:$AL$1501),MATCH(ROWS($X$2:$X27),'Per Line'!$AL$2:$AL$1501,0),"")</f>
        <v/>
      </c>
    </row>
    <row r="28">
      <c r="A28">
        <f>IF($X28="","",INDEX('Per Line'!$C$2:$C$1501,$X28)&amp;"")</f>
        <v/>
      </c>
      <c r="B28" s="12" t="n"/>
      <c r="C28">
        <f>IF($X28="","",INDEX('Per Line'!$D$2:$D$1501,$X28)&amp;"")</f>
        <v/>
      </c>
      <c r="D28">
        <f>IF($X28="","",INDEX('Per Line'!$A$2:$A$1501,$X28))</f>
        <v/>
      </c>
      <c r="E28">
        <f>IF($X28="","",INDEX('Per Line'!$G$2:$G$1501,$X28)&amp;"")</f>
        <v/>
      </c>
      <c r="F28" s="11">
        <f>IF($X28="","",INDEX('Per Line'!$F$2:$F$1501,$X28))</f>
        <v/>
      </c>
      <c r="G28">
        <f>IF($X28="","",INDEX('Per Line'!$I$2:$I$1501,$X28)&amp;"")</f>
        <v/>
      </c>
      <c r="H28">
        <f>IF($X28="","",INDEX('Per Line'!$J$2:$J$1501,$X28)&amp;"")</f>
        <v/>
      </c>
      <c r="I28">
        <f>IF($X28="","",INDEX('Per Line'!$K$2:$K$1501,$X28)&amp;"")</f>
        <v/>
      </c>
      <c r="J28">
        <f>IF($X28="","",INDEX('Per Line'!$M$2:$M$1501,$X28))</f>
        <v/>
      </c>
      <c r="K28" s="7">
        <f>IF($X28="","",J28*V28/100)</f>
        <v/>
      </c>
      <c r="L28">
        <f>IF($X28="","",INDEX('Per Line'!$Y$2:$Y$1501,$X28)&amp;"")</f>
        <v/>
      </c>
      <c r="M28" s="7">
        <f>IF($X28="","",SUMIFS('Per Line'!$U$2:$U$1501,'Per Line'!$AJ$2:$AJ$1501,$A28&amp;"|"&amp;$C28,'Per Line'!$AN$2:$AN$1501,1))</f>
        <v/>
      </c>
      <c r="N28">
        <f>IF($X28="","",Settings!$C$7)</f>
        <v/>
      </c>
      <c r="O28" s="7">
        <f>IF($X28="","",SUMIFS('Per Line'!$U$2:$U$1501,'Per Line'!$AJ$2:$AJ$1501,$A28&amp;"|"&amp;$C28,'Per Line'!$AM$2:$AM$1501,0,'Per Line'!$AN$2:$AN$1501,0))</f>
        <v/>
      </c>
      <c r="P28" s="7">
        <f>IF($X28="","",O28*N28)</f>
        <v/>
      </c>
      <c r="Q28">
        <f>IF($X28="","",Settings!$C$6)</f>
        <v/>
      </c>
      <c r="R28" s="7">
        <f>IF($X28="","",SUMIFS('Per Line'!$U$2:$U$1501,'Per Line'!$AJ$2:$AJ$1501,$A28&amp;"|"&amp;$C28,'Per Line'!$AM$2:$AM$1501,1,'Per Line'!$AN$2:$AN$1501,0))</f>
        <v/>
      </c>
      <c r="S28" s="7">
        <f>IF($X28="","",R28*Q28)</f>
        <v/>
      </c>
      <c r="T28" s="7">
        <f>IF($X28="","",S28+P28)</f>
        <v/>
      </c>
      <c r="U28" s="7">
        <f>IF($X28="","",V28-T28)</f>
        <v/>
      </c>
      <c r="V28" s="7">
        <f>IF($X28="","",O28+R28+M28)</f>
        <v/>
      </c>
      <c r="W28" s="7">
        <f>IF($X28="","",V28-T28-K28)</f>
        <v/>
      </c>
      <c r="X28" s="13">
        <f>IF(ROWS($X$2:$X28)&lt;=MAX('Per Line'!$AL$2:$AL$1501),MATCH(ROWS($X$2:$X28),'Per Line'!$AL$2:$AL$1501,0),"")</f>
        <v/>
      </c>
    </row>
    <row r="29">
      <c r="A29">
        <f>IF($X29="","",INDEX('Per Line'!$C$2:$C$1501,$X29)&amp;"")</f>
        <v/>
      </c>
      <c r="B29" s="12" t="n"/>
      <c r="C29">
        <f>IF($X29="","",INDEX('Per Line'!$D$2:$D$1501,$X29)&amp;"")</f>
        <v/>
      </c>
      <c r="D29">
        <f>IF($X29="","",INDEX('Per Line'!$A$2:$A$1501,$X29))</f>
        <v/>
      </c>
      <c r="E29">
        <f>IF($X29="","",INDEX('Per Line'!$G$2:$G$1501,$X29)&amp;"")</f>
        <v/>
      </c>
      <c r="F29" s="11">
        <f>IF($X29="","",INDEX('Per Line'!$F$2:$F$1501,$X29))</f>
        <v/>
      </c>
      <c r="G29">
        <f>IF($X29="","",INDEX('Per Line'!$I$2:$I$1501,$X29)&amp;"")</f>
        <v/>
      </c>
      <c r="H29">
        <f>IF($X29="","",INDEX('Per Line'!$J$2:$J$1501,$X29)&amp;"")</f>
        <v/>
      </c>
      <c r="I29">
        <f>IF($X29="","",INDEX('Per Line'!$K$2:$K$1501,$X29)&amp;"")</f>
        <v/>
      </c>
      <c r="J29">
        <f>IF($X29="","",INDEX('Per Line'!$M$2:$M$1501,$X29))</f>
        <v/>
      </c>
      <c r="K29" s="7">
        <f>IF($X29="","",J29*V29/100)</f>
        <v/>
      </c>
      <c r="L29">
        <f>IF($X29="","",INDEX('Per Line'!$Y$2:$Y$1501,$X29)&amp;"")</f>
        <v/>
      </c>
      <c r="M29" s="7">
        <f>IF($X29="","",SUMIFS('Per Line'!$U$2:$U$1501,'Per Line'!$AJ$2:$AJ$1501,$A29&amp;"|"&amp;$C29,'Per Line'!$AN$2:$AN$1501,1))</f>
        <v/>
      </c>
      <c r="N29">
        <f>IF($X29="","",Settings!$C$7)</f>
        <v/>
      </c>
      <c r="O29" s="7">
        <f>IF($X29="","",SUMIFS('Per Line'!$U$2:$U$1501,'Per Line'!$AJ$2:$AJ$1501,$A29&amp;"|"&amp;$C29,'Per Line'!$AM$2:$AM$1501,0,'Per Line'!$AN$2:$AN$1501,0))</f>
        <v/>
      </c>
      <c r="P29" s="7">
        <f>IF($X29="","",O29*N29)</f>
        <v/>
      </c>
      <c r="Q29">
        <f>IF($X29="","",Settings!$C$6)</f>
        <v/>
      </c>
      <c r="R29" s="7">
        <f>IF($X29="","",SUMIFS('Per Line'!$U$2:$U$1501,'Per Line'!$AJ$2:$AJ$1501,$A29&amp;"|"&amp;$C29,'Per Line'!$AM$2:$AM$1501,1,'Per Line'!$AN$2:$AN$1501,0))</f>
        <v/>
      </c>
      <c r="S29" s="7">
        <f>IF($X29="","",R29*Q29)</f>
        <v/>
      </c>
      <c r="T29" s="7">
        <f>IF($X29="","",S29+P29)</f>
        <v/>
      </c>
      <c r="U29" s="7">
        <f>IF($X29="","",V29-T29)</f>
        <v/>
      </c>
      <c r="V29" s="7">
        <f>IF($X29="","",O29+R29+M29)</f>
        <v/>
      </c>
      <c r="W29" s="7">
        <f>IF($X29="","",V29-T29-K29)</f>
        <v/>
      </c>
      <c r="X29" s="13">
        <f>IF(ROWS($X$2:$X29)&lt;=MAX('Per Line'!$AL$2:$AL$1501),MATCH(ROWS($X$2:$X29),'Per Line'!$AL$2:$AL$1501,0),"")</f>
        <v/>
      </c>
    </row>
    <row r="30">
      <c r="A30">
        <f>IF($X30="","",INDEX('Per Line'!$C$2:$C$1501,$X30)&amp;"")</f>
        <v/>
      </c>
      <c r="B30" s="12" t="n"/>
      <c r="C30">
        <f>IF($X30="","",INDEX('Per Line'!$D$2:$D$1501,$X30)&amp;"")</f>
        <v/>
      </c>
      <c r="D30">
        <f>IF($X30="","",INDEX('Per Line'!$A$2:$A$1501,$X30))</f>
        <v/>
      </c>
      <c r="E30">
        <f>IF($X30="","",INDEX('Per Line'!$G$2:$G$1501,$X30)&amp;"")</f>
        <v/>
      </c>
      <c r="F30" s="11">
        <f>IF($X30="","",INDEX('Per Line'!$F$2:$F$1501,$X30))</f>
        <v/>
      </c>
      <c r="G30">
        <f>IF($X30="","",INDEX('Per Line'!$I$2:$I$1501,$X30)&amp;"")</f>
        <v/>
      </c>
      <c r="H30">
        <f>IF($X30="","",INDEX('Per Line'!$J$2:$J$1501,$X30)&amp;"")</f>
        <v/>
      </c>
      <c r="I30">
        <f>IF($X30="","",INDEX('Per Line'!$K$2:$K$1501,$X30)&amp;"")</f>
        <v/>
      </c>
      <c r="J30">
        <f>IF($X30="","",INDEX('Per Line'!$M$2:$M$1501,$X30))</f>
        <v/>
      </c>
      <c r="K30" s="7">
        <f>IF($X30="","",J30*V30/100)</f>
        <v/>
      </c>
      <c r="L30">
        <f>IF($X30="","",INDEX('Per Line'!$Y$2:$Y$1501,$X30)&amp;"")</f>
        <v/>
      </c>
      <c r="M30" s="7">
        <f>IF($X30="","",SUMIFS('Per Line'!$U$2:$U$1501,'Per Line'!$AJ$2:$AJ$1501,$A30&amp;"|"&amp;$C30,'Per Line'!$AN$2:$AN$1501,1))</f>
        <v/>
      </c>
      <c r="N30">
        <f>IF($X30="","",Settings!$C$7)</f>
        <v/>
      </c>
      <c r="O30" s="7">
        <f>IF($X30="","",SUMIFS('Per Line'!$U$2:$U$1501,'Per Line'!$AJ$2:$AJ$1501,$A30&amp;"|"&amp;$C30,'Per Line'!$AM$2:$AM$1501,0,'Per Line'!$AN$2:$AN$1501,0))</f>
        <v/>
      </c>
      <c r="P30" s="7">
        <f>IF($X30="","",O30*N30)</f>
        <v/>
      </c>
      <c r="Q30">
        <f>IF($X30="","",Settings!$C$6)</f>
        <v/>
      </c>
      <c r="R30" s="7">
        <f>IF($X30="","",SUMIFS('Per Line'!$U$2:$U$1501,'Per Line'!$AJ$2:$AJ$1501,$A30&amp;"|"&amp;$C30,'Per Line'!$AM$2:$AM$1501,1,'Per Line'!$AN$2:$AN$1501,0))</f>
        <v/>
      </c>
      <c r="S30" s="7">
        <f>IF($X30="","",R30*Q30)</f>
        <v/>
      </c>
      <c r="T30" s="7">
        <f>IF($X30="","",S30+P30)</f>
        <v/>
      </c>
      <c r="U30" s="7">
        <f>IF($X30="","",V30-T30)</f>
        <v/>
      </c>
      <c r="V30" s="7">
        <f>IF($X30="","",O30+R30+M30)</f>
        <v/>
      </c>
      <c r="W30" s="7">
        <f>IF($X30="","",V30-T30-K30)</f>
        <v/>
      </c>
      <c r="X30" s="13">
        <f>IF(ROWS($X$2:$X30)&lt;=MAX('Per Line'!$AL$2:$AL$1501),MATCH(ROWS($X$2:$X30),'Per Line'!$AL$2:$AL$1501,0),"")</f>
        <v/>
      </c>
    </row>
    <row r="31">
      <c r="A31">
        <f>IF($X31="","",INDEX('Per Line'!$C$2:$C$1501,$X31)&amp;"")</f>
        <v/>
      </c>
      <c r="B31" s="12" t="n"/>
      <c r="C31">
        <f>IF($X31="","",INDEX('Per Line'!$D$2:$D$1501,$X31)&amp;"")</f>
        <v/>
      </c>
      <c r="D31">
        <f>IF($X31="","",INDEX('Per Line'!$A$2:$A$1501,$X31))</f>
        <v/>
      </c>
      <c r="E31">
        <f>IF($X31="","",INDEX('Per Line'!$G$2:$G$1501,$X31)&amp;"")</f>
        <v/>
      </c>
      <c r="F31" s="11">
        <f>IF($X31="","",INDEX('Per Line'!$F$2:$F$1501,$X31))</f>
        <v/>
      </c>
      <c r="G31">
        <f>IF($X31="","",INDEX('Per Line'!$I$2:$I$1501,$X31)&amp;"")</f>
        <v/>
      </c>
      <c r="H31">
        <f>IF($X31="","",INDEX('Per Line'!$J$2:$J$1501,$X31)&amp;"")</f>
        <v/>
      </c>
      <c r="I31">
        <f>IF($X31="","",INDEX('Per Line'!$K$2:$K$1501,$X31)&amp;"")</f>
        <v/>
      </c>
      <c r="J31">
        <f>IF($X31="","",INDEX('Per Line'!$M$2:$M$1501,$X31))</f>
        <v/>
      </c>
      <c r="K31" s="7">
        <f>IF($X31="","",J31*V31/100)</f>
        <v/>
      </c>
      <c r="L31">
        <f>IF($X31="","",INDEX('Per Line'!$Y$2:$Y$1501,$X31)&amp;"")</f>
        <v/>
      </c>
      <c r="M31" s="7">
        <f>IF($X31="","",SUMIFS('Per Line'!$U$2:$U$1501,'Per Line'!$AJ$2:$AJ$1501,$A31&amp;"|"&amp;$C31,'Per Line'!$AN$2:$AN$1501,1))</f>
        <v/>
      </c>
      <c r="N31">
        <f>IF($X31="","",Settings!$C$7)</f>
        <v/>
      </c>
      <c r="O31" s="7">
        <f>IF($X31="","",SUMIFS('Per Line'!$U$2:$U$1501,'Per Line'!$AJ$2:$AJ$1501,$A31&amp;"|"&amp;$C31,'Per Line'!$AM$2:$AM$1501,0,'Per Line'!$AN$2:$AN$1501,0))</f>
        <v/>
      </c>
      <c r="P31" s="7">
        <f>IF($X31="","",O31*N31)</f>
        <v/>
      </c>
      <c r="Q31">
        <f>IF($X31="","",Settings!$C$6)</f>
        <v/>
      </c>
      <c r="R31" s="7">
        <f>IF($X31="","",SUMIFS('Per Line'!$U$2:$U$1501,'Per Line'!$AJ$2:$AJ$1501,$A31&amp;"|"&amp;$C31,'Per Line'!$AM$2:$AM$1501,1,'Per Line'!$AN$2:$AN$1501,0))</f>
        <v/>
      </c>
      <c r="S31" s="7">
        <f>IF($X31="","",R31*Q31)</f>
        <v/>
      </c>
      <c r="T31" s="7">
        <f>IF($X31="","",S31+P31)</f>
        <v/>
      </c>
      <c r="U31" s="7">
        <f>IF($X31="","",V31-T31)</f>
        <v/>
      </c>
      <c r="V31" s="7">
        <f>IF($X31="","",O31+R31+M31)</f>
        <v/>
      </c>
      <c r="W31" s="7">
        <f>IF($X31="","",V31-T31-K31)</f>
        <v/>
      </c>
      <c r="X31" s="13">
        <f>IF(ROWS($X$2:$X31)&lt;=MAX('Per Line'!$AL$2:$AL$1501),MATCH(ROWS($X$2:$X31),'Per Line'!$AL$2:$AL$1501,0),"")</f>
        <v/>
      </c>
    </row>
    <row r="32">
      <c r="A32">
        <f>IF($X32="","",INDEX('Per Line'!$C$2:$C$1501,$X32)&amp;"")</f>
        <v/>
      </c>
      <c r="B32" s="12" t="n"/>
      <c r="C32">
        <f>IF($X32="","",INDEX('Per Line'!$D$2:$D$1501,$X32)&amp;"")</f>
        <v/>
      </c>
      <c r="D32">
        <f>IF($X32="","",INDEX('Per Line'!$A$2:$A$1501,$X32))</f>
        <v/>
      </c>
      <c r="E32">
        <f>IF($X32="","",INDEX('Per Line'!$G$2:$G$1501,$X32)&amp;"")</f>
        <v/>
      </c>
      <c r="F32" s="11">
        <f>IF($X32="","",INDEX('Per Line'!$F$2:$F$1501,$X32))</f>
        <v/>
      </c>
      <c r="G32">
        <f>IF($X32="","",INDEX('Per Line'!$I$2:$I$1501,$X32)&amp;"")</f>
        <v/>
      </c>
      <c r="H32">
        <f>IF($X32="","",INDEX('Per Line'!$J$2:$J$1501,$X32)&amp;"")</f>
        <v/>
      </c>
      <c r="I32">
        <f>IF($X32="","",INDEX('Per Line'!$K$2:$K$1501,$X32)&amp;"")</f>
        <v/>
      </c>
      <c r="J32">
        <f>IF($X32="","",INDEX('Per Line'!$M$2:$M$1501,$X32))</f>
        <v/>
      </c>
      <c r="K32" s="7">
        <f>IF($X32="","",J32*V32/100)</f>
        <v/>
      </c>
      <c r="L32">
        <f>IF($X32="","",INDEX('Per Line'!$Y$2:$Y$1501,$X32)&amp;"")</f>
        <v/>
      </c>
      <c r="M32" s="7">
        <f>IF($X32="","",SUMIFS('Per Line'!$U$2:$U$1501,'Per Line'!$AJ$2:$AJ$1501,$A32&amp;"|"&amp;$C32,'Per Line'!$AN$2:$AN$1501,1))</f>
        <v/>
      </c>
      <c r="N32">
        <f>IF($X32="","",Settings!$C$7)</f>
        <v/>
      </c>
      <c r="O32" s="7">
        <f>IF($X32="","",SUMIFS('Per Line'!$U$2:$U$1501,'Per Line'!$AJ$2:$AJ$1501,$A32&amp;"|"&amp;$C32,'Per Line'!$AM$2:$AM$1501,0,'Per Line'!$AN$2:$AN$1501,0))</f>
        <v/>
      </c>
      <c r="P32" s="7">
        <f>IF($X32="","",O32*N32)</f>
        <v/>
      </c>
      <c r="Q32">
        <f>IF($X32="","",Settings!$C$6)</f>
        <v/>
      </c>
      <c r="R32" s="7">
        <f>IF($X32="","",SUMIFS('Per Line'!$U$2:$U$1501,'Per Line'!$AJ$2:$AJ$1501,$A32&amp;"|"&amp;$C32,'Per Line'!$AM$2:$AM$1501,1,'Per Line'!$AN$2:$AN$1501,0))</f>
        <v/>
      </c>
      <c r="S32" s="7">
        <f>IF($X32="","",R32*Q32)</f>
        <v/>
      </c>
      <c r="T32" s="7">
        <f>IF($X32="","",S32+P32)</f>
        <v/>
      </c>
      <c r="U32" s="7">
        <f>IF($X32="","",V32-T32)</f>
        <v/>
      </c>
      <c r="V32" s="7">
        <f>IF($X32="","",O32+R32+M32)</f>
        <v/>
      </c>
      <c r="W32" s="7">
        <f>IF($X32="","",V32-T32-K32)</f>
        <v/>
      </c>
      <c r="X32" s="13">
        <f>IF(ROWS($X$2:$X32)&lt;=MAX('Per Line'!$AL$2:$AL$1501),MATCH(ROWS($X$2:$X32),'Per Line'!$AL$2:$AL$1501,0),"")</f>
        <v/>
      </c>
    </row>
    <row r="33">
      <c r="A33">
        <f>IF($X33="","",INDEX('Per Line'!$C$2:$C$1501,$X33)&amp;"")</f>
        <v/>
      </c>
      <c r="B33" s="12" t="n"/>
      <c r="C33">
        <f>IF($X33="","",INDEX('Per Line'!$D$2:$D$1501,$X33)&amp;"")</f>
        <v/>
      </c>
      <c r="D33">
        <f>IF($X33="","",INDEX('Per Line'!$A$2:$A$1501,$X33))</f>
        <v/>
      </c>
      <c r="E33">
        <f>IF($X33="","",INDEX('Per Line'!$G$2:$G$1501,$X33)&amp;"")</f>
        <v/>
      </c>
      <c r="F33" s="11">
        <f>IF($X33="","",INDEX('Per Line'!$F$2:$F$1501,$X33))</f>
        <v/>
      </c>
      <c r="G33">
        <f>IF($X33="","",INDEX('Per Line'!$I$2:$I$1501,$X33)&amp;"")</f>
        <v/>
      </c>
      <c r="H33">
        <f>IF($X33="","",INDEX('Per Line'!$J$2:$J$1501,$X33)&amp;"")</f>
        <v/>
      </c>
      <c r="I33">
        <f>IF($X33="","",INDEX('Per Line'!$K$2:$K$1501,$X33)&amp;"")</f>
        <v/>
      </c>
      <c r="J33">
        <f>IF($X33="","",INDEX('Per Line'!$M$2:$M$1501,$X33))</f>
        <v/>
      </c>
      <c r="K33" s="7">
        <f>IF($X33="","",J33*V33/100)</f>
        <v/>
      </c>
      <c r="L33">
        <f>IF($X33="","",INDEX('Per Line'!$Y$2:$Y$1501,$X33)&amp;"")</f>
        <v/>
      </c>
      <c r="M33" s="7">
        <f>IF($X33="","",SUMIFS('Per Line'!$U$2:$U$1501,'Per Line'!$AJ$2:$AJ$1501,$A33&amp;"|"&amp;$C33,'Per Line'!$AN$2:$AN$1501,1))</f>
        <v/>
      </c>
      <c r="N33">
        <f>IF($X33="","",Settings!$C$7)</f>
        <v/>
      </c>
      <c r="O33" s="7">
        <f>IF($X33="","",SUMIFS('Per Line'!$U$2:$U$1501,'Per Line'!$AJ$2:$AJ$1501,$A33&amp;"|"&amp;$C33,'Per Line'!$AM$2:$AM$1501,0,'Per Line'!$AN$2:$AN$1501,0))</f>
        <v/>
      </c>
      <c r="P33" s="7">
        <f>IF($X33="","",O33*N33)</f>
        <v/>
      </c>
      <c r="Q33">
        <f>IF($X33="","",Settings!$C$6)</f>
        <v/>
      </c>
      <c r="R33" s="7">
        <f>IF($X33="","",SUMIFS('Per Line'!$U$2:$U$1501,'Per Line'!$AJ$2:$AJ$1501,$A33&amp;"|"&amp;$C33,'Per Line'!$AM$2:$AM$1501,1,'Per Line'!$AN$2:$AN$1501,0))</f>
        <v/>
      </c>
      <c r="S33" s="7">
        <f>IF($X33="","",R33*Q33)</f>
        <v/>
      </c>
      <c r="T33" s="7">
        <f>IF($X33="","",S33+P33)</f>
        <v/>
      </c>
      <c r="U33" s="7">
        <f>IF($X33="","",V33-T33)</f>
        <v/>
      </c>
      <c r="V33" s="7">
        <f>IF($X33="","",O33+R33+M33)</f>
        <v/>
      </c>
      <c r="W33" s="7">
        <f>IF($X33="","",V33-T33-K33)</f>
        <v/>
      </c>
      <c r="X33" s="13">
        <f>IF(ROWS($X$2:$X33)&lt;=MAX('Per Line'!$AL$2:$AL$1501),MATCH(ROWS($X$2:$X33),'Per Line'!$AL$2:$AL$1501,0),"")</f>
        <v/>
      </c>
    </row>
    <row r="34">
      <c r="A34">
        <f>IF($X34="","",INDEX('Per Line'!$C$2:$C$1501,$X34)&amp;"")</f>
        <v/>
      </c>
      <c r="B34" s="12" t="n"/>
      <c r="C34">
        <f>IF($X34="","",INDEX('Per Line'!$D$2:$D$1501,$X34)&amp;"")</f>
        <v/>
      </c>
      <c r="D34">
        <f>IF($X34="","",INDEX('Per Line'!$A$2:$A$1501,$X34))</f>
        <v/>
      </c>
      <c r="E34">
        <f>IF($X34="","",INDEX('Per Line'!$G$2:$G$1501,$X34)&amp;"")</f>
        <v/>
      </c>
      <c r="F34" s="11">
        <f>IF($X34="","",INDEX('Per Line'!$F$2:$F$1501,$X34))</f>
        <v/>
      </c>
      <c r="G34">
        <f>IF($X34="","",INDEX('Per Line'!$I$2:$I$1501,$X34)&amp;"")</f>
        <v/>
      </c>
      <c r="H34">
        <f>IF($X34="","",INDEX('Per Line'!$J$2:$J$1501,$X34)&amp;"")</f>
        <v/>
      </c>
      <c r="I34">
        <f>IF($X34="","",INDEX('Per Line'!$K$2:$K$1501,$X34)&amp;"")</f>
        <v/>
      </c>
      <c r="J34">
        <f>IF($X34="","",INDEX('Per Line'!$M$2:$M$1501,$X34))</f>
        <v/>
      </c>
      <c r="K34" s="7">
        <f>IF($X34="","",J34*V34/100)</f>
        <v/>
      </c>
      <c r="L34">
        <f>IF($X34="","",INDEX('Per Line'!$Y$2:$Y$1501,$X34)&amp;"")</f>
        <v/>
      </c>
      <c r="M34" s="7">
        <f>IF($X34="","",SUMIFS('Per Line'!$U$2:$U$1501,'Per Line'!$AJ$2:$AJ$1501,$A34&amp;"|"&amp;$C34,'Per Line'!$AN$2:$AN$1501,1))</f>
        <v/>
      </c>
      <c r="N34">
        <f>IF($X34="","",Settings!$C$7)</f>
        <v/>
      </c>
      <c r="O34" s="7">
        <f>IF($X34="","",SUMIFS('Per Line'!$U$2:$U$1501,'Per Line'!$AJ$2:$AJ$1501,$A34&amp;"|"&amp;$C34,'Per Line'!$AM$2:$AM$1501,0,'Per Line'!$AN$2:$AN$1501,0))</f>
        <v/>
      </c>
      <c r="P34" s="7">
        <f>IF($X34="","",O34*N34)</f>
        <v/>
      </c>
      <c r="Q34">
        <f>IF($X34="","",Settings!$C$6)</f>
        <v/>
      </c>
      <c r="R34" s="7">
        <f>IF($X34="","",SUMIFS('Per Line'!$U$2:$U$1501,'Per Line'!$AJ$2:$AJ$1501,$A34&amp;"|"&amp;$C34,'Per Line'!$AM$2:$AM$1501,1,'Per Line'!$AN$2:$AN$1501,0))</f>
        <v/>
      </c>
      <c r="S34" s="7">
        <f>IF($X34="","",R34*Q34)</f>
        <v/>
      </c>
      <c r="T34" s="7">
        <f>IF($X34="","",S34+P34)</f>
        <v/>
      </c>
      <c r="U34" s="7">
        <f>IF($X34="","",V34-T34)</f>
        <v/>
      </c>
      <c r="V34" s="7">
        <f>IF($X34="","",O34+R34+M34)</f>
        <v/>
      </c>
      <c r="W34" s="7">
        <f>IF($X34="","",V34-T34-K34)</f>
        <v/>
      </c>
      <c r="X34" s="13">
        <f>IF(ROWS($X$2:$X34)&lt;=MAX('Per Line'!$AL$2:$AL$1501),MATCH(ROWS($X$2:$X34),'Per Line'!$AL$2:$AL$1501,0),"")</f>
        <v/>
      </c>
    </row>
    <row r="35">
      <c r="A35">
        <f>IF($X35="","",INDEX('Per Line'!$C$2:$C$1501,$X35)&amp;"")</f>
        <v/>
      </c>
      <c r="B35" s="12" t="n"/>
      <c r="C35">
        <f>IF($X35="","",INDEX('Per Line'!$D$2:$D$1501,$X35)&amp;"")</f>
        <v/>
      </c>
      <c r="D35">
        <f>IF($X35="","",INDEX('Per Line'!$A$2:$A$1501,$X35))</f>
        <v/>
      </c>
      <c r="E35">
        <f>IF($X35="","",INDEX('Per Line'!$G$2:$G$1501,$X35)&amp;"")</f>
        <v/>
      </c>
      <c r="F35" s="11">
        <f>IF($X35="","",INDEX('Per Line'!$F$2:$F$1501,$X35))</f>
        <v/>
      </c>
      <c r="G35">
        <f>IF($X35="","",INDEX('Per Line'!$I$2:$I$1501,$X35)&amp;"")</f>
        <v/>
      </c>
      <c r="H35">
        <f>IF($X35="","",INDEX('Per Line'!$J$2:$J$1501,$X35)&amp;"")</f>
        <v/>
      </c>
      <c r="I35">
        <f>IF($X35="","",INDEX('Per Line'!$K$2:$K$1501,$X35)&amp;"")</f>
        <v/>
      </c>
      <c r="J35">
        <f>IF($X35="","",INDEX('Per Line'!$M$2:$M$1501,$X35))</f>
        <v/>
      </c>
      <c r="K35" s="7">
        <f>IF($X35="","",J35*V35/100)</f>
        <v/>
      </c>
      <c r="L35">
        <f>IF($X35="","",INDEX('Per Line'!$Y$2:$Y$1501,$X35)&amp;"")</f>
        <v/>
      </c>
      <c r="M35" s="7">
        <f>IF($X35="","",SUMIFS('Per Line'!$U$2:$U$1501,'Per Line'!$AJ$2:$AJ$1501,$A35&amp;"|"&amp;$C35,'Per Line'!$AN$2:$AN$1501,1))</f>
        <v/>
      </c>
      <c r="N35">
        <f>IF($X35="","",Settings!$C$7)</f>
        <v/>
      </c>
      <c r="O35" s="7">
        <f>IF($X35="","",SUMIFS('Per Line'!$U$2:$U$1501,'Per Line'!$AJ$2:$AJ$1501,$A35&amp;"|"&amp;$C35,'Per Line'!$AM$2:$AM$1501,0,'Per Line'!$AN$2:$AN$1501,0))</f>
        <v/>
      </c>
      <c r="P35" s="7">
        <f>IF($X35="","",O35*N35)</f>
        <v/>
      </c>
      <c r="Q35">
        <f>IF($X35="","",Settings!$C$6)</f>
        <v/>
      </c>
      <c r="R35" s="7">
        <f>IF($X35="","",SUMIFS('Per Line'!$U$2:$U$1501,'Per Line'!$AJ$2:$AJ$1501,$A35&amp;"|"&amp;$C35,'Per Line'!$AM$2:$AM$1501,1,'Per Line'!$AN$2:$AN$1501,0))</f>
        <v/>
      </c>
      <c r="S35" s="7">
        <f>IF($X35="","",R35*Q35)</f>
        <v/>
      </c>
      <c r="T35" s="7">
        <f>IF($X35="","",S35+P35)</f>
        <v/>
      </c>
      <c r="U35" s="7">
        <f>IF($X35="","",V35-T35)</f>
        <v/>
      </c>
      <c r="V35" s="7">
        <f>IF($X35="","",O35+R35+M35)</f>
        <v/>
      </c>
      <c r="W35" s="7">
        <f>IF($X35="","",V35-T35-K35)</f>
        <v/>
      </c>
      <c r="X35" s="13">
        <f>IF(ROWS($X$2:$X35)&lt;=MAX('Per Line'!$AL$2:$AL$1501),MATCH(ROWS($X$2:$X35),'Per Line'!$AL$2:$AL$1501,0),"")</f>
        <v/>
      </c>
    </row>
    <row r="36">
      <c r="A36">
        <f>IF($X36="","",INDEX('Per Line'!$C$2:$C$1501,$X36)&amp;"")</f>
        <v/>
      </c>
      <c r="B36" s="12" t="n"/>
      <c r="C36">
        <f>IF($X36="","",INDEX('Per Line'!$D$2:$D$1501,$X36)&amp;"")</f>
        <v/>
      </c>
      <c r="D36">
        <f>IF($X36="","",INDEX('Per Line'!$A$2:$A$1501,$X36))</f>
        <v/>
      </c>
      <c r="E36">
        <f>IF($X36="","",INDEX('Per Line'!$G$2:$G$1501,$X36)&amp;"")</f>
        <v/>
      </c>
      <c r="F36" s="11">
        <f>IF($X36="","",INDEX('Per Line'!$F$2:$F$1501,$X36))</f>
        <v/>
      </c>
      <c r="G36">
        <f>IF($X36="","",INDEX('Per Line'!$I$2:$I$1501,$X36)&amp;"")</f>
        <v/>
      </c>
      <c r="H36">
        <f>IF($X36="","",INDEX('Per Line'!$J$2:$J$1501,$X36)&amp;"")</f>
        <v/>
      </c>
      <c r="I36">
        <f>IF($X36="","",INDEX('Per Line'!$K$2:$K$1501,$X36)&amp;"")</f>
        <v/>
      </c>
      <c r="J36">
        <f>IF($X36="","",INDEX('Per Line'!$M$2:$M$1501,$X36))</f>
        <v/>
      </c>
      <c r="K36" s="7">
        <f>IF($X36="","",J36*V36/100)</f>
        <v/>
      </c>
      <c r="L36">
        <f>IF($X36="","",INDEX('Per Line'!$Y$2:$Y$1501,$X36)&amp;"")</f>
        <v/>
      </c>
      <c r="M36" s="7">
        <f>IF($X36="","",SUMIFS('Per Line'!$U$2:$U$1501,'Per Line'!$AJ$2:$AJ$1501,$A36&amp;"|"&amp;$C36,'Per Line'!$AN$2:$AN$1501,1))</f>
        <v/>
      </c>
      <c r="N36">
        <f>IF($X36="","",Settings!$C$7)</f>
        <v/>
      </c>
      <c r="O36" s="7">
        <f>IF($X36="","",SUMIFS('Per Line'!$U$2:$U$1501,'Per Line'!$AJ$2:$AJ$1501,$A36&amp;"|"&amp;$C36,'Per Line'!$AM$2:$AM$1501,0,'Per Line'!$AN$2:$AN$1501,0))</f>
        <v/>
      </c>
      <c r="P36" s="7">
        <f>IF($X36="","",O36*N36)</f>
        <v/>
      </c>
      <c r="Q36">
        <f>IF($X36="","",Settings!$C$6)</f>
        <v/>
      </c>
      <c r="R36" s="7">
        <f>IF($X36="","",SUMIFS('Per Line'!$U$2:$U$1501,'Per Line'!$AJ$2:$AJ$1501,$A36&amp;"|"&amp;$C36,'Per Line'!$AM$2:$AM$1501,1,'Per Line'!$AN$2:$AN$1501,0))</f>
        <v/>
      </c>
      <c r="S36" s="7">
        <f>IF($X36="","",R36*Q36)</f>
        <v/>
      </c>
      <c r="T36" s="7">
        <f>IF($X36="","",S36+P36)</f>
        <v/>
      </c>
      <c r="U36" s="7">
        <f>IF($X36="","",V36-T36)</f>
        <v/>
      </c>
      <c r="V36" s="7">
        <f>IF($X36="","",O36+R36+M36)</f>
        <v/>
      </c>
      <c r="W36" s="7">
        <f>IF($X36="","",V36-T36-K36)</f>
        <v/>
      </c>
      <c r="X36" s="13">
        <f>IF(ROWS($X$2:$X36)&lt;=MAX('Per Line'!$AL$2:$AL$1501),MATCH(ROWS($X$2:$X36),'Per Line'!$AL$2:$AL$1501,0),"")</f>
        <v/>
      </c>
    </row>
    <row r="37">
      <c r="A37">
        <f>IF($X37="","",INDEX('Per Line'!$C$2:$C$1501,$X37)&amp;"")</f>
        <v/>
      </c>
      <c r="B37" s="12" t="n"/>
      <c r="C37">
        <f>IF($X37="","",INDEX('Per Line'!$D$2:$D$1501,$X37)&amp;"")</f>
        <v/>
      </c>
      <c r="D37">
        <f>IF($X37="","",INDEX('Per Line'!$A$2:$A$1501,$X37))</f>
        <v/>
      </c>
      <c r="E37">
        <f>IF($X37="","",INDEX('Per Line'!$G$2:$G$1501,$X37)&amp;"")</f>
        <v/>
      </c>
      <c r="F37" s="11">
        <f>IF($X37="","",INDEX('Per Line'!$F$2:$F$1501,$X37))</f>
        <v/>
      </c>
      <c r="G37">
        <f>IF($X37="","",INDEX('Per Line'!$I$2:$I$1501,$X37)&amp;"")</f>
        <v/>
      </c>
      <c r="H37">
        <f>IF($X37="","",INDEX('Per Line'!$J$2:$J$1501,$X37)&amp;"")</f>
        <v/>
      </c>
      <c r="I37">
        <f>IF($X37="","",INDEX('Per Line'!$K$2:$K$1501,$X37)&amp;"")</f>
        <v/>
      </c>
      <c r="J37">
        <f>IF($X37="","",INDEX('Per Line'!$M$2:$M$1501,$X37))</f>
        <v/>
      </c>
      <c r="K37" s="7">
        <f>IF($X37="","",J37*V37/100)</f>
        <v/>
      </c>
      <c r="L37">
        <f>IF($X37="","",INDEX('Per Line'!$Y$2:$Y$1501,$X37)&amp;"")</f>
        <v/>
      </c>
      <c r="M37" s="7">
        <f>IF($X37="","",SUMIFS('Per Line'!$U$2:$U$1501,'Per Line'!$AJ$2:$AJ$1501,$A37&amp;"|"&amp;$C37,'Per Line'!$AN$2:$AN$1501,1))</f>
        <v/>
      </c>
      <c r="N37">
        <f>IF($X37="","",Settings!$C$7)</f>
        <v/>
      </c>
      <c r="O37" s="7">
        <f>IF($X37="","",SUMIFS('Per Line'!$U$2:$U$1501,'Per Line'!$AJ$2:$AJ$1501,$A37&amp;"|"&amp;$C37,'Per Line'!$AM$2:$AM$1501,0,'Per Line'!$AN$2:$AN$1501,0))</f>
        <v/>
      </c>
      <c r="P37" s="7">
        <f>IF($X37="","",O37*N37)</f>
        <v/>
      </c>
      <c r="Q37">
        <f>IF($X37="","",Settings!$C$6)</f>
        <v/>
      </c>
      <c r="R37" s="7">
        <f>IF($X37="","",SUMIFS('Per Line'!$U$2:$U$1501,'Per Line'!$AJ$2:$AJ$1501,$A37&amp;"|"&amp;$C37,'Per Line'!$AM$2:$AM$1501,1,'Per Line'!$AN$2:$AN$1501,0))</f>
        <v/>
      </c>
      <c r="S37" s="7">
        <f>IF($X37="","",R37*Q37)</f>
        <v/>
      </c>
      <c r="T37" s="7">
        <f>IF($X37="","",S37+P37)</f>
        <v/>
      </c>
      <c r="U37" s="7">
        <f>IF($X37="","",V37-T37)</f>
        <v/>
      </c>
      <c r="V37" s="7">
        <f>IF($X37="","",O37+R37+M37)</f>
        <v/>
      </c>
      <c r="W37" s="7">
        <f>IF($X37="","",V37-T37-K37)</f>
        <v/>
      </c>
      <c r="X37" s="13">
        <f>IF(ROWS($X$2:$X37)&lt;=MAX('Per Line'!$AL$2:$AL$1501),MATCH(ROWS($X$2:$X37),'Per Line'!$AL$2:$AL$1501,0),"")</f>
        <v/>
      </c>
    </row>
    <row r="38">
      <c r="A38">
        <f>IF($X38="","",INDEX('Per Line'!$C$2:$C$1501,$X38)&amp;"")</f>
        <v/>
      </c>
      <c r="B38" s="12" t="n"/>
      <c r="C38">
        <f>IF($X38="","",INDEX('Per Line'!$D$2:$D$1501,$X38)&amp;"")</f>
        <v/>
      </c>
      <c r="D38">
        <f>IF($X38="","",INDEX('Per Line'!$A$2:$A$1501,$X38))</f>
        <v/>
      </c>
      <c r="E38">
        <f>IF($X38="","",INDEX('Per Line'!$G$2:$G$1501,$X38)&amp;"")</f>
        <v/>
      </c>
      <c r="F38" s="11">
        <f>IF($X38="","",INDEX('Per Line'!$F$2:$F$1501,$X38))</f>
        <v/>
      </c>
      <c r="G38">
        <f>IF($X38="","",INDEX('Per Line'!$I$2:$I$1501,$X38)&amp;"")</f>
        <v/>
      </c>
      <c r="H38">
        <f>IF($X38="","",INDEX('Per Line'!$J$2:$J$1501,$X38)&amp;"")</f>
        <v/>
      </c>
      <c r="I38">
        <f>IF($X38="","",INDEX('Per Line'!$K$2:$K$1501,$X38)&amp;"")</f>
        <v/>
      </c>
      <c r="J38">
        <f>IF($X38="","",INDEX('Per Line'!$M$2:$M$1501,$X38))</f>
        <v/>
      </c>
      <c r="K38" s="7">
        <f>IF($X38="","",J38*V38/100)</f>
        <v/>
      </c>
      <c r="L38">
        <f>IF($X38="","",INDEX('Per Line'!$Y$2:$Y$1501,$X38)&amp;"")</f>
        <v/>
      </c>
      <c r="M38" s="7">
        <f>IF($X38="","",SUMIFS('Per Line'!$U$2:$U$1501,'Per Line'!$AJ$2:$AJ$1501,$A38&amp;"|"&amp;$C38,'Per Line'!$AN$2:$AN$1501,1))</f>
        <v/>
      </c>
      <c r="N38">
        <f>IF($X38="","",Settings!$C$7)</f>
        <v/>
      </c>
      <c r="O38" s="7">
        <f>IF($X38="","",SUMIFS('Per Line'!$U$2:$U$1501,'Per Line'!$AJ$2:$AJ$1501,$A38&amp;"|"&amp;$C38,'Per Line'!$AM$2:$AM$1501,0,'Per Line'!$AN$2:$AN$1501,0))</f>
        <v/>
      </c>
      <c r="P38" s="7">
        <f>IF($X38="","",O38*N38)</f>
        <v/>
      </c>
      <c r="Q38">
        <f>IF($X38="","",Settings!$C$6)</f>
        <v/>
      </c>
      <c r="R38" s="7">
        <f>IF($X38="","",SUMIFS('Per Line'!$U$2:$U$1501,'Per Line'!$AJ$2:$AJ$1501,$A38&amp;"|"&amp;$C38,'Per Line'!$AM$2:$AM$1501,1,'Per Line'!$AN$2:$AN$1501,0))</f>
        <v/>
      </c>
      <c r="S38" s="7">
        <f>IF($X38="","",R38*Q38)</f>
        <v/>
      </c>
      <c r="T38" s="7">
        <f>IF($X38="","",S38+P38)</f>
        <v/>
      </c>
      <c r="U38" s="7">
        <f>IF($X38="","",V38-T38)</f>
        <v/>
      </c>
      <c r="V38" s="7">
        <f>IF($X38="","",O38+R38+M38)</f>
        <v/>
      </c>
      <c r="W38" s="7">
        <f>IF($X38="","",V38-T38-K38)</f>
        <v/>
      </c>
      <c r="X38" s="13">
        <f>IF(ROWS($X$2:$X38)&lt;=MAX('Per Line'!$AL$2:$AL$1501),MATCH(ROWS($X$2:$X38),'Per Line'!$AL$2:$AL$1501,0),"")</f>
        <v/>
      </c>
    </row>
    <row r="39">
      <c r="A39">
        <f>IF($X39="","",INDEX('Per Line'!$C$2:$C$1501,$X39)&amp;"")</f>
        <v/>
      </c>
      <c r="B39" s="12" t="n"/>
      <c r="C39">
        <f>IF($X39="","",INDEX('Per Line'!$D$2:$D$1501,$X39)&amp;"")</f>
        <v/>
      </c>
      <c r="D39">
        <f>IF($X39="","",INDEX('Per Line'!$A$2:$A$1501,$X39))</f>
        <v/>
      </c>
      <c r="E39">
        <f>IF($X39="","",INDEX('Per Line'!$G$2:$G$1501,$X39)&amp;"")</f>
        <v/>
      </c>
      <c r="F39" s="11">
        <f>IF($X39="","",INDEX('Per Line'!$F$2:$F$1501,$X39))</f>
        <v/>
      </c>
      <c r="G39">
        <f>IF($X39="","",INDEX('Per Line'!$I$2:$I$1501,$X39)&amp;"")</f>
        <v/>
      </c>
      <c r="H39">
        <f>IF($X39="","",INDEX('Per Line'!$J$2:$J$1501,$X39)&amp;"")</f>
        <v/>
      </c>
      <c r="I39">
        <f>IF($X39="","",INDEX('Per Line'!$K$2:$K$1501,$X39)&amp;"")</f>
        <v/>
      </c>
      <c r="J39">
        <f>IF($X39="","",INDEX('Per Line'!$M$2:$M$1501,$X39))</f>
        <v/>
      </c>
      <c r="K39" s="7">
        <f>IF($X39="","",J39*V39/100)</f>
        <v/>
      </c>
      <c r="L39">
        <f>IF($X39="","",INDEX('Per Line'!$Y$2:$Y$1501,$X39)&amp;"")</f>
        <v/>
      </c>
      <c r="M39" s="7">
        <f>IF($X39="","",SUMIFS('Per Line'!$U$2:$U$1501,'Per Line'!$AJ$2:$AJ$1501,$A39&amp;"|"&amp;$C39,'Per Line'!$AN$2:$AN$1501,1))</f>
        <v/>
      </c>
      <c r="N39">
        <f>IF($X39="","",Settings!$C$7)</f>
        <v/>
      </c>
      <c r="O39" s="7">
        <f>IF($X39="","",SUMIFS('Per Line'!$U$2:$U$1501,'Per Line'!$AJ$2:$AJ$1501,$A39&amp;"|"&amp;$C39,'Per Line'!$AM$2:$AM$1501,0,'Per Line'!$AN$2:$AN$1501,0))</f>
        <v/>
      </c>
      <c r="P39" s="7">
        <f>IF($X39="","",O39*N39)</f>
        <v/>
      </c>
      <c r="Q39">
        <f>IF($X39="","",Settings!$C$6)</f>
        <v/>
      </c>
      <c r="R39" s="7">
        <f>IF($X39="","",SUMIFS('Per Line'!$U$2:$U$1501,'Per Line'!$AJ$2:$AJ$1501,$A39&amp;"|"&amp;$C39,'Per Line'!$AM$2:$AM$1501,1,'Per Line'!$AN$2:$AN$1501,0))</f>
        <v/>
      </c>
      <c r="S39" s="7">
        <f>IF($X39="","",R39*Q39)</f>
        <v/>
      </c>
      <c r="T39" s="7">
        <f>IF($X39="","",S39+P39)</f>
        <v/>
      </c>
      <c r="U39" s="7">
        <f>IF($X39="","",V39-T39)</f>
        <v/>
      </c>
      <c r="V39" s="7">
        <f>IF($X39="","",O39+R39+M39)</f>
        <v/>
      </c>
      <c r="W39" s="7">
        <f>IF($X39="","",V39-T39-K39)</f>
        <v/>
      </c>
      <c r="X39" s="13">
        <f>IF(ROWS($X$2:$X39)&lt;=MAX('Per Line'!$AL$2:$AL$1501),MATCH(ROWS($X$2:$X39),'Per Line'!$AL$2:$AL$1501,0),"")</f>
        <v/>
      </c>
    </row>
    <row r="40">
      <c r="A40">
        <f>IF($X40="","",INDEX('Per Line'!$C$2:$C$1501,$X40)&amp;"")</f>
        <v/>
      </c>
      <c r="B40" s="12" t="n"/>
      <c r="C40">
        <f>IF($X40="","",INDEX('Per Line'!$D$2:$D$1501,$X40)&amp;"")</f>
        <v/>
      </c>
      <c r="D40">
        <f>IF($X40="","",INDEX('Per Line'!$A$2:$A$1501,$X40))</f>
        <v/>
      </c>
      <c r="E40">
        <f>IF($X40="","",INDEX('Per Line'!$G$2:$G$1501,$X40)&amp;"")</f>
        <v/>
      </c>
      <c r="F40" s="11">
        <f>IF($X40="","",INDEX('Per Line'!$F$2:$F$1501,$X40))</f>
        <v/>
      </c>
      <c r="G40">
        <f>IF($X40="","",INDEX('Per Line'!$I$2:$I$1501,$X40)&amp;"")</f>
        <v/>
      </c>
      <c r="H40">
        <f>IF($X40="","",INDEX('Per Line'!$J$2:$J$1501,$X40)&amp;"")</f>
        <v/>
      </c>
      <c r="I40">
        <f>IF($X40="","",INDEX('Per Line'!$K$2:$K$1501,$X40)&amp;"")</f>
        <v/>
      </c>
      <c r="J40">
        <f>IF($X40="","",INDEX('Per Line'!$M$2:$M$1501,$X40))</f>
        <v/>
      </c>
      <c r="K40" s="7">
        <f>IF($X40="","",J40*V40/100)</f>
        <v/>
      </c>
      <c r="L40">
        <f>IF($X40="","",INDEX('Per Line'!$Y$2:$Y$1501,$X40)&amp;"")</f>
        <v/>
      </c>
      <c r="M40" s="7">
        <f>IF($X40="","",SUMIFS('Per Line'!$U$2:$U$1501,'Per Line'!$AJ$2:$AJ$1501,$A40&amp;"|"&amp;$C40,'Per Line'!$AN$2:$AN$1501,1))</f>
        <v/>
      </c>
      <c r="N40">
        <f>IF($X40="","",Settings!$C$7)</f>
        <v/>
      </c>
      <c r="O40" s="7">
        <f>IF($X40="","",SUMIFS('Per Line'!$U$2:$U$1501,'Per Line'!$AJ$2:$AJ$1501,$A40&amp;"|"&amp;$C40,'Per Line'!$AM$2:$AM$1501,0,'Per Line'!$AN$2:$AN$1501,0))</f>
        <v/>
      </c>
      <c r="P40" s="7">
        <f>IF($X40="","",O40*N40)</f>
        <v/>
      </c>
      <c r="Q40">
        <f>IF($X40="","",Settings!$C$6)</f>
        <v/>
      </c>
      <c r="R40" s="7">
        <f>IF($X40="","",SUMIFS('Per Line'!$U$2:$U$1501,'Per Line'!$AJ$2:$AJ$1501,$A40&amp;"|"&amp;$C40,'Per Line'!$AM$2:$AM$1501,1,'Per Line'!$AN$2:$AN$1501,0))</f>
        <v/>
      </c>
      <c r="S40" s="7">
        <f>IF($X40="","",R40*Q40)</f>
        <v/>
      </c>
      <c r="T40" s="7">
        <f>IF($X40="","",S40+P40)</f>
        <v/>
      </c>
      <c r="U40" s="7">
        <f>IF($X40="","",V40-T40)</f>
        <v/>
      </c>
      <c r="V40" s="7">
        <f>IF($X40="","",O40+R40+M40)</f>
        <v/>
      </c>
      <c r="W40" s="7">
        <f>IF($X40="","",V40-T40-K40)</f>
        <v/>
      </c>
      <c r="X40" s="13">
        <f>IF(ROWS($X$2:$X40)&lt;=MAX('Per Line'!$AL$2:$AL$1501),MATCH(ROWS($X$2:$X40),'Per Line'!$AL$2:$AL$1501,0),"")</f>
        <v/>
      </c>
    </row>
    <row r="41">
      <c r="A41">
        <f>IF($X41="","",INDEX('Per Line'!$C$2:$C$1501,$X41)&amp;"")</f>
        <v/>
      </c>
      <c r="B41" s="12" t="n"/>
      <c r="C41">
        <f>IF($X41="","",INDEX('Per Line'!$D$2:$D$1501,$X41)&amp;"")</f>
        <v/>
      </c>
      <c r="D41">
        <f>IF($X41="","",INDEX('Per Line'!$A$2:$A$1501,$X41))</f>
        <v/>
      </c>
      <c r="E41">
        <f>IF($X41="","",INDEX('Per Line'!$G$2:$G$1501,$X41)&amp;"")</f>
        <v/>
      </c>
      <c r="F41" s="11">
        <f>IF($X41="","",INDEX('Per Line'!$F$2:$F$1501,$X41))</f>
        <v/>
      </c>
      <c r="G41">
        <f>IF($X41="","",INDEX('Per Line'!$I$2:$I$1501,$X41)&amp;"")</f>
        <v/>
      </c>
      <c r="H41">
        <f>IF($X41="","",INDEX('Per Line'!$J$2:$J$1501,$X41)&amp;"")</f>
        <v/>
      </c>
      <c r="I41">
        <f>IF($X41="","",INDEX('Per Line'!$K$2:$K$1501,$X41)&amp;"")</f>
        <v/>
      </c>
      <c r="J41">
        <f>IF($X41="","",INDEX('Per Line'!$M$2:$M$1501,$X41))</f>
        <v/>
      </c>
      <c r="K41" s="7">
        <f>IF($X41="","",J41*V41/100)</f>
        <v/>
      </c>
      <c r="L41">
        <f>IF($X41="","",INDEX('Per Line'!$Y$2:$Y$1501,$X41)&amp;"")</f>
        <v/>
      </c>
      <c r="M41" s="7">
        <f>IF($X41="","",SUMIFS('Per Line'!$U$2:$U$1501,'Per Line'!$AJ$2:$AJ$1501,$A41&amp;"|"&amp;$C41,'Per Line'!$AN$2:$AN$1501,1))</f>
        <v/>
      </c>
      <c r="N41">
        <f>IF($X41="","",Settings!$C$7)</f>
        <v/>
      </c>
      <c r="O41" s="7">
        <f>IF($X41="","",SUMIFS('Per Line'!$U$2:$U$1501,'Per Line'!$AJ$2:$AJ$1501,$A41&amp;"|"&amp;$C41,'Per Line'!$AM$2:$AM$1501,0,'Per Line'!$AN$2:$AN$1501,0))</f>
        <v/>
      </c>
      <c r="P41" s="7">
        <f>IF($X41="","",O41*N41)</f>
        <v/>
      </c>
      <c r="Q41">
        <f>IF($X41="","",Settings!$C$6)</f>
        <v/>
      </c>
      <c r="R41" s="7">
        <f>IF($X41="","",SUMIFS('Per Line'!$U$2:$U$1501,'Per Line'!$AJ$2:$AJ$1501,$A41&amp;"|"&amp;$C41,'Per Line'!$AM$2:$AM$1501,1,'Per Line'!$AN$2:$AN$1501,0))</f>
        <v/>
      </c>
      <c r="S41" s="7">
        <f>IF($X41="","",R41*Q41)</f>
        <v/>
      </c>
      <c r="T41" s="7">
        <f>IF($X41="","",S41+P41)</f>
        <v/>
      </c>
      <c r="U41" s="7">
        <f>IF($X41="","",V41-T41)</f>
        <v/>
      </c>
      <c r="V41" s="7">
        <f>IF($X41="","",O41+R41+M41)</f>
        <v/>
      </c>
      <c r="W41" s="7">
        <f>IF($X41="","",V41-T41-K41)</f>
        <v/>
      </c>
      <c r="X41" s="13">
        <f>IF(ROWS($X$2:$X41)&lt;=MAX('Per Line'!$AL$2:$AL$1501),MATCH(ROWS($X$2:$X41),'Per Line'!$AL$2:$AL$1501,0),"")</f>
        <v/>
      </c>
    </row>
    <row r="42">
      <c r="A42">
        <f>IF($X42="","",INDEX('Per Line'!$C$2:$C$1501,$X42)&amp;"")</f>
        <v/>
      </c>
      <c r="B42" s="12" t="n"/>
      <c r="C42">
        <f>IF($X42="","",INDEX('Per Line'!$D$2:$D$1501,$X42)&amp;"")</f>
        <v/>
      </c>
      <c r="D42">
        <f>IF($X42="","",INDEX('Per Line'!$A$2:$A$1501,$X42))</f>
        <v/>
      </c>
      <c r="E42">
        <f>IF($X42="","",INDEX('Per Line'!$G$2:$G$1501,$X42)&amp;"")</f>
        <v/>
      </c>
      <c r="F42" s="11">
        <f>IF($X42="","",INDEX('Per Line'!$F$2:$F$1501,$X42))</f>
        <v/>
      </c>
      <c r="G42">
        <f>IF($X42="","",INDEX('Per Line'!$I$2:$I$1501,$X42)&amp;"")</f>
        <v/>
      </c>
      <c r="H42">
        <f>IF($X42="","",INDEX('Per Line'!$J$2:$J$1501,$X42)&amp;"")</f>
        <v/>
      </c>
      <c r="I42">
        <f>IF($X42="","",INDEX('Per Line'!$K$2:$K$1501,$X42)&amp;"")</f>
        <v/>
      </c>
      <c r="J42">
        <f>IF($X42="","",INDEX('Per Line'!$M$2:$M$1501,$X42))</f>
        <v/>
      </c>
      <c r="K42" s="7">
        <f>IF($X42="","",J42*V42/100)</f>
        <v/>
      </c>
      <c r="L42">
        <f>IF($X42="","",INDEX('Per Line'!$Y$2:$Y$1501,$X42)&amp;"")</f>
        <v/>
      </c>
      <c r="M42" s="7">
        <f>IF($X42="","",SUMIFS('Per Line'!$U$2:$U$1501,'Per Line'!$AJ$2:$AJ$1501,$A42&amp;"|"&amp;$C42,'Per Line'!$AN$2:$AN$1501,1))</f>
        <v/>
      </c>
      <c r="N42">
        <f>IF($X42="","",Settings!$C$7)</f>
        <v/>
      </c>
      <c r="O42" s="7">
        <f>IF($X42="","",SUMIFS('Per Line'!$U$2:$U$1501,'Per Line'!$AJ$2:$AJ$1501,$A42&amp;"|"&amp;$C42,'Per Line'!$AM$2:$AM$1501,0,'Per Line'!$AN$2:$AN$1501,0))</f>
        <v/>
      </c>
      <c r="P42" s="7">
        <f>IF($X42="","",O42*N42)</f>
        <v/>
      </c>
      <c r="Q42">
        <f>IF($X42="","",Settings!$C$6)</f>
        <v/>
      </c>
      <c r="R42" s="7">
        <f>IF($X42="","",SUMIFS('Per Line'!$U$2:$U$1501,'Per Line'!$AJ$2:$AJ$1501,$A42&amp;"|"&amp;$C42,'Per Line'!$AM$2:$AM$1501,1,'Per Line'!$AN$2:$AN$1501,0))</f>
        <v/>
      </c>
      <c r="S42" s="7">
        <f>IF($X42="","",R42*Q42)</f>
        <v/>
      </c>
      <c r="T42" s="7">
        <f>IF($X42="","",S42+P42)</f>
        <v/>
      </c>
      <c r="U42" s="7">
        <f>IF($X42="","",V42-T42)</f>
        <v/>
      </c>
      <c r="V42" s="7">
        <f>IF($X42="","",O42+R42+M42)</f>
        <v/>
      </c>
      <c r="W42" s="7">
        <f>IF($X42="","",V42-T42-K42)</f>
        <v/>
      </c>
      <c r="X42" s="13">
        <f>IF(ROWS($X$2:$X42)&lt;=MAX('Per Line'!$AL$2:$AL$1501),MATCH(ROWS($X$2:$X42),'Per Line'!$AL$2:$AL$1501,0),"")</f>
        <v/>
      </c>
    </row>
    <row r="43">
      <c r="A43">
        <f>IF($X43="","",INDEX('Per Line'!$C$2:$C$1501,$X43)&amp;"")</f>
        <v/>
      </c>
      <c r="B43" s="12" t="n"/>
      <c r="C43">
        <f>IF($X43="","",INDEX('Per Line'!$D$2:$D$1501,$X43)&amp;"")</f>
        <v/>
      </c>
      <c r="D43">
        <f>IF($X43="","",INDEX('Per Line'!$A$2:$A$1501,$X43))</f>
        <v/>
      </c>
      <c r="E43">
        <f>IF($X43="","",INDEX('Per Line'!$G$2:$G$1501,$X43)&amp;"")</f>
        <v/>
      </c>
      <c r="F43" s="11">
        <f>IF($X43="","",INDEX('Per Line'!$F$2:$F$1501,$X43))</f>
        <v/>
      </c>
      <c r="G43">
        <f>IF($X43="","",INDEX('Per Line'!$I$2:$I$1501,$X43)&amp;"")</f>
        <v/>
      </c>
      <c r="H43">
        <f>IF($X43="","",INDEX('Per Line'!$J$2:$J$1501,$X43)&amp;"")</f>
        <v/>
      </c>
      <c r="I43">
        <f>IF($X43="","",INDEX('Per Line'!$K$2:$K$1501,$X43)&amp;"")</f>
        <v/>
      </c>
      <c r="J43">
        <f>IF($X43="","",INDEX('Per Line'!$M$2:$M$1501,$X43))</f>
        <v/>
      </c>
      <c r="K43" s="7">
        <f>IF($X43="","",J43*V43/100)</f>
        <v/>
      </c>
      <c r="L43">
        <f>IF($X43="","",INDEX('Per Line'!$Y$2:$Y$1501,$X43)&amp;"")</f>
        <v/>
      </c>
      <c r="M43" s="7">
        <f>IF($X43="","",SUMIFS('Per Line'!$U$2:$U$1501,'Per Line'!$AJ$2:$AJ$1501,$A43&amp;"|"&amp;$C43,'Per Line'!$AN$2:$AN$1501,1))</f>
        <v/>
      </c>
      <c r="N43">
        <f>IF($X43="","",Settings!$C$7)</f>
        <v/>
      </c>
      <c r="O43" s="7">
        <f>IF($X43="","",SUMIFS('Per Line'!$U$2:$U$1501,'Per Line'!$AJ$2:$AJ$1501,$A43&amp;"|"&amp;$C43,'Per Line'!$AM$2:$AM$1501,0,'Per Line'!$AN$2:$AN$1501,0))</f>
        <v/>
      </c>
      <c r="P43" s="7">
        <f>IF($X43="","",O43*N43)</f>
        <v/>
      </c>
      <c r="Q43">
        <f>IF($X43="","",Settings!$C$6)</f>
        <v/>
      </c>
      <c r="R43" s="7">
        <f>IF($X43="","",SUMIFS('Per Line'!$U$2:$U$1501,'Per Line'!$AJ$2:$AJ$1501,$A43&amp;"|"&amp;$C43,'Per Line'!$AM$2:$AM$1501,1,'Per Line'!$AN$2:$AN$1501,0))</f>
        <v/>
      </c>
      <c r="S43" s="7">
        <f>IF($X43="","",R43*Q43)</f>
        <v/>
      </c>
      <c r="T43" s="7">
        <f>IF($X43="","",S43+P43)</f>
        <v/>
      </c>
      <c r="U43" s="7">
        <f>IF($X43="","",V43-T43)</f>
        <v/>
      </c>
      <c r="V43" s="7">
        <f>IF($X43="","",O43+R43+M43)</f>
        <v/>
      </c>
      <c r="W43" s="7">
        <f>IF($X43="","",V43-T43-K43)</f>
        <v/>
      </c>
      <c r="X43" s="13">
        <f>IF(ROWS($X$2:$X43)&lt;=MAX('Per Line'!$AL$2:$AL$1501),MATCH(ROWS($X$2:$X43),'Per Line'!$AL$2:$AL$1501,0),"")</f>
        <v/>
      </c>
    </row>
    <row r="44">
      <c r="A44">
        <f>IF($X44="","",INDEX('Per Line'!$C$2:$C$1501,$X44)&amp;"")</f>
        <v/>
      </c>
      <c r="B44" s="12" t="n"/>
      <c r="C44">
        <f>IF($X44="","",INDEX('Per Line'!$D$2:$D$1501,$X44)&amp;"")</f>
        <v/>
      </c>
      <c r="D44">
        <f>IF($X44="","",INDEX('Per Line'!$A$2:$A$1501,$X44))</f>
        <v/>
      </c>
      <c r="E44">
        <f>IF($X44="","",INDEX('Per Line'!$G$2:$G$1501,$X44)&amp;"")</f>
        <v/>
      </c>
      <c r="F44" s="11">
        <f>IF($X44="","",INDEX('Per Line'!$F$2:$F$1501,$X44))</f>
        <v/>
      </c>
      <c r="G44">
        <f>IF($X44="","",INDEX('Per Line'!$I$2:$I$1501,$X44)&amp;"")</f>
        <v/>
      </c>
      <c r="H44">
        <f>IF($X44="","",INDEX('Per Line'!$J$2:$J$1501,$X44)&amp;"")</f>
        <v/>
      </c>
      <c r="I44">
        <f>IF($X44="","",INDEX('Per Line'!$K$2:$K$1501,$X44)&amp;"")</f>
        <v/>
      </c>
      <c r="J44">
        <f>IF($X44="","",INDEX('Per Line'!$M$2:$M$1501,$X44))</f>
        <v/>
      </c>
      <c r="K44" s="7">
        <f>IF($X44="","",J44*V44/100)</f>
        <v/>
      </c>
      <c r="L44">
        <f>IF($X44="","",INDEX('Per Line'!$Y$2:$Y$1501,$X44)&amp;"")</f>
        <v/>
      </c>
      <c r="M44" s="7">
        <f>IF($X44="","",SUMIFS('Per Line'!$U$2:$U$1501,'Per Line'!$AJ$2:$AJ$1501,$A44&amp;"|"&amp;$C44,'Per Line'!$AN$2:$AN$1501,1))</f>
        <v/>
      </c>
      <c r="N44">
        <f>IF($X44="","",Settings!$C$7)</f>
        <v/>
      </c>
      <c r="O44" s="7">
        <f>IF($X44="","",SUMIFS('Per Line'!$U$2:$U$1501,'Per Line'!$AJ$2:$AJ$1501,$A44&amp;"|"&amp;$C44,'Per Line'!$AM$2:$AM$1501,0,'Per Line'!$AN$2:$AN$1501,0))</f>
        <v/>
      </c>
      <c r="P44" s="7">
        <f>IF($X44="","",O44*N44)</f>
        <v/>
      </c>
      <c r="Q44">
        <f>IF($X44="","",Settings!$C$6)</f>
        <v/>
      </c>
      <c r="R44" s="7">
        <f>IF($X44="","",SUMIFS('Per Line'!$U$2:$U$1501,'Per Line'!$AJ$2:$AJ$1501,$A44&amp;"|"&amp;$C44,'Per Line'!$AM$2:$AM$1501,1,'Per Line'!$AN$2:$AN$1501,0))</f>
        <v/>
      </c>
      <c r="S44" s="7">
        <f>IF($X44="","",R44*Q44)</f>
        <v/>
      </c>
      <c r="T44" s="7">
        <f>IF($X44="","",S44+P44)</f>
        <v/>
      </c>
      <c r="U44" s="7">
        <f>IF($X44="","",V44-T44)</f>
        <v/>
      </c>
      <c r="V44" s="7">
        <f>IF($X44="","",O44+R44+M44)</f>
        <v/>
      </c>
      <c r="W44" s="7">
        <f>IF($X44="","",V44-T44-K44)</f>
        <v/>
      </c>
      <c r="X44" s="13">
        <f>IF(ROWS($X$2:$X44)&lt;=MAX('Per Line'!$AL$2:$AL$1501),MATCH(ROWS($X$2:$X44),'Per Line'!$AL$2:$AL$1501,0),"")</f>
        <v/>
      </c>
    </row>
    <row r="45">
      <c r="A45">
        <f>IF($X45="","",INDEX('Per Line'!$C$2:$C$1501,$X45)&amp;"")</f>
        <v/>
      </c>
      <c r="B45" s="12" t="n"/>
      <c r="C45">
        <f>IF($X45="","",INDEX('Per Line'!$D$2:$D$1501,$X45)&amp;"")</f>
        <v/>
      </c>
      <c r="D45">
        <f>IF($X45="","",INDEX('Per Line'!$A$2:$A$1501,$X45))</f>
        <v/>
      </c>
      <c r="E45">
        <f>IF($X45="","",INDEX('Per Line'!$G$2:$G$1501,$X45)&amp;"")</f>
        <v/>
      </c>
      <c r="F45" s="11">
        <f>IF($X45="","",INDEX('Per Line'!$F$2:$F$1501,$X45))</f>
        <v/>
      </c>
      <c r="G45">
        <f>IF($X45="","",INDEX('Per Line'!$I$2:$I$1501,$X45)&amp;"")</f>
        <v/>
      </c>
      <c r="H45">
        <f>IF($X45="","",INDEX('Per Line'!$J$2:$J$1501,$X45)&amp;"")</f>
        <v/>
      </c>
      <c r="I45">
        <f>IF($X45="","",INDEX('Per Line'!$K$2:$K$1501,$X45)&amp;"")</f>
        <v/>
      </c>
      <c r="J45">
        <f>IF($X45="","",INDEX('Per Line'!$M$2:$M$1501,$X45))</f>
        <v/>
      </c>
      <c r="K45" s="7">
        <f>IF($X45="","",J45*V45/100)</f>
        <v/>
      </c>
      <c r="L45">
        <f>IF($X45="","",INDEX('Per Line'!$Y$2:$Y$1501,$X45)&amp;"")</f>
        <v/>
      </c>
      <c r="M45" s="7">
        <f>IF($X45="","",SUMIFS('Per Line'!$U$2:$U$1501,'Per Line'!$AJ$2:$AJ$1501,$A45&amp;"|"&amp;$C45,'Per Line'!$AN$2:$AN$1501,1))</f>
        <v/>
      </c>
      <c r="N45">
        <f>IF($X45="","",Settings!$C$7)</f>
        <v/>
      </c>
      <c r="O45" s="7">
        <f>IF($X45="","",SUMIFS('Per Line'!$U$2:$U$1501,'Per Line'!$AJ$2:$AJ$1501,$A45&amp;"|"&amp;$C45,'Per Line'!$AM$2:$AM$1501,0,'Per Line'!$AN$2:$AN$1501,0))</f>
        <v/>
      </c>
      <c r="P45" s="7">
        <f>IF($X45="","",O45*N45)</f>
        <v/>
      </c>
      <c r="Q45">
        <f>IF($X45="","",Settings!$C$6)</f>
        <v/>
      </c>
      <c r="R45" s="7">
        <f>IF($X45="","",SUMIFS('Per Line'!$U$2:$U$1501,'Per Line'!$AJ$2:$AJ$1501,$A45&amp;"|"&amp;$C45,'Per Line'!$AM$2:$AM$1501,1,'Per Line'!$AN$2:$AN$1501,0))</f>
        <v/>
      </c>
      <c r="S45" s="7">
        <f>IF($X45="","",R45*Q45)</f>
        <v/>
      </c>
      <c r="T45" s="7">
        <f>IF($X45="","",S45+P45)</f>
        <v/>
      </c>
      <c r="U45" s="7">
        <f>IF($X45="","",V45-T45)</f>
        <v/>
      </c>
      <c r="V45" s="7">
        <f>IF($X45="","",O45+R45+M45)</f>
        <v/>
      </c>
      <c r="W45" s="7">
        <f>IF($X45="","",V45-T45-K45)</f>
        <v/>
      </c>
      <c r="X45" s="13">
        <f>IF(ROWS($X$2:$X45)&lt;=MAX('Per Line'!$AL$2:$AL$1501),MATCH(ROWS($X$2:$X45),'Per Line'!$AL$2:$AL$1501,0),"")</f>
        <v/>
      </c>
    </row>
    <row r="46">
      <c r="A46">
        <f>IF($X46="","",INDEX('Per Line'!$C$2:$C$1501,$X46)&amp;"")</f>
        <v/>
      </c>
      <c r="B46" s="12" t="n"/>
      <c r="C46">
        <f>IF($X46="","",INDEX('Per Line'!$D$2:$D$1501,$X46)&amp;"")</f>
        <v/>
      </c>
      <c r="D46">
        <f>IF($X46="","",INDEX('Per Line'!$A$2:$A$1501,$X46))</f>
        <v/>
      </c>
      <c r="E46">
        <f>IF($X46="","",INDEX('Per Line'!$G$2:$G$1501,$X46)&amp;"")</f>
        <v/>
      </c>
      <c r="F46" s="11">
        <f>IF($X46="","",INDEX('Per Line'!$F$2:$F$1501,$X46))</f>
        <v/>
      </c>
      <c r="G46">
        <f>IF($X46="","",INDEX('Per Line'!$I$2:$I$1501,$X46)&amp;"")</f>
        <v/>
      </c>
      <c r="H46">
        <f>IF($X46="","",INDEX('Per Line'!$J$2:$J$1501,$X46)&amp;"")</f>
        <v/>
      </c>
      <c r="I46">
        <f>IF($X46="","",INDEX('Per Line'!$K$2:$K$1501,$X46)&amp;"")</f>
        <v/>
      </c>
      <c r="J46">
        <f>IF($X46="","",INDEX('Per Line'!$M$2:$M$1501,$X46))</f>
        <v/>
      </c>
      <c r="K46" s="7">
        <f>IF($X46="","",J46*V46/100)</f>
        <v/>
      </c>
      <c r="L46">
        <f>IF($X46="","",INDEX('Per Line'!$Y$2:$Y$1501,$X46)&amp;"")</f>
        <v/>
      </c>
      <c r="M46" s="7">
        <f>IF($X46="","",SUMIFS('Per Line'!$U$2:$U$1501,'Per Line'!$AJ$2:$AJ$1501,$A46&amp;"|"&amp;$C46,'Per Line'!$AN$2:$AN$1501,1))</f>
        <v/>
      </c>
      <c r="N46">
        <f>IF($X46="","",Settings!$C$7)</f>
        <v/>
      </c>
      <c r="O46" s="7">
        <f>IF($X46="","",SUMIFS('Per Line'!$U$2:$U$1501,'Per Line'!$AJ$2:$AJ$1501,$A46&amp;"|"&amp;$C46,'Per Line'!$AM$2:$AM$1501,0,'Per Line'!$AN$2:$AN$1501,0))</f>
        <v/>
      </c>
      <c r="P46" s="7">
        <f>IF($X46="","",O46*N46)</f>
        <v/>
      </c>
      <c r="Q46">
        <f>IF($X46="","",Settings!$C$6)</f>
        <v/>
      </c>
      <c r="R46" s="7">
        <f>IF($X46="","",SUMIFS('Per Line'!$U$2:$U$1501,'Per Line'!$AJ$2:$AJ$1501,$A46&amp;"|"&amp;$C46,'Per Line'!$AM$2:$AM$1501,1,'Per Line'!$AN$2:$AN$1501,0))</f>
        <v/>
      </c>
      <c r="S46" s="7">
        <f>IF($X46="","",R46*Q46)</f>
        <v/>
      </c>
      <c r="T46" s="7">
        <f>IF($X46="","",S46+P46)</f>
        <v/>
      </c>
      <c r="U46" s="7">
        <f>IF($X46="","",V46-T46)</f>
        <v/>
      </c>
      <c r="V46" s="7">
        <f>IF($X46="","",O46+R46+M46)</f>
        <v/>
      </c>
      <c r="W46" s="7">
        <f>IF($X46="","",V46-T46-K46)</f>
        <v/>
      </c>
      <c r="X46" s="13">
        <f>IF(ROWS($X$2:$X46)&lt;=MAX('Per Line'!$AL$2:$AL$1501),MATCH(ROWS($X$2:$X46),'Per Line'!$AL$2:$AL$1501,0),"")</f>
        <v/>
      </c>
    </row>
    <row r="47">
      <c r="A47">
        <f>IF($X47="","",INDEX('Per Line'!$C$2:$C$1501,$X47)&amp;"")</f>
        <v/>
      </c>
      <c r="B47" s="12" t="n"/>
      <c r="C47">
        <f>IF($X47="","",INDEX('Per Line'!$D$2:$D$1501,$X47)&amp;"")</f>
        <v/>
      </c>
      <c r="D47">
        <f>IF($X47="","",INDEX('Per Line'!$A$2:$A$1501,$X47))</f>
        <v/>
      </c>
      <c r="E47">
        <f>IF($X47="","",INDEX('Per Line'!$G$2:$G$1501,$X47)&amp;"")</f>
        <v/>
      </c>
      <c r="F47" s="11">
        <f>IF($X47="","",INDEX('Per Line'!$F$2:$F$1501,$X47))</f>
        <v/>
      </c>
      <c r="G47">
        <f>IF($X47="","",INDEX('Per Line'!$I$2:$I$1501,$X47)&amp;"")</f>
        <v/>
      </c>
      <c r="H47">
        <f>IF($X47="","",INDEX('Per Line'!$J$2:$J$1501,$X47)&amp;"")</f>
        <v/>
      </c>
      <c r="I47">
        <f>IF($X47="","",INDEX('Per Line'!$K$2:$K$1501,$X47)&amp;"")</f>
        <v/>
      </c>
      <c r="J47">
        <f>IF($X47="","",INDEX('Per Line'!$M$2:$M$1501,$X47))</f>
        <v/>
      </c>
      <c r="K47" s="7">
        <f>IF($X47="","",J47*V47/100)</f>
        <v/>
      </c>
      <c r="L47">
        <f>IF($X47="","",INDEX('Per Line'!$Y$2:$Y$1501,$X47)&amp;"")</f>
        <v/>
      </c>
      <c r="M47" s="7">
        <f>IF($X47="","",SUMIFS('Per Line'!$U$2:$U$1501,'Per Line'!$AJ$2:$AJ$1501,$A47&amp;"|"&amp;$C47,'Per Line'!$AN$2:$AN$1501,1))</f>
        <v/>
      </c>
      <c r="N47">
        <f>IF($X47="","",Settings!$C$7)</f>
        <v/>
      </c>
      <c r="O47" s="7">
        <f>IF($X47="","",SUMIFS('Per Line'!$U$2:$U$1501,'Per Line'!$AJ$2:$AJ$1501,$A47&amp;"|"&amp;$C47,'Per Line'!$AM$2:$AM$1501,0,'Per Line'!$AN$2:$AN$1501,0))</f>
        <v/>
      </c>
      <c r="P47" s="7">
        <f>IF($X47="","",O47*N47)</f>
        <v/>
      </c>
      <c r="Q47">
        <f>IF($X47="","",Settings!$C$6)</f>
        <v/>
      </c>
      <c r="R47" s="7">
        <f>IF($X47="","",SUMIFS('Per Line'!$U$2:$U$1501,'Per Line'!$AJ$2:$AJ$1501,$A47&amp;"|"&amp;$C47,'Per Line'!$AM$2:$AM$1501,1,'Per Line'!$AN$2:$AN$1501,0))</f>
        <v/>
      </c>
      <c r="S47" s="7">
        <f>IF($X47="","",R47*Q47)</f>
        <v/>
      </c>
      <c r="T47" s="7">
        <f>IF($X47="","",S47+P47)</f>
        <v/>
      </c>
      <c r="U47" s="7">
        <f>IF($X47="","",V47-T47)</f>
        <v/>
      </c>
      <c r="V47" s="7">
        <f>IF($X47="","",O47+R47+M47)</f>
        <v/>
      </c>
      <c r="W47" s="7">
        <f>IF($X47="","",V47-T47-K47)</f>
        <v/>
      </c>
      <c r="X47" s="13">
        <f>IF(ROWS($X$2:$X47)&lt;=MAX('Per Line'!$AL$2:$AL$1501),MATCH(ROWS($X$2:$X47),'Per Line'!$AL$2:$AL$1501,0),"")</f>
        <v/>
      </c>
    </row>
    <row r="48">
      <c r="A48">
        <f>IF($X48="","",INDEX('Per Line'!$C$2:$C$1501,$X48)&amp;"")</f>
        <v/>
      </c>
      <c r="B48" s="12" t="n"/>
      <c r="C48">
        <f>IF($X48="","",INDEX('Per Line'!$D$2:$D$1501,$X48)&amp;"")</f>
        <v/>
      </c>
      <c r="D48">
        <f>IF($X48="","",INDEX('Per Line'!$A$2:$A$1501,$X48))</f>
        <v/>
      </c>
      <c r="E48">
        <f>IF($X48="","",INDEX('Per Line'!$G$2:$G$1501,$X48)&amp;"")</f>
        <v/>
      </c>
      <c r="F48" s="11">
        <f>IF($X48="","",INDEX('Per Line'!$F$2:$F$1501,$X48))</f>
        <v/>
      </c>
      <c r="G48">
        <f>IF($X48="","",INDEX('Per Line'!$I$2:$I$1501,$X48)&amp;"")</f>
        <v/>
      </c>
      <c r="H48">
        <f>IF($X48="","",INDEX('Per Line'!$J$2:$J$1501,$X48)&amp;"")</f>
        <v/>
      </c>
      <c r="I48">
        <f>IF($X48="","",INDEX('Per Line'!$K$2:$K$1501,$X48)&amp;"")</f>
        <v/>
      </c>
      <c r="J48">
        <f>IF($X48="","",INDEX('Per Line'!$M$2:$M$1501,$X48))</f>
        <v/>
      </c>
      <c r="K48" s="7">
        <f>IF($X48="","",J48*V48/100)</f>
        <v/>
      </c>
      <c r="L48">
        <f>IF($X48="","",INDEX('Per Line'!$Y$2:$Y$1501,$X48)&amp;"")</f>
        <v/>
      </c>
      <c r="M48" s="7">
        <f>IF($X48="","",SUMIFS('Per Line'!$U$2:$U$1501,'Per Line'!$AJ$2:$AJ$1501,$A48&amp;"|"&amp;$C48,'Per Line'!$AN$2:$AN$1501,1))</f>
        <v/>
      </c>
      <c r="N48">
        <f>IF($X48="","",Settings!$C$7)</f>
        <v/>
      </c>
      <c r="O48" s="7">
        <f>IF($X48="","",SUMIFS('Per Line'!$U$2:$U$1501,'Per Line'!$AJ$2:$AJ$1501,$A48&amp;"|"&amp;$C48,'Per Line'!$AM$2:$AM$1501,0,'Per Line'!$AN$2:$AN$1501,0))</f>
        <v/>
      </c>
      <c r="P48" s="7">
        <f>IF($X48="","",O48*N48)</f>
        <v/>
      </c>
      <c r="Q48">
        <f>IF($X48="","",Settings!$C$6)</f>
        <v/>
      </c>
      <c r="R48" s="7">
        <f>IF($X48="","",SUMIFS('Per Line'!$U$2:$U$1501,'Per Line'!$AJ$2:$AJ$1501,$A48&amp;"|"&amp;$C48,'Per Line'!$AM$2:$AM$1501,1,'Per Line'!$AN$2:$AN$1501,0))</f>
        <v/>
      </c>
      <c r="S48" s="7">
        <f>IF($X48="","",R48*Q48)</f>
        <v/>
      </c>
      <c r="T48" s="7">
        <f>IF($X48="","",S48+P48)</f>
        <v/>
      </c>
      <c r="U48" s="7">
        <f>IF($X48="","",V48-T48)</f>
        <v/>
      </c>
      <c r="V48" s="7">
        <f>IF($X48="","",O48+R48+M48)</f>
        <v/>
      </c>
      <c r="W48" s="7">
        <f>IF($X48="","",V48-T48-K48)</f>
        <v/>
      </c>
      <c r="X48" s="13">
        <f>IF(ROWS($X$2:$X48)&lt;=MAX('Per Line'!$AL$2:$AL$1501),MATCH(ROWS($X$2:$X48),'Per Line'!$AL$2:$AL$1501,0),"")</f>
        <v/>
      </c>
    </row>
    <row r="49">
      <c r="A49">
        <f>IF($X49="","",INDEX('Per Line'!$C$2:$C$1501,$X49)&amp;"")</f>
        <v/>
      </c>
      <c r="B49" s="12" t="n"/>
      <c r="C49">
        <f>IF($X49="","",INDEX('Per Line'!$D$2:$D$1501,$X49)&amp;"")</f>
        <v/>
      </c>
      <c r="D49">
        <f>IF($X49="","",INDEX('Per Line'!$A$2:$A$1501,$X49))</f>
        <v/>
      </c>
      <c r="E49">
        <f>IF($X49="","",INDEX('Per Line'!$G$2:$G$1501,$X49)&amp;"")</f>
        <v/>
      </c>
      <c r="F49" s="11">
        <f>IF($X49="","",INDEX('Per Line'!$F$2:$F$1501,$X49))</f>
        <v/>
      </c>
      <c r="G49">
        <f>IF($X49="","",INDEX('Per Line'!$I$2:$I$1501,$X49)&amp;"")</f>
        <v/>
      </c>
      <c r="H49">
        <f>IF($X49="","",INDEX('Per Line'!$J$2:$J$1501,$X49)&amp;"")</f>
        <v/>
      </c>
      <c r="I49">
        <f>IF($X49="","",INDEX('Per Line'!$K$2:$K$1501,$X49)&amp;"")</f>
        <v/>
      </c>
      <c r="J49">
        <f>IF($X49="","",INDEX('Per Line'!$M$2:$M$1501,$X49))</f>
        <v/>
      </c>
      <c r="K49" s="7">
        <f>IF($X49="","",J49*V49/100)</f>
        <v/>
      </c>
      <c r="L49">
        <f>IF($X49="","",INDEX('Per Line'!$Y$2:$Y$1501,$X49)&amp;"")</f>
        <v/>
      </c>
      <c r="M49" s="7">
        <f>IF($X49="","",SUMIFS('Per Line'!$U$2:$U$1501,'Per Line'!$AJ$2:$AJ$1501,$A49&amp;"|"&amp;$C49,'Per Line'!$AN$2:$AN$1501,1))</f>
        <v/>
      </c>
      <c r="N49">
        <f>IF($X49="","",Settings!$C$7)</f>
        <v/>
      </c>
      <c r="O49" s="7">
        <f>IF($X49="","",SUMIFS('Per Line'!$U$2:$U$1501,'Per Line'!$AJ$2:$AJ$1501,$A49&amp;"|"&amp;$C49,'Per Line'!$AM$2:$AM$1501,0,'Per Line'!$AN$2:$AN$1501,0))</f>
        <v/>
      </c>
      <c r="P49" s="7">
        <f>IF($X49="","",O49*N49)</f>
        <v/>
      </c>
      <c r="Q49">
        <f>IF($X49="","",Settings!$C$6)</f>
        <v/>
      </c>
      <c r="R49" s="7">
        <f>IF($X49="","",SUMIFS('Per Line'!$U$2:$U$1501,'Per Line'!$AJ$2:$AJ$1501,$A49&amp;"|"&amp;$C49,'Per Line'!$AM$2:$AM$1501,1,'Per Line'!$AN$2:$AN$1501,0))</f>
        <v/>
      </c>
      <c r="S49" s="7">
        <f>IF($X49="","",R49*Q49)</f>
        <v/>
      </c>
      <c r="T49" s="7">
        <f>IF($X49="","",S49+P49)</f>
        <v/>
      </c>
      <c r="U49" s="7">
        <f>IF($X49="","",V49-T49)</f>
        <v/>
      </c>
      <c r="V49" s="7">
        <f>IF($X49="","",O49+R49+M49)</f>
        <v/>
      </c>
      <c r="W49" s="7">
        <f>IF($X49="","",V49-T49-K49)</f>
        <v/>
      </c>
      <c r="X49" s="13">
        <f>IF(ROWS($X$2:$X49)&lt;=MAX('Per Line'!$AL$2:$AL$1501),MATCH(ROWS($X$2:$X49),'Per Line'!$AL$2:$AL$1501,0),"")</f>
        <v/>
      </c>
    </row>
    <row r="50">
      <c r="A50">
        <f>IF($X50="","",INDEX('Per Line'!$C$2:$C$1501,$X50)&amp;"")</f>
        <v/>
      </c>
      <c r="B50" s="12" t="n"/>
      <c r="C50">
        <f>IF($X50="","",INDEX('Per Line'!$D$2:$D$1501,$X50)&amp;"")</f>
        <v/>
      </c>
      <c r="D50">
        <f>IF($X50="","",INDEX('Per Line'!$A$2:$A$1501,$X50))</f>
        <v/>
      </c>
      <c r="E50">
        <f>IF($X50="","",INDEX('Per Line'!$G$2:$G$1501,$X50)&amp;"")</f>
        <v/>
      </c>
      <c r="F50" s="11">
        <f>IF($X50="","",INDEX('Per Line'!$F$2:$F$1501,$X50))</f>
        <v/>
      </c>
      <c r="G50">
        <f>IF($X50="","",INDEX('Per Line'!$I$2:$I$1501,$X50)&amp;"")</f>
        <v/>
      </c>
      <c r="H50">
        <f>IF($X50="","",INDEX('Per Line'!$J$2:$J$1501,$X50)&amp;"")</f>
        <v/>
      </c>
      <c r="I50">
        <f>IF($X50="","",INDEX('Per Line'!$K$2:$K$1501,$X50)&amp;"")</f>
        <v/>
      </c>
      <c r="J50">
        <f>IF($X50="","",INDEX('Per Line'!$M$2:$M$1501,$X50))</f>
        <v/>
      </c>
      <c r="K50" s="7">
        <f>IF($X50="","",J50*V50/100)</f>
        <v/>
      </c>
      <c r="L50">
        <f>IF($X50="","",INDEX('Per Line'!$Y$2:$Y$1501,$X50)&amp;"")</f>
        <v/>
      </c>
      <c r="M50" s="7">
        <f>IF($X50="","",SUMIFS('Per Line'!$U$2:$U$1501,'Per Line'!$AJ$2:$AJ$1501,$A50&amp;"|"&amp;$C50,'Per Line'!$AN$2:$AN$1501,1))</f>
        <v/>
      </c>
      <c r="N50">
        <f>IF($X50="","",Settings!$C$7)</f>
        <v/>
      </c>
      <c r="O50" s="7">
        <f>IF($X50="","",SUMIFS('Per Line'!$U$2:$U$1501,'Per Line'!$AJ$2:$AJ$1501,$A50&amp;"|"&amp;$C50,'Per Line'!$AM$2:$AM$1501,0,'Per Line'!$AN$2:$AN$1501,0))</f>
        <v/>
      </c>
      <c r="P50" s="7">
        <f>IF($X50="","",O50*N50)</f>
        <v/>
      </c>
      <c r="Q50">
        <f>IF($X50="","",Settings!$C$6)</f>
        <v/>
      </c>
      <c r="R50" s="7">
        <f>IF($X50="","",SUMIFS('Per Line'!$U$2:$U$1501,'Per Line'!$AJ$2:$AJ$1501,$A50&amp;"|"&amp;$C50,'Per Line'!$AM$2:$AM$1501,1,'Per Line'!$AN$2:$AN$1501,0))</f>
        <v/>
      </c>
      <c r="S50" s="7">
        <f>IF($X50="","",R50*Q50)</f>
        <v/>
      </c>
      <c r="T50" s="7">
        <f>IF($X50="","",S50+P50)</f>
        <v/>
      </c>
      <c r="U50" s="7">
        <f>IF($X50="","",V50-T50)</f>
        <v/>
      </c>
      <c r="V50" s="7">
        <f>IF($X50="","",O50+R50+M50)</f>
        <v/>
      </c>
      <c r="W50" s="7">
        <f>IF($X50="","",V50-T50-K50)</f>
        <v/>
      </c>
      <c r="X50" s="13">
        <f>IF(ROWS($X$2:$X50)&lt;=MAX('Per Line'!$AL$2:$AL$1501),MATCH(ROWS($X$2:$X50),'Per Line'!$AL$2:$AL$1501,0),"")</f>
        <v/>
      </c>
    </row>
    <row r="51">
      <c r="A51">
        <f>IF($X51="","",INDEX('Per Line'!$C$2:$C$1501,$X51)&amp;"")</f>
        <v/>
      </c>
      <c r="B51" s="12" t="n"/>
      <c r="C51">
        <f>IF($X51="","",INDEX('Per Line'!$D$2:$D$1501,$X51)&amp;"")</f>
        <v/>
      </c>
      <c r="D51">
        <f>IF($X51="","",INDEX('Per Line'!$A$2:$A$1501,$X51))</f>
        <v/>
      </c>
      <c r="E51">
        <f>IF($X51="","",INDEX('Per Line'!$G$2:$G$1501,$X51)&amp;"")</f>
        <v/>
      </c>
      <c r="F51" s="11">
        <f>IF($X51="","",INDEX('Per Line'!$F$2:$F$1501,$X51))</f>
        <v/>
      </c>
      <c r="G51">
        <f>IF($X51="","",INDEX('Per Line'!$I$2:$I$1501,$X51)&amp;"")</f>
        <v/>
      </c>
      <c r="H51">
        <f>IF($X51="","",INDEX('Per Line'!$J$2:$J$1501,$X51)&amp;"")</f>
        <v/>
      </c>
      <c r="I51">
        <f>IF($X51="","",INDEX('Per Line'!$K$2:$K$1501,$X51)&amp;"")</f>
        <v/>
      </c>
      <c r="J51">
        <f>IF($X51="","",INDEX('Per Line'!$M$2:$M$1501,$X51))</f>
        <v/>
      </c>
      <c r="K51" s="7">
        <f>IF($X51="","",J51*V51/100)</f>
        <v/>
      </c>
      <c r="L51">
        <f>IF($X51="","",INDEX('Per Line'!$Y$2:$Y$1501,$X51)&amp;"")</f>
        <v/>
      </c>
      <c r="M51" s="7">
        <f>IF($X51="","",SUMIFS('Per Line'!$U$2:$U$1501,'Per Line'!$AJ$2:$AJ$1501,$A51&amp;"|"&amp;$C51,'Per Line'!$AN$2:$AN$1501,1))</f>
        <v/>
      </c>
      <c r="N51">
        <f>IF($X51="","",Settings!$C$7)</f>
        <v/>
      </c>
      <c r="O51" s="7">
        <f>IF($X51="","",SUMIFS('Per Line'!$U$2:$U$1501,'Per Line'!$AJ$2:$AJ$1501,$A51&amp;"|"&amp;$C51,'Per Line'!$AM$2:$AM$1501,0,'Per Line'!$AN$2:$AN$1501,0))</f>
        <v/>
      </c>
      <c r="P51" s="7">
        <f>IF($X51="","",O51*N51)</f>
        <v/>
      </c>
      <c r="Q51">
        <f>IF($X51="","",Settings!$C$6)</f>
        <v/>
      </c>
      <c r="R51" s="7">
        <f>IF($X51="","",SUMIFS('Per Line'!$U$2:$U$1501,'Per Line'!$AJ$2:$AJ$1501,$A51&amp;"|"&amp;$C51,'Per Line'!$AM$2:$AM$1501,1,'Per Line'!$AN$2:$AN$1501,0))</f>
        <v/>
      </c>
      <c r="S51" s="7">
        <f>IF($X51="","",R51*Q51)</f>
        <v/>
      </c>
      <c r="T51" s="7">
        <f>IF($X51="","",S51+P51)</f>
        <v/>
      </c>
      <c r="U51" s="7">
        <f>IF($X51="","",V51-T51)</f>
        <v/>
      </c>
      <c r="V51" s="7">
        <f>IF($X51="","",O51+R51+M51)</f>
        <v/>
      </c>
      <c r="W51" s="7">
        <f>IF($X51="","",V51-T51-K51)</f>
        <v/>
      </c>
      <c r="X51" s="13">
        <f>IF(ROWS($X$2:$X51)&lt;=MAX('Per Line'!$AL$2:$AL$1501),MATCH(ROWS($X$2:$X51),'Per Line'!$AL$2:$AL$1501,0),"")</f>
        <v/>
      </c>
    </row>
    <row r="52">
      <c r="A52">
        <f>IF($X52="","",INDEX('Per Line'!$C$2:$C$1501,$X52)&amp;"")</f>
        <v/>
      </c>
      <c r="B52" s="12" t="n"/>
      <c r="C52">
        <f>IF($X52="","",INDEX('Per Line'!$D$2:$D$1501,$X52)&amp;"")</f>
        <v/>
      </c>
      <c r="D52">
        <f>IF($X52="","",INDEX('Per Line'!$A$2:$A$1501,$X52))</f>
        <v/>
      </c>
      <c r="E52">
        <f>IF($X52="","",INDEX('Per Line'!$G$2:$G$1501,$X52)&amp;"")</f>
        <v/>
      </c>
      <c r="F52" s="11">
        <f>IF($X52="","",INDEX('Per Line'!$F$2:$F$1501,$X52))</f>
        <v/>
      </c>
      <c r="G52">
        <f>IF($X52="","",INDEX('Per Line'!$I$2:$I$1501,$X52)&amp;"")</f>
        <v/>
      </c>
      <c r="H52">
        <f>IF($X52="","",INDEX('Per Line'!$J$2:$J$1501,$X52)&amp;"")</f>
        <v/>
      </c>
      <c r="I52">
        <f>IF($X52="","",INDEX('Per Line'!$K$2:$K$1501,$X52)&amp;"")</f>
        <v/>
      </c>
      <c r="J52">
        <f>IF($X52="","",INDEX('Per Line'!$M$2:$M$1501,$X52))</f>
        <v/>
      </c>
      <c r="K52" s="7">
        <f>IF($X52="","",J52*V52/100)</f>
        <v/>
      </c>
      <c r="L52">
        <f>IF($X52="","",INDEX('Per Line'!$Y$2:$Y$1501,$X52)&amp;"")</f>
        <v/>
      </c>
      <c r="M52" s="7">
        <f>IF($X52="","",SUMIFS('Per Line'!$U$2:$U$1501,'Per Line'!$AJ$2:$AJ$1501,$A52&amp;"|"&amp;$C52,'Per Line'!$AN$2:$AN$1501,1))</f>
        <v/>
      </c>
      <c r="N52">
        <f>IF($X52="","",Settings!$C$7)</f>
        <v/>
      </c>
      <c r="O52" s="7">
        <f>IF($X52="","",SUMIFS('Per Line'!$U$2:$U$1501,'Per Line'!$AJ$2:$AJ$1501,$A52&amp;"|"&amp;$C52,'Per Line'!$AM$2:$AM$1501,0,'Per Line'!$AN$2:$AN$1501,0))</f>
        <v/>
      </c>
      <c r="P52" s="7">
        <f>IF($X52="","",O52*N52)</f>
        <v/>
      </c>
      <c r="Q52">
        <f>IF($X52="","",Settings!$C$6)</f>
        <v/>
      </c>
      <c r="R52" s="7">
        <f>IF($X52="","",SUMIFS('Per Line'!$U$2:$U$1501,'Per Line'!$AJ$2:$AJ$1501,$A52&amp;"|"&amp;$C52,'Per Line'!$AM$2:$AM$1501,1,'Per Line'!$AN$2:$AN$1501,0))</f>
        <v/>
      </c>
      <c r="S52" s="7">
        <f>IF($X52="","",R52*Q52)</f>
        <v/>
      </c>
      <c r="T52" s="7">
        <f>IF($X52="","",S52+P52)</f>
        <v/>
      </c>
      <c r="U52" s="7">
        <f>IF($X52="","",V52-T52)</f>
        <v/>
      </c>
      <c r="V52" s="7">
        <f>IF($X52="","",O52+R52+M52)</f>
        <v/>
      </c>
      <c r="W52" s="7">
        <f>IF($X52="","",V52-T52-K52)</f>
        <v/>
      </c>
      <c r="X52" s="13">
        <f>IF(ROWS($X$2:$X52)&lt;=MAX('Per Line'!$AL$2:$AL$1501),MATCH(ROWS($X$2:$X52),'Per Line'!$AL$2:$AL$1501,0),"")</f>
        <v/>
      </c>
    </row>
    <row r="53">
      <c r="A53">
        <f>IF($X53="","",INDEX('Per Line'!$C$2:$C$1501,$X53)&amp;"")</f>
        <v/>
      </c>
      <c r="B53" s="12" t="n"/>
      <c r="C53">
        <f>IF($X53="","",INDEX('Per Line'!$D$2:$D$1501,$X53)&amp;"")</f>
        <v/>
      </c>
      <c r="D53">
        <f>IF($X53="","",INDEX('Per Line'!$A$2:$A$1501,$X53))</f>
        <v/>
      </c>
      <c r="E53">
        <f>IF($X53="","",INDEX('Per Line'!$G$2:$G$1501,$X53)&amp;"")</f>
        <v/>
      </c>
      <c r="F53" s="11">
        <f>IF($X53="","",INDEX('Per Line'!$F$2:$F$1501,$X53))</f>
        <v/>
      </c>
      <c r="G53">
        <f>IF($X53="","",INDEX('Per Line'!$I$2:$I$1501,$X53)&amp;"")</f>
        <v/>
      </c>
      <c r="H53">
        <f>IF($X53="","",INDEX('Per Line'!$J$2:$J$1501,$X53)&amp;"")</f>
        <v/>
      </c>
      <c r="I53">
        <f>IF($X53="","",INDEX('Per Line'!$K$2:$K$1501,$X53)&amp;"")</f>
        <v/>
      </c>
      <c r="J53">
        <f>IF($X53="","",INDEX('Per Line'!$M$2:$M$1501,$X53))</f>
        <v/>
      </c>
      <c r="K53" s="7">
        <f>IF($X53="","",J53*V53/100)</f>
        <v/>
      </c>
      <c r="L53">
        <f>IF($X53="","",INDEX('Per Line'!$Y$2:$Y$1501,$X53)&amp;"")</f>
        <v/>
      </c>
      <c r="M53" s="7">
        <f>IF($X53="","",SUMIFS('Per Line'!$U$2:$U$1501,'Per Line'!$AJ$2:$AJ$1501,$A53&amp;"|"&amp;$C53,'Per Line'!$AN$2:$AN$1501,1))</f>
        <v/>
      </c>
      <c r="N53">
        <f>IF($X53="","",Settings!$C$7)</f>
        <v/>
      </c>
      <c r="O53" s="7">
        <f>IF($X53="","",SUMIFS('Per Line'!$U$2:$U$1501,'Per Line'!$AJ$2:$AJ$1501,$A53&amp;"|"&amp;$C53,'Per Line'!$AM$2:$AM$1501,0,'Per Line'!$AN$2:$AN$1501,0))</f>
        <v/>
      </c>
      <c r="P53" s="7">
        <f>IF($X53="","",O53*N53)</f>
        <v/>
      </c>
      <c r="Q53">
        <f>IF($X53="","",Settings!$C$6)</f>
        <v/>
      </c>
      <c r="R53" s="7">
        <f>IF($X53="","",SUMIFS('Per Line'!$U$2:$U$1501,'Per Line'!$AJ$2:$AJ$1501,$A53&amp;"|"&amp;$C53,'Per Line'!$AM$2:$AM$1501,1,'Per Line'!$AN$2:$AN$1501,0))</f>
        <v/>
      </c>
      <c r="S53" s="7">
        <f>IF($X53="","",R53*Q53)</f>
        <v/>
      </c>
      <c r="T53" s="7">
        <f>IF($X53="","",S53+P53)</f>
        <v/>
      </c>
      <c r="U53" s="7">
        <f>IF($X53="","",V53-T53)</f>
        <v/>
      </c>
      <c r="V53" s="7">
        <f>IF($X53="","",O53+R53+M53)</f>
        <v/>
      </c>
      <c r="W53" s="7">
        <f>IF($X53="","",V53-T53-K53)</f>
        <v/>
      </c>
      <c r="X53" s="13">
        <f>IF(ROWS($X$2:$X53)&lt;=MAX('Per Line'!$AL$2:$AL$1501),MATCH(ROWS($X$2:$X53),'Per Line'!$AL$2:$AL$1501,0),"")</f>
        <v/>
      </c>
    </row>
    <row r="54">
      <c r="A54">
        <f>IF($X54="","",INDEX('Per Line'!$C$2:$C$1501,$X54)&amp;"")</f>
        <v/>
      </c>
      <c r="B54" s="12" t="n"/>
      <c r="C54">
        <f>IF($X54="","",INDEX('Per Line'!$D$2:$D$1501,$X54)&amp;"")</f>
        <v/>
      </c>
      <c r="D54">
        <f>IF($X54="","",INDEX('Per Line'!$A$2:$A$1501,$X54))</f>
        <v/>
      </c>
      <c r="E54">
        <f>IF($X54="","",INDEX('Per Line'!$G$2:$G$1501,$X54)&amp;"")</f>
        <v/>
      </c>
      <c r="F54" s="11">
        <f>IF($X54="","",INDEX('Per Line'!$F$2:$F$1501,$X54))</f>
        <v/>
      </c>
      <c r="G54">
        <f>IF($X54="","",INDEX('Per Line'!$I$2:$I$1501,$X54)&amp;"")</f>
        <v/>
      </c>
      <c r="H54">
        <f>IF($X54="","",INDEX('Per Line'!$J$2:$J$1501,$X54)&amp;"")</f>
        <v/>
      </c>
      <c r="I54">
        <f>IF($X54="","",INDEX('Per Line'!$K$2:$K$1501,$X54)&amp;"")</f>
        <v/>
      </c>
      <c r="J54">
        <f>IF($X54="","",INDEX('Per Line'!$M$2:$M$1501,$X54))</f>
        <v/>
      </c>
      <c r="K54" s="7">
        <f>IF($X54="","",J54*V54/100)</f>
        <v/>
      </c>
      <c r="L54">
        <f>IF($X54="","",INDEX('Per Line'!$Y$2:$Y$1501,$X54)&amp;"")</f>
        <v/>
      </c>
      <c r="M54" s="7">
        <f>IF($X54="","",SUMIFS('Per Line'!$U$2:$U$1501,'Per Line'!$AJ$2:$AJ$1501,$A54&amp;"|"&amp;$C54,'Per Line'!$AN$2:$AN$1501,1))</f>
        <v/>
      </c>
      <c r="N54">
        <f>IF($X54="","",Settings!$C$7)</f>
        <v/>
      </c>
      <c r="O54" s="7">
        <f>IF($X54="","",SUMIFS('Per Line'!$U$2:$U$1501,'Per Line'!$AJ$2:$AJ$1501,$A54&amp;"|"&amp;$C54,'Per Line'!$AM$2:$AM$1501,0,'Per Line'!$AN$2:$AN$1501,0))</f>
        <v/>
      </c>
      <c r="P54" s="7">
        <f>IF($X54="","",O54*N54)</f>
        <v/>
      </c>
      <c r="Q54">
        <f>IF($X54="","",Settings!$C$6)</f>
        <v/>
      </c>
      <c r="R54" s="7">
        <f>IF($X54="","",SUMIFS('Per Line'!$U$2:$U$1501,'Per Line'!$AJ$2:$AJ$1501,$A54&amp;"|"&amp;$C54,'Per Line'!$AM$2:$AM$1501,1,'Per Line'!$AN$2:$AN$1501,0))</f>
        <v/>
      </c>
      <c r="S54" s="7">
        <f>IF($X54="","",R54*Q54)</f>
        <v/>
      </c>
      <c r="T54" s="7">
        <f>IF($X54="","",S54+P54)</f>
        <v/>
      </c>
      <c r="U54" s="7">
        <f>IF($X54="","",V54-T54)</f>
        <v/>
      </c>
      <c r="V54" s="7">
        <f>IF($X54="","",O54+R54+M54)</f>
        <v/>
      </c>
      <c r="W54" s="7">
        <f>IF($X54="","",V54-T54-K54)</f>
        <v/>
      </c>
      <c r="X54" s="13">
        <f>IF(ROWS($X$2:$X54)&lt;=MAX('Per Line'!$AL$2:$AL$1501),MATCH(ROWS($X$2:$X54),'Per Line'!$AL$2:$AL$1501,0),"")</f>
        <v/>
      </c>
    </row>
    <row r="55">
      <c r="A55">
        <f>IF($X55="","",INDEX('Per Line'!$C$2:$C$1501,$X55)&amp;"")</f>
        <v/>
      </c>
      <c r="B55" s="12" t="n"/>
      <c r="C55">
        <f>IF($X55="","",INDEX('Per Line'!$D$2:$D$1501,$X55)&amp;"")</f>
        <v/>
      </c>
      <c r="D55">
        <f>IF($X55="","",INDEX('Per Line'!$A$2:$A$1501,$X55))</f>
        <v/>
      </c>
      <c r="E55">
        <f>IF($X55="","",INDEX('Per Line'!$G$2:$G$1501,$X55)&amp;"")</f>
        <v/>
      </c>
      <c r="F55" s="11">
        <f>IF($X55="","",INDEX('Per Line'!$F$2:$F$1501,$X55))</f>
        <v/>
      </c>
      <c r="G55">
        <f>IF($X55="","",INDEX('Per Line'!$I$2:$I$1501,$X55)&amp;"")</f>
        <v/>
      </c>
      <c r="H55">
        <f>IF($X55="","",INDEX('Per Line'!$J$2:$J$1501,$X55)&amp;"")</f>
        <v/>
      </c>
      <c r="I55">
        <f>IF($X55="","",INDEX('Per Line'!$K$2:$K$1501,$X55)&amp;"")</f>
        <v/>
      </c>
      <c r="J55">
        <f>IF($X55="","",INDEX('Per Line'!$M$2:$M$1501,$X55))</f>
        <v/>
      </c>
      <c r="K55" s="7">
        <f>IF($X55="","",J55*V55/100)</f>
        <v/>
      </c>
      <c r="L55">
        <f>IF($X55="","",INDEX('Per Line'!$Y$2:$Y$1501,$X55)&amp;"")</f>
        <v/>
      </c>
      <c r="M55" s="7">
        <f>IF($X55="","",SUMIFS('Per Line'!$U$2:$U$1501,'Per Line'!$AJ$2:$AJ$1501,$A55&amp;"|"&amp;$C55,'Per Line'!$AN$2:$AN$1501,1))</f>
        <v/>
      </c>
      <c r="N55">
        <f>IF($X55="","",Settings!$C$7)</f>
        <v/>
      </c>
      <c r="O55" s="7">
        <f>IF($X55="","",SUMIFS('Per Line'!$U$2:$U$1501,'Per Line'!$AJ$2:$AJ$1501,$A55&amp;"|"&amp;$C55,'Per Line'!$AM$2:$AM$1501,0,'Per Line'!$AN$2:$AN$1501,0))</f>
        <v/>
      </c>
      <c r="P55" s="7">
        <f>IF($X55="","",O55*N55)</f>
        <v/>
      </c>
      <c r="Q55">
        <f>IF($X55="","",Settings!$C$6)</f>
        <v/>
      </c>
      <c r="R55" s="7">
        <f>IF($X55="","",SUMIFS('Per Line'!$U$2:$U$1501,'Per Line'!$AJ$2:$AJ$1501,$A55&amp;"|"&amp;$C55,'Per Line'!$AM$2:$AM$1501,1,'Per Line'!$AN$2:$AN$1501,0))</f>
        <v/>
      </c>
      <c r="S55" s="7">
        <f>IF($X55="","",R55*Q55)</f>
        <v/>
      </c>
      <c r="T55" s="7">
        <f>IF($X55="","",S55+P55)</f>
        <v/>
      </c>
      <c r="U55" s="7">
        <f>IF($X55="","",V55-T55)</f>
        <v/>
      </c>
      <c r="V55" s="7">
        <f>IF($X55="","",O55+R55+M55)</f>
        <v/>
      </c>
      <c r="W55" s="7">
        <f>IF($X55="","",V55-T55-K55)</f>
        <v/>
      </c>
      <c r="X55" s="13">
        <f>IF(ROWS($X$2:$X55)&lt;=MAX('Per Line'!$AL$2:$AL$1501),MATCH(ROWS($X$2:$X55),'Per Line'!$AL$2:$AL$1501,0),"")</f>
        <v/>
      </c>
    </row>
    <row r="56">
      <c r="A56">
        <f>IF($X56="","",INDEX('Per Line'!$C$2:$C$1501,$X56)&amp;"")</f>
        <v/>
      </c>
      <c r="B56" s="12" t="n"/>
      <c r="C56">
        <f>IF($X56="","",INDEX('Per Line'!$D$2:$D$1501,$X56)&amp;"")</f>
        <v/>
      </c>
      <c r="D56">
        <f>IF($X56="","",INDEX('Per Line'!$A$2:$A$1501,$X56))</f>
        <v/>
      </c>
      <c r="E56">
        <f>IF($X56="","",INDEX('Per Line'!$G$2:$G$1501,$X56)&amp;"")</f>
        <v/>
      </c>
      <c r="F56" s="11">
        <f>IF($X56="","",INDEX('Per Line'!$F$2:$F$1501,$X56))</f>
        <v/>
      </c>
      <c r="G56">
        <f>IF($X56="","",INDEX('Per Line'!$I$2:$I$1501,$X56)&amp;"")</f>
        <v/>
      </c>
      <c r="H56">
        <f>IF($X56="","",INDEX('Per Line'!$J$2:$J$1501,$X56)&amp;"")</f>
        <v/>
      </c>
      <c r="I56">
        <f>IF($X56="","",INDEX('Per Line'!$K$2:$K$1501,$X56)&amp;"")</f>
        <v/>
      </c>
      <c r="J56">
        <f>IF($X56="","",INDEX('Per Line'!$M$2:$M$1501,$X56))</f>
        <v/>
      </c>
      <c r="K56" s="7">
        <f>IF($X56="","",J56*V56/100)</f>
        <v/>
      </c>
      <c r="L56">
        <f>IF($X56="","",INDEX('Per Line'!$Y$2:$Y$1501,$X56)&amp;"")</f>
        <v/>
      </c>
      <c r="M56" s="7">
        <f>IF($X56="","",SUMIFS('Per Line'!$U$2:$U$1501,'Per Line'!$AJ$2:$AJ$1501,$A56&amp;"|"&amp;$C56,'Per Line'!$AN$2:$AN$1501,1))</f>
        <v/>
      </c>
      <c r="N56">
        <f>IF($X56="","",Settings!$C$7)</f>
        <v/>
      </c>
      <c r="O56" s="7">
        <f>IF($X56="","",SUMIFS('Per Line'!$U$2:$U$1501,'Per Line'!$AJ$2:$AJ$1501,$A56&amp;"|"&amp;$C56,'Per Line'!$AM$2:$AM$1501,0,'Per Line'!$AN$2:$AN$1501,0))</f>
        <v/>
      </c>
      <c r="P56" s="7">
        <f>IF($X56="","",O56*N56)</f>
        <v/>
      </c>
      <c r="Q56">
        <f>IF($X56="","",Settings!$C$6)</f>
        <v/>
      </c>
      <c r="R56" s="7">
        <f>IF($X56="","",SUMIFS('Per Line'!$U$2:$U$1501,'Per Line'!$AJ$2:$AJ$1501,$A56&amp;"|"&amp;$C56,'Per Line'!$AM$2:$AM$1501,1,'Per Line'!$AN$2:$AN$1501,0))</f>
        <v/>
      </c>
      <c r="S56" s="7">
        <f>IF($X56="","",R56*Q56)</f>
        <v/>
      </c>
      <c r="T56" s="7">
        <f>IF($X56="","",S56+P56)</f>
        <v/>
      </c>
      <c r="U56" s="7">
        <f>IF($X56="","",V56-T56)</f>
        <v/>
      </c>
      <c r="V56" s="7">
        <f>IF($X56="","",O56+R56+M56)</f>
        <v/>
      </c>
      <c r="W56" s="7">
        <f>IF($X56="","",V56-T56-K56)</f>
        <v/>
      </c>
      <c r="X56" s="13">
        <f>IF(ROWS($X$2:$X56)&lt;=MAX('Per Line'!$AL$2:$AL$1501),MATCH(ROWS($X$2:$X56),'Per Line'!$AL$2:$AL$1501,0),"")</f>
        <v/>
      </c>
    </row>
    <row r="57">
      <c r="A57">
        <f>IF($X57="","",INDEX('Per Line'!$C$2:$C$1501,$X57)&amp;"")</f>
        <v/>
      </c>
      <c r="B57" s="12" t="n"/>
      <c r="C57">
        <f>IF($X57="","",INDEX('Per Line'!$D$2:$D$1501,$X57)&amp;"")</f>
        <v/>
      </c>
      <c r="D57">
        <f>IF($X57="","",INDEX('Per Line'!$A$2:$A$1501,$X57))</f>
        <v/>
      </c>
      <c r="E57">
        <f>IF($X57="","",INDEX('Per Line'!$G$2:$G$1501,$X57)&amp;"")</f>
        <v/>
      </c>
      <c r="F57" s="11">
        <f>IF($X57="","",INDEX('Per Line'!$F$2:$F$1501,$X57))</f>
        <v/>
      </c>
      <c r="G57">
        <f>IF($X57="","",INDEX('Per Line'!$I$2:$I$1501,$X57)&amp;"")</f>
        <v/>
      </c>
      <c r="H57">
        <f>IF($X57="","",INDEX('Per Line'!$J$2:$J$1501,$X57)&amp;"")</f>
        <v/>
      </c>
      <c r="I57">
        <f>IF($X57="","",INDEX('Per Line'!$K$2:$K$1501,$X57)&amp;"")</f>
        <v/>
      </c>
      <c r="J57">
        <f>IF($X57="","",INDEX('Per Line'!$M$2:$M$1501,$X57))</f>
        <v/>
      </c>
      <c r="K57" s="7">
        <f>IF($X57="","",J57*V57/100)</f>
        <v/>
      </c>
      <c r="L57">
        <f>IF($X57="","",INDEX('Per Line'!$Y$2:$Y$1501,$X57)&amp;"")</f>
        <v/>
      </c>
      <c r="M57" s="7">
        <f>IF($X57="","",SUMIFS('Per Line'!$U$2:$U$1501,'Per Line'!$AJ$2:$AJ$1501,$A57&amp;"|"&amp;$C57,'Per Line'!$AN$2:$AN$1501,1))</f>
        <v/>
      </c>
      <c r="N57">
        <f>IF($X57="","",Settings!$C$7)</f>
        <v/>
      </c>
      <c r="O57" s="7">
        <f>IF($X57="","",SUMIFS('Per Line'!$U$2:$U$1501,'Per Line'!$AJ$2:$AJ$1501,$A57&amp;"|"&amp;$C57,'Per Line'!$AM$2:$AM$1501,0,'Per Line'!$AN$2:$AN$1501,0))</f>
        <v/>
      </c>
      <c r="P57" s="7">
        <f>IF($X57="","",O57*N57)</f>
        <v/>
      </c>
      <c r="Q57">
        <f>IF($X57="","",Settings!$C$6)</f>
        <v/>
      </c>
      <c r="R57" s="7">
        <f>IF($X57="","",SUMIFS('Per Line'!$U$2:$U$1501,'Per Line'!$AJ$2:$AJ$1501,$A57&amp;"|"&amp;$C57,'Per Line'!$AM$2:$AM$1501,1,'Per Line'!$AN$2:$AN$1501,0))</f>
        <v/>
      </c>
      <c r="S57" s="7">
        <f>IF($X57="","",R57*Q57)</f>
        <v/>
      </c>
      <c r="T57" s="7">
        <f>IF($X57="","",S57+P57)</f>
        <v/>
      </c>
      <c r="U57" s="7">
        <f>IF($X57="","",V57-T57)</f>
        <v/>
      </c>
      <c r="V57" s="7">
        <f>IF($X57="","",O57+R57+M57)</f>
        <v/>
      </c>
      <c r="W57" s="7">
        <f>IF($X57="","",V57-T57-K57)</f>
        <v/>
      </c>
      <c r="X57" s="13">
        <f>IF(ROWS($X$2:$X57)&lt;=MAX('Per Line'!$AL$2:$AL$1501),MATCH(ROWS($X$2:$X57),'Per Line'!$AL$2:$AL$1501,0),"")</f>
        <v/>
      </c>
    </row>
    <row r="58">
      <c r="A58">
        <f>IF($X58="","",INDEX('Per Line'!$C$2:$C$1501,$X58)&amp;"")</f>
        <v/>
      </c>
      <c r="B58" s="12" t="n"/>
      <c r="C58">
        <f>IF($X58="","",INDEX('Per Line'!$D$2:$D$1501,$X58)&amp;"")</f>
        <v/>
      </c>
      <c r="D58">
        <f>IF($X58="","",INDEX('Per Line'!$A$2:$A$1501,$X58))</f>
        <v/>
      </c>
      <c r="E58">
        <f>IF($X58="","",INDEX('Per Line'!$G$2:$G$1501,$X58)&amp;"")</f>
        <v/>
      </c>
      <c r="F58" s="11">
        <f>IF($X58="","",INDEX('Per Line'!$F$2:$F$1501,$X58))</f>
        <v/>
      </c>
      <c r="G58">
        <f>IF($X58="","",INDEX('Per Line'!$I$2:$I$1501,$X58)&amp;"")</f>
        <v/>
      </c>
      <c r="H58">
        <f>IF($X58="","",INDEX('Per Line'!$J$2:$J$1501,$X58)&amp;"")</f>
        <v/>
      </c>
      <c r="I58">
        <f>IF($X58="","",INDEX('Per Line'!$K$2:$K$1501,$X58)&amp;"")</f>
        <v/>
      </c>
      <c r="J58">
        <f>IF($X58="","",INDEX('Per Line'!$M$2:$M$1501,$X58))</f>
        <v/>
      </c>
      <c r="K58" s="7">
        <f>IF($X58="","",J58*V58/100)</f>
        <v/>
      </c>
      <c r="L58">
        <f>IF($X58="","",INDEX('Per Line'!$Y$2:$Y$1501,$X58)&amp;"")</f>
        <v/>
      </c>
      <c r="M58" s="7">
        <f>IF($X58="","",SUMIFS('Per Line'!$U$2:$U$1501,'Per Line'!$AJ$2:$AJ$1501,$A58&amp;"|"&amp;$C58,'Per Line'!$AN$2:$AN$1501,1))</f>
        <v/>
      </c>
      <c r="N58">
        <f>IF($X58="","",Settings!$C$7)</f>
        <v/>
      </c>
      <c r="O58" s="7">
        <f>IF($X58="","",SUMIFS('Per Line'!$U$2:$U$1501,'Per Line'!$AJ$2:$AJ$1501,$A58&amp;"|"&amp;$C58,'Per Line'!$AM$2:$AM$1501,0,'Per Line'!$AN$2:$AN$1501,0))</f>
        <v/>
      </c>
      <c r="P58" s="7">
        <f>IF($X58="","",O58*N58)</f>
        <v/>
      </c>
      <c r="Q58">
        <f>IF($X58="","",Settings!$C$6)</f>
        <v/>
      </c>
      <c r="R58" s="7">
        <f>IF($X58="","",SUMIFS('Per Line'!$U$2:$U$1501,'Per Line'!$AJ$2:$AJ$1501,$A58&amp;"|"&amp;$C58,'Per Line'!$AM$2:$AM$1501,1,'Per Line'!$AN$2:$AN$1501,0))</f>
        <v/>
      </c>
      <c r="S58" s="7">
        <f>IF($X58="","",R58*Q58)</f>
        <v/>
      </c>
      <c r="T58" s="7">
        <f>IF($X58="","",S58+P58)</f>
        <v/>
      </c>
      <c r="U58" s="7">
        <f>IF($X58="","",V58-T58)</f>
        <v/>
      </c>
      <c r="V58" s="7">
        <f>IF($X58="","",O58+R58+M58)</f>
        <v/>
      </c>
      <c r="W58" s="7">
        <f>IF($X58="","",V58-T58-K58)</f>
        <v/>
      </c>
      <c r="X58" s="13">
        <f>IF(ROWS($X$2:$X58)&lt;=MAX('Per Line'!$AL$2:$AL$1501),MATCH(ROWS($X$2:$X58),'Per Line'!$AL$2:$AL$1501,0),"")</f>
        <v/>
      </c>
    </row>
    <row r="59">
      <c r="A59">
        <f>IF($X59="","",INDEX('Per Line'!$C$2:$C$1501,$X59)&amp;"")</f>
        <v/>
      </c>
      <c r="B59" s="12" t="n"/>
      <c r="C59">
        <f>IF($X59="","",INDEX('Per Line'!$D$2:$D$1501,$X59)&amp;"")</f>
        <v/>
      </c>
      <c r="D59">
        <f>IF($X59="","",INDEX('Per Line'!$A$2:$A$1501,$X59))</f>
        <v/>
      </c>
      <c r="E59">
        <f>IF($X59="","",INDEX('Per Line'!$G$2:$G$1501,$X59)&amp;"")</f>
        <v/>
      </c>
      <c r="F59" s="11">
        <f>IF($X59="","",INDEX('Per Line'!$F$2:$F$1501,$X59))</f>
        <v/>
      </c>
      <c r="G59">
        <f>IF($X59="","",INDEX('Per Line'!$I$2:$I$1501,$X59)&amp;"")</f>
        <v/>
      </c>
      <c r="H59">
        <f>IF($X59="","",INDEX('Per Line'!$J$2:$J$1501,$X59)&amp;"")</f>
        <v/>
      </c>
      <c r="I59">
        <f>IF($X59="","",INDEX('Per Line'!$K$2:$K$1501,$X59)&amp;"")</f>
        <v/>
      </c>
      <c r="J59">
        <f>IF($X59="","",INDEX('Per Line'!$M$2:$M$1501,$X59))</f>
        <v/>
      </c>
      <c r="K59" s="7">
        <f>IF($X59="","",J59*V59/100)</f>
        <v/>
      </c>
      <c r="L59">
        <f>IF($X59="","",INDEX('Per Line'!$Y$2:$Y$1501,$X59)&amp;"")</f>
        <v/>
      </c>
      <c r="M59" s="7">
        <f>IF($X59="","",SUMIFS('Per Line'!$U$2:$U$1501,'Per Line'!$AJ$2:$AJ$1501,$A59&amp;"|"&amp;$C59,'Per Line'!$AN$2:$AN$1501,1))</f>
        <v/>
      </c>
      <c r="N59">
        <f>IF($X59="","",Settings!$C$7)</f>
        <v/>
      </c>
      <c r="O59" s="7">
        <f>IF($X59="","",SUMIFS('Per Line'!$U$2:$U$1501,'Per Line'!$AJ$2:$AJ$1501,$A59&amp;"|"&amp;$C59,'Per Line'!$AM$2:$AM$1501,0,'Per Line'!$AN$2:$AN$1501,0))</f>
        <v/>
      </c>
      <c r="P59" s="7">
        <f>IF($X59="","",O59*N59)</f>
        <v/>
      </c>
      <c r="Q59">
        <f>IF($X59="","",Settings!$C$6)</f>
        <v/>
      </c>
      <c r="R59" s="7">
        <f>IF($X59="","",SUMIFS('Per Line'!$U$2:$U$1501,'Per Line'!$AJ$2:$AJ$1501,$A59&amp;"|"&amp;$C59,'Per Line'!$AM$2:$AM$1501,1,'Per Line'!$AN$2:$AN$1501,0))</f>
        <v/>
      </c>
      <c r="S59" s="7">
        <f>IF($X59="","",R59*Q59)</f>
        <v/>
      </c>
      <c r="T59" s="7">
        <f>IF($X59="","",S59+P59)</f>
        <v/>
      </c>
      <c r="U59" s="7">
        <f>IF($X59="","",V59-T59)</f>
        <v/>
      </c>
      <c r="V59" s="7">
        <f>IF($X59="","",O59+R59+M59)</f>
        <v/>
      </c>
      <c r="W59" s="7">
        <f>IF($X59="","",V59-T59-K59)</f>
        <v/>
      </c>
      <c r="X59" s="13">
        <f>IF(ROWS($X$2:$X59)&lt;=MAX('Per Line'!$AL$2:$AL$1501),MATCH(ROWS($X$2:$X59),'Per Line'!$AL$2:$AL$1501,0),"")</f>
        <v/>
      </c>
    </row>
    <row r="60">
      <c r="A60">
        <f>IF($X60="","",INDEX('Per Line'!$C$2:$C$1501,$X60)&amp;"")</f>
        <v/>
      </c>
      <c r="B60" s="12" t="n"/>
      <c r="C60">
        <f>IF($X60="","",INDEX('Per Line'!$D$2:$D$1501,$X60)&amp;"")</f>
        <v/>
      </c>
      <c r="D60">
        <f>IF($X60="","",INDEX('Per Line'!$A$2:$A$1501,$X60))</f>
        <v/>
      </c>
      <c r="E60">
        <f>IF($X60="","",INDEX('Per Line'!$G$2:$G$1501,$X60)&amp;"")</f>
        <v/>
      </c>
      <c r="F60" s="11">
        <f>IF($X60="","",INDEX('Per Line'!$F$2:$F$1501,$X60))</f>
        <v/>
      </c>
      <c r="G60">
        <f>IF($X60="","",INDEX('Per Line'!$I$2:$I$1501,$X60)&amp;"")</f>
        <v/>
      </c>
      <c r="H60">
        <f>IF($X60="","",INDEX('Per Line'!$J$2:$J$1501,$X60)&amp;"")</f>
        <v/>
      </c>
      <c r="I60">
        <f>IF($X60="","",INDEX('Per Line'!$K$2:$K$1501,$X60)&amp;"")</f>
        <v/>
      </c>
      <c r="J60">
        <f>IF($X60="","",INDEX('Per Line'!$M$2:$M$1501,$X60))</f>
        <v/>
      </c>
      <c r="K60" s="7">
        <f>IF($X60="","",J60*V60/100)</f>
        <v/>
      </c>
      <c r="L60">
        <f>IF($X60="","",INDEX('Per Line'!$Y$2:$Y$1501,$X60)&amp;"")</f>
        <v/>
      </c>
      <c r="M60" s="7">
        <f>IF($X60="","",SUMIFS('Per Line'!$U$2:$U$1501,'Per Line'!$AJ$2:$AJ$1501,$A60&amp;"|"&amp;$C60,'Per Line'!$AN$2:$AN$1501,1))</f>
        <v/>
      </c>
      <c r="N60">
        <f>IF($X60="","",Settings!$C$7)</f>
        <v/>
      </c>
      <c r="O60" s="7">
        <f>IF($X60="","",SUMIFS('Per Line'!$U$2:$U$1501,'Per Line'!$AJ$2:$AJ$1501,$A60&amp;"|"&amp;$C60,'Per Line'!$AM$2:$AM$1501,0,'Per Line'!$AN$2:$AN$1501,0))</f>
        <v/>
      </c>
      <c r="P60" s="7">
        <f>IF($X60="","",O60*N60)</f>
        <v/>
      </c>
      <c r="Q60">
        <f>IF($X60="","",Settings!$C$6)</f>
        <v/>
      </c>
      <c r="R60" s="7">
        <f>IF($X60="","",SUMIFS('Per Line'!$U$2:$U$1501,'Per Line'!$AJ$2:$AJ$1501,$A60&amp;"|"&amp;$C60,'Per Line'!$AM$2:$AM$1501,1,'Per Line'!$AN$2:$AN$1501,0))</f>
        <v/>
      </c>
      <c r="S60" s="7">
        <f>IF($X60="","",R60*Q60)</f>
        <v/>
      </c>
      <c r="T60" s="7">
        <f>IF($X60="","",S60+P60)</f>
        <v/>
      </c>
      <c r="U60" s="7">
        <f>IF($X60="","",V60-T60)</f>
        <v/>
      </c>
      <c r="V60" s="7">
        <f>IF($X60="","",O60+R60+M60)</f>
        <v/>
      </c>
      <c r="W60" s="7">
        <f>IF($X60="","",V60-T60-K60)</f>
        <v/>
      </c>
      <c r="X60" s="13">
        <f>IF(ROWS($X$2:$X60)&lt;=MAX('Per Line'!$AL$2:$AL$1501),MATCH(ROWS($X$2:$X60),'Per Line'!$AL$2:$AL$1501,0),"")</f>
        <v/>
      </c>
    </row>
    <row r="61">
      <c r="A61">
        <f>IF($X61="","",INDEX('Per Line'!$C$2:$C$1501,$X61)&amp;"")</f>
        <v/>
      </c>
      <c r="B61" s="12" t="n"/>
      <c r="C61">
        <f>IF($X61="","",INDEX('Per Line'!$D$2:$D$1501,$X61)&amp;"")</f>
        <v/>
      </c>
      <c r="D61">
        <f>IF($X61="","",INDEX('Per Line'!$A$2:$A$1501,$X61))</f>
        <v/>
      </c>
      <c r="E61">
        <f>IF($X61="","",INDEX('Per Line'!$G$2:$G$1501,$X61)&amp;"")</f>
        <v/>
      </c>
      <c r="F61" s="11">
        <f>IF($X61="","",INDEX('Per Line'!$F$2:$F$1501,$X61))</f>
        <v/>
      </c>
      <c r="G61">
        <f>IF($X61="","",INDEX('Per Line'!$I$2:$I$1501,$X61)&amp;"")</f>
        <v/>
      </c>
      <c r="H61">
        <f>IF($X61="","",INDEX('Per Line'!$J$2:$J$1501,$X61)&amp;"")</f>
        <v/>
      </c>
      <c r="I61">
        <f>IF($X61="","",INDEX('Per Line'!$K$2:$K$1501,$X61)&amp;"")</f>
        <v/>
      </c>
      <c r="J61">
        <f>IF($X61="","",INDEX('Per Line'!$M$2:$M$1501,$X61))</f>
        <v/>
      </c>
      <c r="K61" s="7">
        <f>IF($X61="","",J61*V61/100)</f>
        <v/>
      </c>
      <c r="L61">
        <f>IF($X61="","",INDEX('Per Line'!$Y$2:$Y$1501,$X61)&amp;"")</f>
        <v/>
      </c>
      <c r="M61" s="7">
        <f>IF($X61="","",SUMIFS('Per Line'!$U$2:$U$1501,'Per Line'!$AJ$2:$AJ$1501,$A61&amp;"|"&amp;$C61,'Per Line'!$AN$2:$AN$1501,1))</f>
        <v/>
      </c>
      <c r="N61">
        <f>IF($X61="","",Settings!$C$7)</f>
        <v/>
      </c>
      <c r="O61" s="7">
        <f>IF($X61="","",SUMIFS('Per Line'!$U$2:$U$1501,'Per Line'!$AJ$2:$AJ$1501,$A61&amp;"|"&amp;$C61,'Per Line'!$AM$2:$AM$1501,0,'Per Line'!$AN$2:$AN$1501,0))</f>
        <v/>
      </c>
      <c r="P61" s="7">
        <f>IF($X61="","",O61*N61)</f>
        <v/>
      </c>
      <c r="Q61">
        <f>IF($X61="","",Settings!$C$6)</f>
        <v/>
      </c>
      <c r="R61" s="7">
        <f>IF($X61="","",SUMIFS('Per Line'!$U$2:$U$1501,'Per Line'!$AJ$2:$AJ$1501,$A61&amp;"|"&amp;$C61,'Per Line'!$AM$2:$AM$1501,1,'Per Line'!$AN$2:$AN$1501,0))</f>
        <v/>
      </c>
      <c r="S61" s="7">
        <f>IF($X61="","",R61*Q61)</f>
        <v/>
      </c>
      <c r="T61" s="7">
        <f>IF($X61="","",S61+P61)</f>
        <v/>
      </c>
      <c r="U61" s="7">
        <f>IF($X61="","",V61-T61)</f>
        <v/>
      </c>
      <c r="V61" s="7">
        <f>IF($X61="","",O61+R61+M61)</f>
        <v/>
      </c>
      <c r="W61" s="7">
        <f>IF($X61="","",V61-T61-K61)</f>
        <v/>
      </c>
      <c r="X61" s="13">
        <f>IF(ROWS($X$2:$X61)&lt;=MAX('Per Line'!$AL$2:$AL$1501),MATCH(ROWS($X$2:$X61),'Per Line'!$AL$2:$AL$1501,0),"")</f>
        <v/>
      </c>
    </row>
    <row r="62">
      <c r="A62">
        <f>IF($X62="","",INDEX('Per Line'!$C$2:$C$1501,$X62)&amp;"")</f>
        <v/>
      </c>
      <c r="B62" s="12" t="n"/>
      <c r="C62">
        <f>IF($X62="","",INDEX('Per Line'!$D$2:$D$1501,$X62)&amp;"")</f>
        <v/>
      </c>
      <c r="D62">
        <f>IF($X62="","",INDEX('Per Line'!$A$2:$A$1501,$X62))</f>
        <v/>
      </c>
      <c r="E62">
        <f>IF($X62="","",INDEX('Per Line'!$G$2:$G$1501,$X62)&amp;"")</f>
        <v/>
      </c>
      <c r="F62" s="11">
        <f>IF($X62="","",INDEX('Per Line'!$F$2:$F$1501,$X62))</f>
        <v/>
      </c>
      <c r="G62">
        <f>IF($X62="","",INDEX('Per Line'!$I$2:$I$1501,$X62)&amp;"")</f>
        <v/>
      </c>
      <c r="H62">
        <f>IF($X62="","",INDEX('Per Line'!$J$2:$J$1501,$X62)&amp;"")</f>
        <v/>
      </c>
      <c r="I62">
        <f>IF($X62="","",INDEX('Per Line'!$K$2:$K$1501,$X62)&amp;"")</f>
        <v/>
      </c>
      <c r="J62">
        <f>IF($X62="","",INDEX('Per Line'!$M$2:$M$1501,$X62))</f>
        <v/>
      </c>
      <c r="K62" s="7">
        <f>IF($X62="","",J62*V62/100)</f>
        <v/>
      </c>
      <c r="L62">
        <f>IF($X62="","",INDEX('Per Line'!$Y$2:$Y$1501,$X62)&amp;"")</f>
        <v/>
      </c>
      <c r="M62" s="7">
        <f>IF($X62="","",SUMIFS('Per Line'!$U$2:$U$1501,'Per Line'!$AJ$2:$AJ$1501,$A62&amp;"|"&amp;$C62,'Per Line'!$AN$2:$AN$1501,1))</f>
        <v/>
      </c>
      <c r="N62">
        <f>IF($X62="","",Settings!$C$7)</f>
        <v/>
      </c>
      <c r="O62" s="7">
        <f>IF($X62="","",SUMIFS('Per Line'!$U$2:$U$1501,'Per Line'!$AJ$2:$AJ$1501,$A62&amp;"|"&amp;$C62,'Per Line'!$AM$2:$AM$1501,0,'Per Line'!$AN$2:$AN$1501,0))</f>
        <v/>
      </c>
      <c r="P62" s="7">
        <f>IF($X62="","",O62*N62)</f>
        <v/>
      </c>
      <c r="Q62">
        <f>IF($X62="","",Settings!$C$6)</f>
        <v/>
      </c>
      <c r="R62" s="7">
        <f>IF($X62="","",SUMIFS('Per Line'!$U$2:$U$1501,'Per Line'!$AJ$2:$AJ$1501,$A62&amp;"|"&amp;$C62,'Per Line'!$AM$2:$AM$1501,1,'Per Line'!$AN$2:$AN$1501,0))</f>
        <v/>
      </c>
      <c r="S62" s="7">
        <f>IF($X62="","",R62*Q62)</f>
        <v/>
      </c>
      <c r="T62" s="7">
        <f>IF($X62="","",S62+P62)</f>
        <v/>
      </c>
      <c r="U62" s="7">
        <f>IF($X62="","",V62-T62)</f>
        <v/>
      </c>
      <c r="V62" s="7">
        <f>IF($X62="","",O62+R62+M62)</f>
        <v/>
      </c>
      <c r="W62" s="7">
        <f>IF($X62="","",V62-T62-K62)</f>
        <v/>
      </c>
      <c r="X62" s="13">
        <f>IF(ROWS($X$2:$X62)&lt;=MAX('Per Line'!$AL$2:$AL$1501),MATCH(ROWS($X$2:$X62),'Per Line'!$AL$2:$AL$1501,0),"")</f>
        <v/>
      </c>
    </row>
    <row r="63">
      <c r="A63">
        <f>IF($X63="","",INDEX('Per Line'!$C$2:$C$1501,$X63)&amp;"")</f>
        <v/>
      </c>
      <c r="B63" s="12" t="n"/>
      <c r="C63">
        <f>IF($X63="","",INDEX('Per Line'!$D$2:$D$1501,$X63)&amp;"")</f>
        <v/>
      </c>
      <c r="D63">
        <f>IF($X63="","",INDEX('Per Line'!$A$2:$A$1501,$X63))</f>
        <v/>
      </c>
      <c r="E63">
        <f>IF($X63="","",INDEX('Per Line'!$G$2:$G$1501,$X63)&amp;"")</f>
        <v/>
      </c>
      <c r="F63" s="11">
        <f>IF($X63="","",INDEX('Per Line'!$F$2:$F$1501,$X63))</f>
        <v/>
      </c>
      <c r="G63">
        <f>IF($X63="","",INDEX('Per Line'!$I$2:$I$1501,$X63)&amp;"")</f>
        <v/>
      </c>
      <c r="H63">
        <f>IF($X63="","",INDEX('Per Line'!$J$2:$J$1501,$X63)&amp;"")</f>
        <v/>
      </c>
      <c r="I63">
        <f>IF($X63="","",INDEX('Per Line'!$K$2:$K$1501,$X63)&amp;"")</f>
        <v/>
      </c>
      <c r="J63">
        <f>IF($X63="","",INDEX('Per Line'!$M$2:$M$1501,$X63))</f>
        <v/>
      </c>
      <c r="K63" s="7">
        <f>IF($X63="","",J63*V63/100)</f>
        <v/>
      </c>
      <c r="L63">
        <f>IF($X63="","",INDEX('Per Line'!$Y$2:$Y$1501,$X63)&amp;"")</f>
        <v/>
      </c>
      <c r="M63" s="7">
        <f>IF($X63="","",SUMIFS('Per Line'!$U$2:$U$1501,'Per Line'!$AJ$2:$AJ$1501,$A63&amp;"|"&amp;$C63,'Per Line'!$AN$2:$AN$1501,1))</f>
        <v/>
      </c>
      <c r="N63">
        <f>IF($X63="","",Settings!$C$7)</f>
        <v/>
      </c>
      <c r="O63" s="7">
        <f>IF($X63="","",SUMIFS('Per Line'!$U$2:$U$1501,'Per Line'!$AJ$2:$AJ$1501,$A63&amp;"|"&amp;$C63,'Per Line'!$AM$2:$AM$1501,0,'Per Line'!$AN$2:$AN$1501,0))</f>
        <v/>
      </c>
      <c r="P63" s="7">
        <f>IF($X63="","",O63*N63)</f>
        <v/>
      </c>
      <c r="Q63">
        <f>IF($X63="","",Settings!$C$6)</f>
        <v/>
      </c>
      <c r="R63" s="7">
        <f>IF($X63="","",SUMIFS('Per Line'!$U$2:$U$1501,'Per Line'!$AJ$2:$AJ$1501,$A63&amp;"|"&amp;$C63,'Per Line'!$AM$2:$AM$1501,1,'Per Line'!$AN$2:$AN$1501,0))</f>
        <v/>
      </c>
      <c r="S63" s="7">
        <f>IF($X63="","",R63*Q63)</f>
        <v/>
      </c>
      <c r="T63" s="7">
        <f>IF($X63="","",S63+P63)</f>
        <v/>
      </c>
      <c r="U63" s="7">
        <f>IF($X63="","",V63-T63)</f>
        <v/>
      </c>
      <c r="V63" s="7">
        <f>IF($X63="","",O63+R63+M63)</f>
        <v/>
      </c>
      <c r="W63" s="7">
        <f>IF($X63="","",V63-T63-K63)</f>
        <v/>
      </c>
      <c r="X63" s="13">
        <f>IF(ROWS($X$2:$X63)&lt;=MAX('Per Line'!$AL$2:$AL$1501),MATCH(ROWS($X$2:$X63),'Per Line'!$AL$2:$AL$1501,0),"")</f>
        <v/>
      </c>
    </row>
    <row r="64">
      <c r="A64">
        <f>IF($X64="","",INDEX('Per Line'!$C$2:$C$1501,$X64)&amp;"")</f>
        <v/>
      </c>
      <c r="B64" s="12" t="n"/>
      <c r="C64">
        <f>IF($X64="","",INDEX('Per Line'!$D$2:$D$1501,$X64)&amp;"")</f>
        <v/>
      </c>
      <c r="D64">
        <f>IF($X64="","",INDEX('Per Line'!$A$2:$A$1501,$X64))</f>
        <v/>
      </c>
      <c r="E64">
        <f>IF($X64="","",INDEX('Per Line'!$G$2:$G$1501,$X64)&amp;"")</f>
        <v/>
      </c>
      <c r="F64" s="11">
        <f>IF($X64="","",INDEX('Per Line'!$F$2:$F$1501,$X64))</f>
        <v/>
      </c>
      <c r="G64">
        <f>IF($X64="","",INDEX('Per Line'!$I$2:$I$1501,$X64)&amp;"")</f>
        <v/>
      </c>
      <c r="H64">
        <f>IF($X64="","",INDEX('Per Line'!$J$2:$J$1501,$X64)&amp;"")</f>
        <v/>
      </c>
      <c r="I64">
        <f>IF($X64="","",INDEX('Per Line'!$K$2:$K$1501,$X64)&amp;"")</f>
        <v/>
      </c>
      <c r="J64">
        <f>IF($X64="","",INDEX('Per Line'!$M$2:$M$1501,$X64))</f>
        <v/>
      </c>
      <c r="K64" s="7">
        <f>IF($X64="","",J64*V64/100)</f>
        <v/>
      </c>
      <c r="L64">
        <f>IF($X64="","",INDEX('Per Line'!$Y$2:$Y$1501,$X64)&amp;"")</f>
        <v/>
      </c>
      <c r="M64" s="7">
        <f>IF($X64="","",SUMIFS('Per Line'!$U$2:$U$1501,'Per Line'!$AJ$2:$AJ$1501,$A64&amp;"|"&amp;$C64,'Per Line'!$AN$2:$AN$1501,1))</f>
        <v/>
      </c>
      <c r="N64">
        <f>IF($X64="","",Settings!$C$7)</f>
        <v/>
      </c>
      <c r="O64" s="7">
        <f>IF($X64="","",SUMIFS('Per Line'!$U$2:$U$1501,'Per Line'!$AJ$2:$AJ$1501,$A64&amp;"|"&amp;$C64,'Per Line'!$AM$2:$AM$1501,0,'Per Line'!$AN$2:$AN$1501,0))</f>
        <v/>
      </c>
      <c r="P64" s="7">
        <f>IF($X64="","",O64*N64)</f>
        <v/>
      </c>
      <c r="Q64">
        <f>IF($X64="","",Settings!$C$6)</f>
        <v/>
      </c>
      <c r="R64" s="7">
        <f>IF($X64="","",SUMIFS('Per Line'!$U$2:$U$1501,'Per Line'!$AJ$2:$AJ$1501,$A64&amp;"|"&amp;$C64,'Per Line'!$AM$2:$AM$1501,1,'Per Line'!$AN$2:$AN$1501,0))</f>
        <v/>
      </c>
      <c r="S64" s="7">
        <f>IF($X64="","",R64*Q64)</f>
        <v/>
      </c>
      <c r="T64" s="7">
        <f>IF($X64="","",S64+P64)</f>
        <v/>
      </c>
      <c r="U64" s="7">
        <f>IF($X64="","",V64-T64)</f>
        <v/>
      </c>
      <c r="V64" s="7">
        <f>IF($X64="","",O64+R64+M64)</f>
        <v/>
      </c>
      <c r="W64" s="7">
        <f>IF($X64="","",V64-T64-K64)</f>
        <v/>
      </c>
      <c r="X64" s="13">
        <f>IF(ROWS($X$2:$X64)&lt;=MAX('Per Line'!$AL$2:$AL$1501),MATCH(ROWS($X$2:$X64),'Per Line'!$AL$2:$AL$1501,0),"")</f>
        <v/>
      </c>
    </row>
    <row r="65">
      <c r="A65">
        <f>IF($X65="","",INDEX('Per Line'!$C$2:$C$1501,$X65)&amp;"")</f>
        <v/>
      </c>
      <c r="B65" s="12" t="n"/>
      <c r="C65">
        <f>IF($X65="","",INDEX('Per Line'!$D$2:$D$1501,$X65)&amp;"")</f>
        <v/>
      </c>
      <c r="D65">
        <f>IF($X65="","",INDEX('Per Line'!$A$2:$A$1501,$X65))</f>
        <v/>
      </c>
      <c r="E65">
        <f>IF($X65="","",INDEX('Per Line'!$G$2:$G$1501,$X65)&amp;"")</f>
        <v/>
      </c>
      <c r="F65" s="11">
        <f>IF($X65="","",INDEX('Per Line'!$F$2:$F$1501,$X65))</f>
        <v/>
      </c>
      <c r="G65">
        <f>IF($X65="","",INDEX('Per Line'!$I$2:$I$1501,$X65)&amp;"")</f>
        <v/>
      </c>
      <c r="H65">
        <f>IF($X65="","",INDEX('Per Line'!$J$2:$J$1501,$X65)&amp;"")</f>
        <v/>
      </c>
      <c r="I65">
        <f>IF($X65="","",INDEX('Per Line'!$K$2:$K$1501,$X65)&amp;"")</f>
        <v/>
      </c>
      <c r="J65">
        <f>IF($X65="","",INDEX('Per Line'!$M$2:$M$1501,$X65))</f>
        <v/>
      </c>
      <c r="K65" s="7">
        <f>IF($X65="","",J65*V65/100)</f>
        <v/>
      </c>
      <c r="L65">
        <f>IF($X65="","",INDEX('Per Line'!$Y$2:$Y$1501,$X65)&amp;"")</f>
        <v/>
      </c>
      <c r="M65" s="7">
        <f>IF($X65="","",SUMIFS('Per Line'!$U$2:$U$1501,'Per Line'!$AJ$2:$AJ$1501,$A65&amp;"|"&amp;$C65,'Per Line'!$AN$2:$AN$1501,1))</f>
        <v/>
      </c>
      <c r="N65">
        <f>IF($X65="","",Settings!$C$7)</f>
        <v/>
      </c>
      <c r="O65" s="7">
        <f>IF($X65="","",SUMIFS('Per Line'!$U$2:$U$1501,'Per Line'!$AJ$2:$AJ$1501,$A65&amp;"|"&amp;$C65,'Per Line'!$AM$2:$AM$1501,0,'Per Line'!$AN$2:$AN$1501,0))</f>
        <v/>
      </c>
      <c r="P65" s="7">
        <f>IF($X65="","",O65*N65)</f>
        <v/>
      </c>
      <c r="Q65">
        <f>IF($X65="","",Settings!$C$6)</f>
        <v/>
      </c>
      <c r="R65" s="7">
        <f>IF($X65="","",SUMIFS('Per Line'!$U$2:$U$1501,'Per Line'!$AJ$2:$AJ$1501,$A65&amp;"|"&amp;$C65,'Per Line'!$AM$2:$AM$1501,1,'Per Line'!$AN$2:$AN$1501,0))</f>
        <v/>
      </c>
      <c r="S65" s="7">
        <f>IF($X65="","",R65*Q65)</f>
        <v/>
      </c>
      <c r="T65" s="7">
        <f>IF($X65="","",S65+P65)</f>
        <v/>
      </c>
      <c r="U65" s="7">
        <f>IF($X65="","",V65-T65)</f>
        <v/>
      </c>
      <c r="V65" s="7">
        <f>IF($X65="","",O65+R65+M65)</f>
        <v/>
      </c>
      <c r="W65" s="7">
        <f>IF($X65="","",V65-T65-K65)</f>
        <v/>
      </c>
      <c r="X65" s="13">
        <f>IF(ROWS($X$2:$X65)&lt;=MAX('Per Line'!$AL$2:$AL$1501),MATCH(ROWS($X$2:$X65),'Per Line'!$AL$2:$AL$1501,0),"")</f>
        <v/>
      </c>
    </row>
    <row r="66">
      <c r="A66">
        <f>IF($X66="","",INDEX('Per Line'!$C$2:$C$1501,$X66)&amp;"")</f>
        <v/>
      </c>
      <c r="B66" s="12" t="n"/>
      <c r="C66">
        <f>IF($X66="","",INDEX('Per Line'!$D$2:$D$1501,$X66)&amp;"")</f>
        <v/>
      </c>
      <c r="D66">
        <f>IF($X66="","",INDEX('Per Line'!$A$2:$A$1501,$X66))</f>
        <v/>
      </c>
      <c r="E66">
        <f>IF($X66="","",INDEX('Per Line'!$G$2:$G$1501,$X66)&amp;"")</f>
        <v/>
      </c>
      <c r="F66" s="11">
        <f>IF($X66="","",INDEX('Per Line'!$F$2:$F$1501,$X66))</f>
        <v/>
      </c>
      <c r="G66">
        <f>IF($X66="","",INDEX('Per Line'!$I$2:$I$1501,$X66)&amp;"")</f>
        <v/>
      </c>
      <c r="H66">
        <f>IF($X66="","",INDEX('Per Line'!$J$2:$J$1501,$X66)&amp;"")</f>
        <v/>
      </c>
      <c r="I66">
        <f>IF($X66="","",INDEX('Per Line'!$K$2:$K$1501,$X66)&amp;"")</f>
        <v/>
      </c>
      <c r="J66">
        <f>IF($X66="","",INDEX('Per Line'!$M$2:$M$1501,$X66))</f>
        <v/>
      </c>
      <c r="K66" s="7">
        <f>IF($X66="","",J66*V66/100)</f>
        <v/>
      </c>
      <c r="L66">
        <f>IF($X66="","",INDEX('Per Line'!$Y$2:$Y$1501,$X66)&amp;"")</f>
        <v/>
      </c>
      <c r="M66" s="7">
        <f>IF($X66="","",SUMIFS('Per Line'!$U$2:$U$1501,'Per Line'!$AJ$2:$AJ$1501,$A66&amp;"|"&amp;$C66,'Per Line'!$AN$2:$AN$1501,1))</f>
        <v/>
      </c>
      <c r="N66">
        <f>IF($X66="","",Settings!$C$7)</f>
        <v/>
      </c>
      <c r="O66" s="7">
        <f>IF($X66="","",SUMIFS('Per Line'!$U$2:$U$1501,'Per Line'!$AJ$2:$AJ$1501,$A66&amp;"|"&amp;$C66,'Per Line'!$AM$2:$AM$1501,0,'Per Line'!$AN$2:$AN$1501,0))</f>
        <v/>
      </c>
      <c r="P66" s="7">
        <f>IF($X66="","",O66*N66)</f>
        <v/>
      </c>
      <c r="Q66">
        <f>IF($X66="","",Settings!$C$6)</f>
        <v/>
      </c>
      <c r="R66" s="7">
        <f>IF($X66="","",SUMIFS('Per Line'!$U$2:$U$1501,'Per Line'!$AJ$2:$AJ$1501,$A66&amp;"|"&amp;$C66,'Per Line'!$AM$2:$AM$1501,1,'Per Line'!$AN$2:$AN$1501,0))</f>
        <v/>
      </c>
      <c r="S66" s="7">
        <f>IF($X66="","",R66*Q66)</f>
        <v/>
      </c>
      <c r="T66" s="7">
        <f>IF($X66="","",S66+P66)</f>
        <v/>
      </c>
      <c r="U66" s="7">
        <f>IF($X66="","",V66-T66)</f>
        <v/>
      </c>
      <c r="V66" s="7">
        <f>IF($X66="","",O66+R66+M66)</f>
        <v/>
      </c>
      <c r="W66" s="7">
        <f>IF($X66="","",V66-T66-K66)</f>
        <v/>
      </c>
      <c r="X66" s="13">
        <f>IF(ROWS($X$2:$X66)&lt;=MAX('Per Line'!$AL$2:$AL$1501),MATCH(ROWS($X$2:$X66),'Per Line'!$AL$2:$AL$1501,0),"")</f>
        <v/>
      </c>
    </row>
    <row r="67">
      <c r="A67">
        <f>IF($X67="","",INDEX('Per Line'!$C$2:$C$1501,$X67)&amp;"")</f>
        <v/>
      </c>
      <c r="B67" s="12" t="n"/>
      <c r="C67">
        <f>IF($X67="","",INDEX('Per Line'!$D$2:$D$1501,$X67)&amp;"")</f>
        <v/>
      </c>
      <c r="D67">
        <f>IF($X67="","",INDEX('Per Line'!$A$2:$A$1501,$X67))</f>
        <v/>
      </c>
      <c r="E67">
        <f>IF($X67="","",INDEX('Per Line'!$G$2:$G$1501,$X67)&amp;"")</f>
        <v/>
      </c>
      <c r="F67" s="11">
        <f>IF($X67="","",INDEX('Per Line'!$F$2:$F$1501,$X67))</f>
        <v/>
      </c>
      <c r="G67">
        <f>IF($X67="","",INDEX('Per Line'!$I$2:$I$1501,$X67)&amp;"")</f>
        <v/>
      </c>
      <c r="H67">
        <f>IF($X67="","",INDEX('Per Line'!$J$2:$J$1501,$X67)&amp;"")</f>
        <v/>
      </c>
      <c r="I67">
        <f>IF($X67="","",INDEX('Per Line'!$K$2:$K$1501,$X67)&amp;"")</f>
        <v/>
      </c>
      <c r="J67">
        <f>IF($X67="","",INDEX('Per Line'!$M$2:$M$1501,$X67))</f>
        <v/>
      </c>
      <c r="K67" s="7">
        <f>IF($X67="","",J67*V67/100)</f>
        <v/>
      </c>
      <c r="L67">
        <f>IF($X67="","",INDEX('Per Line'!$Y$2:$Y$1501,$X67)&amp;"")</f>
        <v/>
      </c>
      <c r="M67" s="7">
        <f>IF($X67="","",SUMIFS('Per Line'!$U$2:$U$1501,'Per Line'!$AJ$2:$AJ$1501,$A67&amp;"|"&amp;$C67,'Per Line'!$AN$2:$AN$1501,1))</f>
        <v/>
      </c>
      <c r="N67">
        <f>IF($X67="","",Settings!$C$7)</f>
        <v/>
      </c>
      <c r="O67" s="7">
        <f>IF($X67="","",SUMIFS('Per Line'!$U$2:$U$1501,'Per Line'!$AJ$2:$AJ$1501,$A67&amp;"|"&amp;$C67,'Per Line'!$AM$2:$AM$1501,0,'Per Line'!$AN$2:$AN$1501,0))</f>
        <v/>
      </c>
      <c r="P67" s="7">
        <f>IF($X67="","",O67*N67)</f>
        <v/>
      </c>
      <c r="Q67">
        <f>IF($X67="","",Settings!$C$6)</f>
        <v/>
      </c>
      <c r="R67" s="7">
        <f>IF($X67="","",SUMIFS('Per Line'!$U$2:$U$1501,'Per Line'!$AJ$2:$AJ$1501,$A67&amp;"|"&amp;$C67,'Per Line'!$AM$2:$AM$1501,1,'Per Line'!$AN$2:$AN$1501,0))</f>
        <v/>
      </c>
      <c r="S67" s="7">
        <f>IF($X67="","",R67*Q67)</f>
        <v/>
      </c>
      <c r="T67" s="7">
        <f>IF($X67="","",S67+P67)</f>
        <v/>
      </c>
      <c r="U67" s="7">
        <f>IF($X67="","",V67-T67)</f>
        <v/>
      </c>
      <c r="V67" s="7">
        <f>IF($X67="","",O67+R67+M67)</f>
        <v/>
      </c>
      <c r="W67" s="7">
        <f>IF($X67="","",V67-T67-K67)</f>
        <v/>
      </c>
      <c r="X67" s="13">
        <f>IF(ROWS($X$2:$X67)&lt;=MAX('Per Line'!$AL$2:$AL$1501),MATCH(ROWS($X$2:$X67),'Per Line'!$AL$2:$AL$1501,0),"")</f>
        <v/>
      </c>
    </row>
    <row r="68">
      <c r="A68">
        <f>IF($X68="","",INDEX('Per Line'!$C$2:$C$1501,$X68)&amp;"")</f>
        <v/>
      </c>
      <c r="B68" s="12" t="n"/>
      <c r="C68">
        <f>IF($X68="","",INDEX('Per Line'!$D$2:$D$1501,$X68)&amp;"")</f>
        <v/>
      </c>
      <c r="D68">
        <f>IF($X68="","",INDEX('Per Line'!$A$2:$A$1501,$X68))</f>
        <v/>
      </c>
      <c r="E68">
        <f>IF($X68="","",INDEX('Per Line'!$G$2:$G$1501,$X68)&amp;"")</f>
        <v/>
      </c>
      <c r="F68" s="11">
        <f>IF($X68="","",INDEX('Per Line'!$F$2:$F$1501,$X68))</f>
        <v/>
      </c>
      <c r="G68">
        <f>IF($X68="","",INDEX('Per Line'!$I$2:$I$1501,$X68)&amp;"")</f>
        <v/>
      </c>
      <c r="H68">
        <f>IF($X68="","",INDEX('Per Line'!$J$2:$J$1501,$X68)&amp;"")</f>
        <v/>
      </c>
      <c r="I68">
        <f>IF($X68="","",INDEX('Per Line'!$K$2:$K$1501,$X68)&amp;"")</f>
        <v/>
      </c>
      <c r="J68">
        <f>IF($X68="","",INDEX('Per Line'!$M$2:$M$1501,$X68))</f>
        <v/>
      </c>
      <c r="K68" s="7">
        <f>IF($X68="","",J68*V68/100)</f>
        <v/>
      </c>
      <c r="L68">
        <f>IF($X68="","",INDEX('Per Line'!$Y$2:$Y$1501,$X68)&amp;"")</f>
        <v/>
      </c>
      <c r="M68" s="7">
        <f>IF($X68="","",SUMIFS('Per Line'!$U$2:$U$1501,'Per Line'!$AJ$2:$AJ$1501,$A68&amp;"|"&amp;$C68,'Per Line'!$AN$2:$AN$1501,1))</f>
        <v/>
      </c>
      <c r="N68">
        <f>IF($X68="","",Settings!$C$7)</f>
        <v/>
      </c>
      <c r="O68" s="7">
        <f>IF($X68="","",SUMIFS('Per Line'!$U$2:$U$1501,'Per Line'!$AJ$2:$AJ$1501,$A68&amp;"|"&amp;$C68,'Per Line'!$AM$2:$AM$1501,0,'Per Line'!$AN$2:$AN$1501,0))</f>
        <v/>
      </c>
      <c r="P68" s="7">
        <f>IF($X68="","",O68*N68)</f>
        <v/>
      </c>
      <c r="Q68">
        <f>IF($X68="","",Settings!$C$6)</f>
        <v/>
      </c>
      <c r="R68" s="7">
        <f>IF($X68="","",SUMIFS('Per Line'!$U$2:$U$1501,'Per Line'!$AJ$2:$AJ$1501,$A68&amp;"|"&amp;$C68,'Per Line'!$AM$2:$AM$1501,1,'Per Line'!$AN$2:$AN$1501,0))</f>
        <v/>
      </c>
      <c r="S68" s="7">
        <f>IF($X68="","",R68*Q68)</f>
        <v/>
      </c>
      <c r="T68" s="7">
        <f>IF($X68="","",S68+P68)</f>
        <v/>
      </c>
      <c r="U68" s="7">
        <f>IF($X68="","",V68-T68)</f>
        <v/>
      </c>
      <c r="V68" s="7">
        <f>IF($X68="","",O68+R68+M68)</f>
        <v/>
      </c>
      <c r="W68" s="7">
        <f>IF($X68="","",V68-T68-K68)</f>
        <v/>
      </c>
      <c r="X68" s="13">
        <f>IF(ROWS($X$2:$X68)&lt;=MAX('Per Line'!$AL$2:$AL$1501),MATCH(ROWS($X$2:$X68),'Per Line'!$AL$2:$AL$1501,0),"")</f>
        <v/>
      </c>
    </row>
    <row r="69">
      <c r="A69">
        <f>IF($X69="","",INDEX('Per Line'!$C$2:$C$1501,$X69)&amp;"")</f>
        <v/>
      </c>
      <c r="B69" s="12" t="n"/>
      <c r="C69">
        <f>IF($X69="","",INDEX('Per Line'!$D$2:$D$1501,$X69)&amp;"")</f>
        <v/>
      </c>
      <c r="D69">
        <f>IF($X69="","",INDEX('Per Line'!$A$2:$A$1501,$X69))</f>
        <v/>
      </c>
      <c r="E69">
        <f>IF($X69="","",INDEX('Per Line'!$G$2:$G$1501,$X69)&amp;"")</f>
        <v/>
      </c>
      <c r="F69" s="11">
        <f>IF($X69="","",INDEX('Per Line'!$F$2:$F$1501,$X69))</f>
        <v/>
      </c>
      <c r="G69">
        <f>IF($X69="","",INDEX('Per Line'!$I$2:$I$1501,$X69)&amp;"")</f>
        <v/>
      </c>
      <c r="H69">
        <f>IF($X69="","",INDEX('Per Line'!$J$2:$J$1501,$X69)&amp;"")</f>
        <v/>
      </c>
      <c r="I69">
        <f>IF($X69="","",INDEX('Per Line'!$K$2:$K$1501,$X69)&amp;"")</f>
        <v/>
      </c>
      <c r="J69">
        <f>IF($X69="","",INDEX('Per Line'!$M$2:$M$1501,$X69))</f>
        <v/>
      </c>
      <c r="K69" s="7">
        <f>IF($X69="","",J69*V69/100)</f>
        <v/>
      </c>
      <c r="L69">
        <f>IF($X69="","",INDEX('Per Line'!$Y$2:$Y$1501,$X69)&amp;"")</f>
        <v/>
      </c>
      <c r="M69" s="7">
        <f>IF($X69="","",SUMIFS('Per Line'!$U$2:$U$1501,'Per Line'!$AJ$2:$AJ$1501,$A69&amp;"|"&amp;$C69,'Per Line'!$AN$2:$AN$1501,1))</f>
        <v/>
      </c>
      <c r="N69">
        <f>IF($X69="","",Settings!$C$7)</f>
        <v/>
      </c>
      <c r="O69" s="7">
        <f>IF($X69="","",SUMIFS('Per Line'!$U$2:$U$1501,'Per Line'!$AJ$2:$AJ$1501,$A69&amp;"|"&amp;$C69,'Per Line'!$AM$2:$AM$1501,0,'Per Line'!$AN$2:$AN$1501,0))</f>
        <v/>
      </c>
      <c r="P69" s="7">
        <f>IF($X69="","",O69*N69)</f>
        <v/>
      </c>
      <c r="Q69">
        <f>IF($X69="","",Settings!$C$6)</f>
        <v/>
      </c>
      <c r="R69" s="7">
        <f>IF($X69="","",SUMIFS('Per Line'!$U$2:$U$1501,'Per Line'!$AJ$2:$AJ$1501,$A69&amp;"|"&amp;$C69,'Per Line'!$AM$2:$AM$1501,1,'Per Line'!$AN$2:$AN$1501,0))</f>
        <v/>
      </c>
      <c r="S69" s="7">
        <f>IF($X69="","",R69*Q69)</f>
        <v/>
      </c>
      <c r="T69" s="7">
        <f>IF($X69="","",S69+P69)</f>
        <v/>
      </c>
      <c r="U69" s="7">
        <f>IF($X69="","",V69-T69)</f>
        <v/>
      </c>
      <c r="V69" s="7">
        <f>IF($X69="","",O69+R69+M69)</f>
        <v/>
      </c>
      <c r="W69" s="7">
        <f>IF($X69="","",V69-T69-K69)</f>
        <v/>
      </c>
      <c r="X69" s="13">
        <f>IF(ROWS($X$2:$X69)&lt;=MAX('Per Line'!$AL$2:$AL$1501),MATCH(ROWS($X$2:$X69),'Per Line'!$AL$2:$AL$1501,0),"")</f>
        <v/>
      </c>
    </row>
    <row r="70">
      <c r="A70">
        <f>IF($X70="","",INDEX('Per Line'!$C$2:$C$1501,$X70)&amp;"")</f>
        <v/>
      </c>
      <c r="B70" s="12" t="n"/>
      <c r="C70">
        <f>IF($X70="","",INDEX('Per Line'!$D$2:$D$1501,$X70)&amp;"")</f>
        <v/>
      </c>
      <c r="D70">
        <f>IF($X70="","",INDEX('Per Line'!$A$2:$A$1501,$X70))</f>
        <v/>
      </c>
      <c r="E70">
        <f>IF($X70="","",INDEX('Per Line'!$G$2:$G$1501,$X70)&amp;"")</f>
        <v/>
      </c>
      <c r="F70" s="11">
        <f>IF($X70="","",INDEX('Per Line'!$F$2:$F$1501,$X70))</f>
        <v/>
      </c>
      <c r="G70">
        <f>IF($X70="","",INDEX('Per Line'!$I$2:$I$1501,$X70)&amp;"")</f>
        <v/>
      </c>
      <c r="H70">
        <f>IF($X70="","",INDEX('Per Line'!$J$2:$J$1501,$X70)&amp;"")</f>
        <v/>
      </c>
      <c r="I70">
        <f>IF($X70="","",INDEX('Per Line'!$K$2:$K$1501,$X70)&amp;"")</f>
        <v/>
      </c>
      <c r="J70">
        <f>IF($X70="","",INDEX('Per Line'!$M$2:$M$1501,$X70))</f>
        <v/>
      </c>
      <c r="K70" s="7">
        <f>IF($X70="","",J70*V70/100)</f>
        <v/>
      </c>
      <c r="L70">
        <f>IF($X70="","",INDEX('Per Line'!$Y$2:$Y$1501,$X70)&amp;"")</f>
        <v/>
      </c>
      <c r="M70" s="7">
        <f>IF($X70="","",SUMIFS('Per Line'!$U$2:$U$1501,'Per Line'!$AJ$2:$AJ$1501,$A70&amp;"|"&amp;$C70,'Per Line'!$AN$2:$AN$1501,1))</f>
        <v/>
      </c>
      <c r="N70">
        <f>IF($X70="","",Settings!$C$7)</f>
        <v/>
      </c>
      <c r="O70" s="7">
        <f>IF($X70="","",SUMIFS('Per Line'!$U$2:$U$1501,'Per Line'!$AJ$2:$AJ$1501,$A70&amp;"|"&amp;$C70,'Per Line'!$AM$2:$AM$1501,0,'Per Line'!$AN$2:$AN$1501,0))</f>
        <v/>
      </c>
      <c r="P70" s="7">
        <f>IF($X70="","",O70*N70)</f>
        <v/>
      </c>
      <c r="Q70">
        <f>IF($X70="","",Settings!$C$6)</f>
        <v/>
      </c>
      <c r="R70" s="7">
        <f>IF($X70="","",SUMIFS('Per Line'!$U$2:$U$1501,'Per Line'!$AJ$2:$AJ$1501,$A70&amp;"|"&amp;$C70,'Per Line'!$AM$2:$AM$1501,1,'Per Line'!$AN$2:$AN$1501,0))</f>
        <v/>
      </c>
      <c r="S70" s="7">
        <f>IF($X70="","",R70*Q70)</f>
        <v/>
      </c>
      <c r="T70" s="7">
        <f>IF($X70="","",S70+P70)</f>
        <v/>
      </c>
      <c r="U70" s="7">
        <f>IF($X70="","",V70-T70)</f>
        <v/>
      </c>
      <c r="V70" s="7">
        <f>IF($X70="","",O70+R70+M70)</f>
        <v/>
      </c>
      <c r="W70" s="7">
        <f>IF($X70="","",V70-T70-K70)</f>
        <v/>
      </c>
      <c r="X70" s="13">
        <f>IF(ROWS($X$2:$X70)&lt;=MAX('Per Line'!$AL$2:$AL$1501),MATCH(ROWS($X$2:$X70),'Per Line'!$AL$2:$AL$1501,0),"")</f>
        <v/>
      </c>
    </row>
    <row r="71">
      <c r="A71">
        <f>IF($X71="","",INDEX('Per Line'!$C$2:$C$1501,$X71)&amp;"")</f>
        <v/>
      </c>
      <c r="B71" s="12" t="n"/>
      <c r="C71">
        <f>IF($X71="","",INDEX('Per Line'!$D$2:$D$1501,$X71)&amp;"")</f>
        <v/>
      </c>
      <c r="D71">
        <f>IF($X71="","",INDEX('Per Line'!$A$2:$A$1501,$X71))</f>
        <v/>
      </c>
      <c r="E71">
        <f>IF($X71="","",INDEX('Per Line'!$G$2:$G$1501,$X71)&amp;"")</f>
        <v/>
      </c>
      <c r="F71" s="11">
        <f>IF($X71="","",INDEX('Per Line'!$F$2:$F$1501,$X71))</f>
        <v/>
      </c>
      <c r="G71">
        <f>IF($X71="","",INDEX('Per Line'!$I$2:$I$1501,$X71)&amp;"")</f>
        <v/>
      </c>
      <c r="H71">
        <f>IF($X71="","",INDEX('Per Line'!$J$2:$J$1501,$X71)&amp;"")</f>
        <v/>
      </c>
      <c r="I71">
        <f>IF($X71="","",INDEX('Per Line'!$K$2:$K$1501,$X71)&amp;"")</f>
        <v/>
      </c>
      <c r="J71">
        <f>IF($X71="","",INDEX('Per Line'!$M$2:$M$1501,$X71))</f>
        <v/>
      </c>
      <c r="K71" s="7">
        <f>IF($X71="","",J71*V71/100)</f>
        <v/>
      </c>
      <c r="L71">
        <f>IF($X71="","",INDEX('Per Line'!$Y$2:$Y$1501,$X71)&amp;"")</f>
        <v/>
      </c>
      <c r="M71" s="7">
        <f>IF($X71="","",SUMIFS('Per Line'!$U$2:$U$1501,'Per Line'!$AJ$2:$AJ$1501,$A71&amp;"|"&amp;$C71,'Per Line'!$AN$2:$AN$1501,1))</f>
        <v/>
      </c>
      <c r="N71">
        <f>IF($X71="","",Settings!$C$7)</f>
        <v/>
      </c>
      <c r="O71" s="7">
        <f>IF($X71="","",SUMIFS('Per Line'!$U$2:$U$1501,'Per Line'!$AJ$2:$AJ$1501,$A71&amp;"|"&amp;$C71,'Per Line'!$AM$2:$AM$1501,0,'Per Line'!$AN$2:$AN$1501,0))</f>
        <v/>
      </c>
      <c r="P71" s="7">
        <f>IF($X71="","",O71*N71)</f>
        <v/>
      </c>
      <c r="Q71">
        <f>IF($X71="","",Settings!$C$6)</f>
        <v/>
      </c>
      <c r="R71" s="7">
        <f>IF($X71="","",SUMIFS('Per Line'!$U$2:$U$1501,'Per Line'!$AJ$2:$AJ$1501,$A71&amp;"|"&amp;$C71,'Per Line'!$AM$2:$AM$1501,1,'Per Line'!$AN$2:$AN$1501,0))</f>
        <v/>
      </c>
      <c r="S71" s="7">
        <f>IF($X71="","",R71*Q71)</f>
        <v/>
      </c>
      <c r="T71" s="7">
        <f>IF($X71="","",S71+P71)</f>
        <v/>
      </c>
      <c r="U71" s="7">
        <f>IF($X71="","",V71-T71)</f>
        <v/>
      </c>
      <c r="V71" s="7">
        <f>IF($X71="","",O71+R71+M71)</f>
        <v/>
      </c>
      <c r="W71" s="7">
        <f>IF($X71="","",V71-T71-K71)</f>
        <v/>
      </c>
      <c r="X71" s="13">
        <f>IF(ROWS($X$2:$X71)&lt;=MAX('Per Line'!$AL$2:$AL$1501),MATCH(ROWS($X$2:$X71),'Per Line'!$AL$2:$AL$1501,0),"")</f>
        <v/>
      </c>
    </row>
    <row r="72">
      <c r="A72">
        <f>IF($X72="","",INDEX('Per Line'!$C$2:$C$1501,$X72)&amp;"")</f>
        <v/>
      </c>
      <c r="B72" s="12" t="n"/>
      <c r="C72">
        <f>IF($X72="","",INDEX('Per Line'!$D$2:$D$1501,$X72)&amp;"")</f>
        <v/>
      </c>
      <c r="D72">
        <f>IF($X72="","",INDEX('Per Line'!$A$2:$A$1501,$X72))</f>
        <v/>
      </c>
      <c r="E72">
        <f>IF($X72="","",INDEX('Per Line'!$G$2:$G$1501,$X72)&amp;"")</f>
        <v/>
      </c>
      <c r="F72" s="11">
        <f>IF($X72="","",INDEX('Per Line'!$F$2:$F$1501,$X72))</f>
        <v/>
      </c>
      <c r="G72">
        <f>IF($X72="","",INDEX('Per Line'!$I$2:$I$1501,$X72)&amp;"")</f>
        <v/>
      </c>
      <c r="H72">
        <f>IF($X72="","",INDEX('Per Line'!$J$2:$J$1501,$X72)&amp;"")</f>
        <v/>
      </c>
      <c r="I72">
        <f>IF($X72="","",INDEX('Per Line'!$K$2:$K$1501,$X72)&amp;"")</f>
        <v/>
      </c>
      <c r="J72">
        <f>IF($X72="","",INDEX('Per Line'!$M$2:$M$1501,$X72))</f>
        <v/>
      </c>
      <c r="K72" s="7">
        <f>IF($X72="","",J72*V72/100)</f>
        <v/>
      </c>
      <c r="L72">
        <f>IF($X72="","",INDEX('Per Line'!$Y$2:$Y$1501,$X72)&amp;"")</f>
        <v/>
      </c>
      <c r="M72" s="7">
        <f>IF($X72="","",SUMIFS('Per Line'!$U$2:$U$1501,'Per Line'!$AJ$2:$AJ$1501,$A72&amp;"|"&amp;$C72,'Per Line'!$AN$2:$AN$1501,1))</f>
        <v/>
      </c>
      <c r="N72">
        <f>IF($X72="","",Settings!$C$7)</f>
        <v/>
      </c>
      <c r="O72" s="7">
        <f>IF($X72="","",SUMIFS('Per Line'!$U$2:$U$1501,'Per Line'!$AJ$2:$AJ$1501,$A72&amp;"|"&amp;$C72,'Per Line'!$AM$2:$AM$1501,0,'Per Line'!$AN$2:$AN$1501,0))</f>
        <v/>
      </c>
      <c r="P72" s="7">
        <f>IF($X72="","",O72*N72)</f>
        <v/>
      </c>
      <c r="Q72">
        <f>IF($X72="","",Settings!$C$6)</f>
        <v/>
      </c>
      <c r="R72" s="7">
        <f>IF($X72="","",SUMIFS('Per Line'!$U$2:$U$1501,'Per Line'!$AJ$2:$AJ$1501,$A72&amp;"|"&amp;$C72,'Per Line'!$AM$2:$AM$1501,1,'Per Line'!$AN$2:$AN$1501,0))</f>
        <v/>
      </c>
      <c r="S72" s="7">
        <f>IF($X72="","",R72*Q72)</f>
        <v/>
      </c>
      <c r="T72" s="7">
        <f>IF($X72="","",S72+P72)</f>
        <v/>
      </c>
      <c r="U72" s="7">
        <f>IF($X72="","",V72-T72)</f>
        <v/>
      </c>
      <c r="V72" s="7">
        <f>IF($X72="","",O72+R72+M72)</f>
        <v/>
      </c>
      <c r="W72" s="7">
        <f>IF($X72="","",V72-T72-K72)</f>
        <v/>
      </c>
      <c r="X72" s="13">
        <f>IF(ROWS($X$2:$X72)&lt;=MAX('Per Line'!$AL$2:$AL$1501),MATCH(ROWS($X$2:$X72),'Per Line'!$AL$2:$AL$1501,0),"")</f>
        <v/>
      </c>
    </row>
    <row r="73">
      <c r="A73">
        <f>IF($X73="","",INDEX('Per Line'!$C$2:$C$1501,$X73)&amp;"")</f>
        <v/>
      </c>
      <c r="B73" s="12" t="n"/>
      <c r="C73">
        <f>IF($X73="","",INDEX('Per Line'!$D$2:$D$1501,$X73)&amp;"")</f>
        <v/>
      </c>
      <c r="D73">
        <f>IF($X73="","",INDEX('Per Line'!$A$2:$A$1501,$X73))</f>
        <v/>
      </c>
      <c r="E73">
        <f>IF($X73="","",INDEX('Per Line'!$G$2:$G$1501,$X73)&amp;"")</f>
        <v/>
      </c>
      <c r="F73" s="11">
        <f>IF($X73="","",INDEX('Per Line'!$F$2:$F$1501,$X73))</f>
        <v/>
      </c>
      <c r="G73">
        <f>IF($X73="","",INDEX('Per Line'!$I$2:$I$1501,$X73)&amp;"")</f>
        <v/>
      </c>
      <c r="H73">
        <f>IF($X73="","",INDEX('Per Line'!$J$2:$J$1501,$X73)&amp;"")</f>
        <v/>
      </c>
      <c r="I73">
        <f>IF($X73="","",INDEX('Per Line'!$K$2:$K$1501,$X73)&amp;"")</f>
        <v/>
      </c>
      <c r="J73">
        <f>IF($X73="","",INDEX('Per Line'!$M$2:$M$1501,$X73))</f>
        <v/>
      </c>
      <c r="K73" s="7">
        <f>IF($X73="","",J73*V73/100)</f>
        <v/>
      </c>
      <c r="L73">
        <f>IF($X73="","",INDEX('Per Line'!$Y$2:$Y$1501,$X73)&amp;"")</f>
        <v/>
      </c>
      <c r="M73" s="7">
        <f>IF($X73="","",SUMIFS('Per Line'!$U$2:$U$1501,'Per Line'!$AJ$2:$AJ$1501,$A73&amp;"|"&amp;$C73,'Per Line'!$AN$2:$AN$1501,1))</f>
        <v/>
      </c>
      <c r="N73">
        <f>IF($X73="","",Settings!$C$7)</f>
        <v/>
      </c>
      <c r="O73" s="7">
        <f>IF($X73="","",SUMIFS('Per Line'!$U$2:$U$1501,'Per Line'!$AJ$2:$AJ$1501,$A73&amp;"|"&amp;$C73,'Per Line'!$AM$2:$AM$1501,0,'Per Line'!$AN$2:$AN$1501,0))</f>
        <v/>
      </c>
      <c r="P73" s="7">
        <f>IF($X73="","",O73*N73)</f>
        <v/>
      </c>
      <c r="Q73">
        <f>IF($X73="","",Settings!$C$6)</f>
        <v/>
      </c>
      <c r="R73" s="7">
        <f>IF($X73="","",SUMIFS('Per Line'!$U$2:$U$1501,'Per Line'!$AJ$2:$AJ$1501,$A73&amp;"|"&amp;$C73,'Per Line'!$AM$2:$AM$1501,1,'Per Line'!$AN$2:$AN$1501,0))</f>
        <v/>
      </c>
      <c r="S73" s="7">
        <f>IF($X73="","",R73*Q73)</f>
        <v/>
      </c>
      <c r="T73" s="7">
        <f>IF($X73="","",S73+P73)</f>
        <v/>
      </c>
      <c r="U73" s="7">
        <f>IF($X73="","",V73-T73)</f>
        <v/>
      </c>
      <c r="V73" s="7">
        <f>IF($X73="","",O73+R73+M73)</f>
        <v/>
      </c>
      <c r="W73" s="7">
        <f>IF($X73="","",V73-T73-K73)</f>
        <v/>
      </c>
      <c r="X73" s="13">
        <f>IF(ROWS($X$2:$X73)&lt;=MAX('Per Line'!$AL$2:$AL$1501),MATCH(ROWS($X$2:$X73),'Per Line'!$AL$2:$AL$1501,0),"")</f>
        <v/>
      </c>
    </row>
    <row r="74">
      <c r="A74">
        <f>IF($X74="","",INDEX('Per Line'!$C$2:$C$1501,$X74)&amp;"")</f>
        <v/>
      </c>
      <c r="B74" s="12" t="n"/>
      <c r="C74">
        <f>IF($X74="","",INDEX('Per Line'!$D$2:$D$1501,$X74)&amp;"")</f>
        <v/>
      </c>
      <c r="D74">
        <f>IF($X74="","",INDEX('Per Line'!$A$2:$A$1501,$X74))</f>
        <v/>
      </c>
      <c r="E74">
        <f>IF($X74="","",INDEX('Per Line'!$G$2:$G$1501,$X74)&amp;"")</f>
        <v/>
      </c>
      <c r="F74" s="11">
        <f>IF($X74="","",INDEX('Per Line'!$F$2:$F$1501,$X74))</f>
        <v/>
      </c>
      <c r="G74">
        <f>IF($X74="","",INDEX('Per Line'!$I$2:$I$1501,$X74)&amp;"")</f>
        <v/>
      </c>
      <c r="H74">
        <f>IF($X74="","",INDEX('Per Line'!$J$2:$J$1501,$X74)&amp;"")</f>
        <v/>
      </c>
      <c r="I74">
        <f>IF($X74="","",INDEX('Per Line'!$K$2:$K$1501,$X74)&amp;"")</f>
        <v/>
      </c>
      <c r="J74">
        <f>IF($X74="","",INDEX('Per Line'!$M$2:$M$1501,$X74))</f>
        <v/>
      </c>
      <c r="K74" s="7">
        <f>IF($X74="","",J74*V74/100)</f>
        <v/>
      </c>
      <c r="L74">
        <f>IF($X74="","",INDEX('Per Line'!$Y$2:$Y$1501,$X74)&amp;"")</f>
        <v/>
      </c>
      <c r="M74" s="7">
        <f>IF($X74="","",SUMIFS('Per Line'!$U$2:$U$1501,'Per Line'!$AJ$2:$AJ$1501,$A74&amp;"|"&amp;$C74,'Per Line'!$AN$2:$AN$1501,1))</f>
        <v/>
      </c>
      <c r="N74">
        <f>IF($X74="","",Settings!$C$7)</f>
        <v/>
      </c>
      <c r="O74" s="7">
        <f>IF($X74="","",SUMIFS('Per Line'!$U$2:$U$1501,'Per Line'!$AJ$2:$AJ$1501,$A74&amp;"|"&amp;$C74,'Per Line'!$AM$2:$AM$1501,0,'Per Line'!$AN$2:$AN$1501,0))</f>
        <v/>
      </c>
      <c r="P74" s="7">
        <f>IF($X74="","",O74*N74)</f>
        <v/>
      </c>
      <c r="Q74">
        <f>IF($X74="","",Settings!$C$6)</f>
        <v/>
      </c>
      <c r="R74" s="7">
        <f>IF($X74="","",SUMIFS('Per Line'!$U$2:$U$1501,'Per Line'!$AJ$2:$AJ$1501,$A74&amp;"|"&amp;$C74,'Per Line'!$AM$2:$AM$1501,1,'Per Line'!$AN$2:$AN$1501,0))</f>
        <v/>
      </c>
      <c r="S74" s="7">
        <f>IF($X74="","",R74*Q74)</f>
        <v/>
      </c>
      <c r="T74" s="7">
        <f>IF($X74="","",S74+P74)</f>
        <v/>
      </c>
      <c r="U74" s="7">
        <f>IF($X74="","",V74-T74)</f>
        <v/>
      </c>
      <c r="V74" s="7">
        <f>IF($X74="","",O74+R74+M74)</f>
        <v/>
      </c>
      <c r="W74" s="7">
        <f>IF($X74="","",V74-T74-K74)</f>
        <v/>
      </c>
      <c r="X74" s="13">
        <f>IF(ROWS($X$2:$X74)&lt;=MAX('Per Line'!$AL$2:$AL$1501),MATCH(ROWS($X$2:$X74),'Per Line'!$AL$2:$AL$1501,0),"")</f>
        <v/>
      </c>
    </row>
    <row r="75">
      <c r="A75">
        <f>IF($X75="","",INDEX('Per Line'!$C$2:$C$1501,$X75)&amp;"")</f>
        <v/>
      </c>
      <c r="B75" s="12" t="n"/>
      <c r="C75">
        <f>IF($X75="","",INDEX('Per Line'!$D$2:$D$1501,$X75)&amp;"")</f>
        <v/>
      </c>
      <c r="D75">
        <f>IF($X75="","",INDEX('Per Line'!$A$2:$A$1501,$X75))</f>
        <v/>
      </c>
      <c r="E75">
        <f>IF($X75="","",INDEX('Per Line'!$G$2:$G$1501,$X75)&amp;"")</f>
        <v/>
      </c>
      <c r="F75" s="11">
        <f>IF($X75="","",INDEX('Per Line'!$F$2:$F$1501,$X75))</f>
        <v/>
      </c>
      <c r="G75">
        <f>IF($X75="","",INDEX('Per Line'!$I$2:$I$1501,$X75)&amp;"")</f>
        <v/>
      </c>
      <c r="H75">
        <f>IF($X75="","",INDEX('Per Line'!$J$2:$J$1501,$X75)&amp;"")</f>
        <v/>
      </c>
      <c r="I75">
        <f>IF($X75="","",INDEX('Per Line'!$K$2:$K$1501,$X75)&amp;"")</f>
        <v/>
      </c>
      <c r="J75">
        <f>IF($X75="","",INDEX('Per Line'!$M$2:$M$1501,$X75))</f>
        <v/>
      </c>
      <c r="K75" s="7">
        <f>IF($X75="","",J75*V75/100)</f>
        <v/>
      </c>
      <c r="L75">
        <f>IF($X75="","",INDEX('Per Line'!$Y$2:$Y$1501,$X75)&amp;"")</f>
        <v/>
      </c>
      <c r="M75" s="7">
        <f>IF($X75="","",SUMIFS('Per Line'!$U$2:$U$1501,'Per Line'!$AJ$2:$AJ$1501,$A75&amp;"|"&amp;$C75,'Per Line'!$AN$2:$AN$1501,1))</f>
        <v/>
      </c>
      <c r="N75">
        <f>IF($X75="","",Settings!$C$7)</f>
        <v/>
      </c>
      <c r="O75" s="7">
        <f>IF($X75="","",SUMIFS('Per Line'!$U$2:$U$1501,'Per Line'!$AJ$2:$AJ$1501,$A75&amp;"|"&amp;$C75,'Per Line'!$AM$2:$AM$1501,0,'Per Line'!$AN$2:$AN$1501,0))</f>
        <v/>
      </c>
      <c r="P75" s="7">
        <f>IF($X75="","",O75*N75)</f>
        <v/>
      </c>
      <c r="Q75">
        <f>IF($X75="","",Settings!$C$6)</f>
        <v/>
      </c>
      <c r="R75" s="7">
        <f>IF($X75="","",SUMIFS('Per Line'!$U$2:$U$1501,'Per Line'!$AJ$2:$AJ$1501,$A75&amp;"|"&amp;$C75,'Per Line'!$AM$2:$AM$1501,1,'Per Line'!$AN$2:$AN$1501,0))</f>
        <v/>
      </c>
      <c r="S75" s="7">
        <f>IF($X75="","",R75*Q75)</f>
        <v/>
      </c>
      <c r="T75" s="7">
        <f>IF($X75="","",S75+P75)</f>
        <v/>
      </c>
      <c r="U75" s="7">
        <f>IF($X75="","",V75-T75)</f>
        <v/>
      </c>
      <c r="V75" s="7">
        <f>IF($X75="","",O75+R75+M75)</f>
        <v/>
      </c>
      <c r="W75" s="7">
        <f>IF($X75="","",V75-T75-K75)</f>
        <v/>
      </c>
      <c r="X75" s="13">
        <f>IF(ROWS($X$2:$X75)&lt;=MAX('Per Line'!$AL$2:$AL$1501),MATCH(ROWS($X$2:$X75),'Per Line'!$AL$2:$AL$1501,0),"")</f>
        <v/>
      </c>
    </row>
    <row r="76">
      <c r="A76">
        <f>IF($X76="","",INDEX('Per Line'!$C$2:$C$1501,$X76)&amp;"")</f>
        <v/>
      </c>
      <c r="B76" s="12" t="n"/>
      <c r="C76">
        <f>IF($X76="","",INDEX('Per Line'!$D$2:$D$1501,$X76)&amp;"")</f>
        <v/>
      </c>
      <c r="D76">
        <f>IF($X76="","",INDEX('Per Line'!$A$2:$A$1501,$X76))</f>
        <v/>
      </c>
      <c r="E76">
        <f>IF($X76="","",INDEX('Per Line'!$G$2:$G$1501,$X76)&amp;"")</f>
        <v/>
      </c>
      <c r="F76" s="11">
        <f>IF($X76="","",INDEX('Per Line'!$F$2:$F$1501,$X76))</f>
        <v/>
      </c>
      <c r="G76">
        <f>IF($X76="","",INDEX('Per Line'!$I$2:$I$1501,$X76)&amp;"")</f>
        <v/>
      </c>
      <c r="H76">
        <f>IF($X76="","",INDEX('Per Line'!$J$2:$J$1501,$X76)&amp;"")</f>
        <v/>
      </c>
      <c r="I76">
        <f>IF($X76="","",INDEX('Per Line'!$K$2:$K$1501,$X76)&amp;"")</f>
        <v/>
      </c>
      <c r="J76">
        <f>IF($X76="","",INDEX('Per Line'!$M$2:$M$1501,$X76))</f>
        <v/>
      </c>
      <c r="K76" s="7">
        <f>IF($X76="","",J76*V76/100)</f>
        <v/>
      </c>
      <c r="L76">
        <f>IF($X76="","",INDEX('Per Line'!$Y$2:$Y$1501,$X76)&amp;"")</f>
        <v/>
      </c>
      <c r="M76" s="7">
        <f>IF($X76="","",SUMIFS('Per Line'!$U$2:$U$1501,'Per Line'!$AJ$2:$AJ$1501,$A76&amp;"|"&amp;$C76,'Per Line'!$AN$2:$AN$1501,1))</f>
        <v/>
      </c>
      <c r="N76">
        <f>IF($X76="","",Settings!$C$7)</f>
        <v/>
      </c>
      <c r="O76" s="7">
        <f>IF($X76="","",SUMIFS('Per Line'!$U$2:$U$1501,'Per Line'!$AJ$2:$AJ$1501,$A76&amp;"|"&amp;$C76,'Per Line'!$AM$2:$AM$1501,0,'Per Line'!$AN$2:$AN$1501,0))</f>
        <v/>
      </c>
      <c r="P76" s="7">
        <f>IF($X76="","",O76*N76)</f>
        <v/>
      </c>
      <c r="Q76">
        <f>IF($X76="","",Settings!$C$6)</f>
        <v/>
      </c>
      <c r="R76" s="7">
        <f>IF($X76="","",SUMIFS('Per Line'!$U$2:$U$1501,'Per Line'!$AJ$2:$AJ$1501,$A76&amp;"|"&amp;$C76,'Per Line'!$AM$2:$AM$1501,1,'Per Line'!$AN$2:$AN$1501,0))</f>
        <v/>
      </c>
      <c r="S76" s="7">
        <f>IF($X76="","",R76*Q76)</f>
        <v/>
      </c>
      <c r="T76" s="7">
        <f>IF($X76="","",S76+P76)</f>
        <v/>
      </c>
      <c r="U76" s="7">
        <f>IF($X76="","",V76-T76)</f>
        <v/>
      </c>
      <c r="V76" s="7">
        <f>IF($X76="","",O76+R76+M76)</f>
        <v/>
      </c>
      <c r="W76" s="7">
        <f>IF($X76="","",V76-T76-K76)</f>
        <v/>
      </c>
      <c r="X76" s="13">
        <f>IF(ROWS($X$2:$X76)&lt;=MAX('Per Line'!$AL$2:$AL$1501),MATCH(ROWS($X$2:$X76),'Per Line'!$AL$2:$AL$1501,0),"")</f>
        <v/>
      </c>
    </row>
    <row r="77">
      <c r="A77">
        <f>IF($X77="","",INDEX('Per Line'!$C$2:$C$1501,$X77)&amp;"")</f>
        <v/>
      </c>
      <c r="B77" s="12" t="n"/>
      <c r="C77">
        <f>IF($X77="","",INDEX('Per Line'!$D$2:$D$1501,$X77)&amp;"")</f>
        <v/>
      </c>
      <c r="D77">
        <f>IF($X77="","",INDEX('Per Line'!$A$2:$A$1501,$X77))</f>
        <v/>
      </c>
      <c r="E77">
        <f>IF($X77="","",INDEX('Per Line'!$G$2:$G$1501,$X77)&amp;"")</f>
        <v/>
      </c>
      <c r="F77" s="11">
        <f>IF($X77="","",INDEX('Per Line'!$F$2:$F$1501,$X77))</f>
        <v/>
      </c>
      <c r="G77">
        <f>IF($X77="","",INDEX('Per Line'!$I$2:$I$1501,$X77)&amp;"")</f>
        <v/>
      </c>
      <c r="H77">
        <f>IF($X77="","",INDEX('Per Line'!$J$2:$J$1501,$X77)&amp;"")</f>
        <v/>
      </c>
      <c r="I77">
        <f>IF($X77="","",INDEX('Per Line'!$K$2:$K$1501,$X77)&amp;"")</f>
        <v/>
      </c>
      <c r="J77">
        <f>IF($X77="","",INDEX('Per Line'!$M$2:$M$1501,$X77))</f>
        <v/>
      </c>
      <c r="K77" s="7">
        <f>IF($X77="","",J77*V77/100)</f>
        <v/>
      </c>
      <c r="L77">
        <f>IF($X77="","",INDEX('Per Line'!$Y$2:$Y$1501,$X77)&amp;"")</f>
        <v/>
      </c>
      <c r="M77" s="7">
        <f>IF($X77="","",SUMIFS('Per Line'!$U$2:$U$1501,'Per Line'!$AJ$2:$AJ$1501,$A77&amp;"|"&amp;$C77,'Per Line'!$AN$2:$AN$1501,1))</f>
        <v/>
      </c>
      <c r="N77">
        <f>IF($X77="","",Settings!$C$7)</f>
        <v/>
      </c>
      <c r="O77" s="7">
        <f>IF($X77="","",SUMIFS('Per Line'!$U$2:$U$1501,'Per Line'!$AJ$2:$AJ$1501,$A77&amp;"|"&amp;$C77,'Per Line'!$AM$2:$AM$1501,0,'Per Line'!$AN$2:$AN$1501,0))</f>
        <v/>
      </c>
      <c r="P77" s="7">
        <f>IF($X77="","",O77*N77)</f>
        <v/>
      </c>
      <c r="Q77">
        <f>IF($X77="","",Settings!$C$6)</f>
        <v/>
      </c>
      <c r="R77" s="7">
        <f>IF($X77="","",SUMIFS('Per Line'!$U$2:$U$1501,'Per Line'!$AJ$2:$AJ$1501,$A77&amp;"|"&amp;$C77,'Per Line'!$AM$2:$AM$1501,1,'Per Line'!$AN$2:$AN$1501,0))</f>
        <v/>
      </c>
      <c r="S77" s="7">
        <f>IF($X77="","",R77*Q77)</f>
        <v/>
      </c>
      <c r="T77" s="7">
        <f>IF($X77="","",S77+P77)</f>
        <v/>
      </c>
      <c r="U77" s="7">
        <f>IF($X77="","",V77-T77)</f>
        <v/>
      </c>
      <c r="V77" s="7">
        <f>IF($X77="","",O77+R77+M77)</f>
        <v/>
      </c>
      <c r="W77" s="7">
        <f>IF($X77="","",V77-T77-K77)</f>
        <v/>
      </c>
      <c r="X77" s="13">
        <f>IF(ROWS($X$2:$X77)&lt;=MAX('Per Line'!$AL$2:$AL$1501),MATCH(ROWS($X$2:$X77),'Per Line'!$AL$2:$AL$1501,0),"")</f>
        <v/>
      </c>
    </row>
    <row r="78">
      <c r="A78">
        <f>IF($X78="","",INDEX('Per Line'!$C$2:$C$1501,$X78)&amp;"")</f>
        <v/>
      </c>
      <c r="B78" s="12" t="n"/>
      <c r="C78">
        <f>IF($X78="","",INDEX('Per Line'!$D$2:$D$1501,$X78)&amp;"")</f>
        <v/>
      </c>
      <c r="D78">
        <f>IF($X78="","",INDEX('Per Line'!$A$2:$A$1501,$X78))</f>
        <v/>
      </c>
      <c r="E78">
        <f>IF($X78="","",INDEX('Per Line'!$G$2:$G$1501,$X78)&amp;"")</f>
        <v/>
      </c>
      <c r="F78" s="11">
        <f>IF($X78="","",INDEX('Per Line'!$F$2:$F$1501,$X78))</f>
        <v/>
      </c>
      <c r="G78">
        <f>IF($X78="","",INDEX('Per Line'!$I$2:$I$1501,$X78)&amp;"")</f>
        <v/>
      </c>
      <c r="H78">
        <f>IF($X78="","",INDEX('Per Line'!$J$2:$J$1501,$X78)&amp;"")</f>
        <v/>
      </c>
      <c r="I78">
        <f>IF($X78="","",INDEX('Per Line'!$K$2:$K$1501,$X78)&amp;"")</f>
        <v/>
      </c>
      <c r="J78">
        <f>IF($X78="","",INDEX('Per Line'!$M$2:$M$1501,$X78))</f>
        <v/>
      </c>
      <c r="K78" s="7">
        <f>IF($X78="","",J78*V78/100)</f>
        <v/>
      </c>
      <c r="L78">
        <f>IF($X78="","",INDEX('Per Line'!$Y$2:$Y$1501,$X78)&amp;"")</f>
        <v/>
      </c>
      <c r="M78" s="7">
        <f>IF($X78="","",SUMIFS('Per Line'!$U$2:$U$1501,'Per Line'!$AJ$2:$AJ$1501,$A78&amp;"|"&amp;$C78,'Per Line'!$AN$2:$AN$1501,1))</f>
        <v/>
      </c>
      <c r="N78">
        <f>IF($X78="","",Settings!$C$7)</f>
        <v/>
      </c>
      <c r="O78" s="7">
        <f>IF($X78="","",SUMIFS('Per Line'!$U$2:$U$1501,'Per Line'!$AJ$2:$AJ$1501,$A78&amp;"|"&amp;$C78,'Per Line'!$AM$2:$AM$1501,0,'Per Line'!$AN$2:$AN$1501,0))</f>
        <v/>
      </c>
      <c r="P78" s="7">
        <f>IF($X78="","",O78*N78)</f>
        <v/>
      </c>
      <c r="Q78">
        <f>IF($X78="","",Settings!$C$6)</f>
        <v/>
      </c>
      <c r="R78" s="7">
        <f>IF($X78="","",SUMIFS('Per Line'!$U$2:$U$1501,'Per Line'!$AJ$2:$AJ$1501,$A78&amp;"|"&amp;$C78,'Per Line'!$AM$2:$AM$1501,1,'Per Line'!$AN$2:$AN$1501,0))</f>
        <v/>
      </c>
      <c r="S78" s="7">
        <f>IF($X78="","",R78*Q78)</f>
        <v/>
      </c>
      <c r="T78" s="7">
        <f>IF($X78="","",S78+P78)</f>
        <v/>
      </c>
      <c r="U78" s="7">
        <f>IF($X78="","",V78-T78)</f>
        <v/>
      </c>
      <c r="V78" s="7">
        <f>IF($X78="","",O78+R78+M78)</f>
        <v/>
      </c>
      <c r="W78" s="7">
        <f>IF($X78="","",V78-T78-K78)</f>
        <v/>
      </c>
      <c r="X78" s="13">
        <f>IF(ROWS($X$2:$X78)&lt;=MAX('Per Line'!$AL$2:$AL$1501),MATCH(ROWS($X$2:$X78),'Per Line'!$AL$2:$AL$1501,0),"")</f>
        <v/>
      </c>
    </row>
    <row r="79">
      <c r="A79">
        <f>IF($X79="","",INDEX('Per Line'!$C$2:$C$1501,$X79)&amp;"")</f>
        <v/>
      </c>
      <c r="B79" s="12" t="n"/>
      <c r="C79">
        <f>IF($X79="","",INDEX('Per Line'!$D$2:$D$1501,$X79)&amp;"")</f>
        <v/>
      </c>
      <c r="D79">
        <f>IF($X79="","",INDEX('Per Line'!$A$2:$A$1501,$X79))</f>
        <v/>
      </c>
      <c r="E79">
        <f>IF($X79="","",INDEX('Per Line'!$G$2:$G$1501,$X79)&amp;"")</f>
        <v/>
      </c>
      <c r="F79" s="11">
        <f>IF($X79="","",INDEX('Per Line'!$F$2:$F$1501,$X79))</f>
        <v/>
      </c>
      <c r="G79">
        <f>IF($X79="","",INDEX('Per Line'!$I$2:$I$1501,$X79)&amp;"")</f>
        <v/>
      </c>
      <c r="H79">
        <f>IF($X79="","",INDEX('Per Line'!$J$2:$J$1501,$X79)&amp;"")</f>
        <v/>
      </c>
      <c r="I79">
        <f>IF($X79="","",INDEX('Per Line'!$K$2:$K$1501,$X79)&amp;"")</f>
        <v/>
      </c>
      <c r="J79">
        <f>IF($X79="","",INDEX('Per Line'!$M$2:$M$1501,$X79))</f>
        <v/>
      </c>
      <c r="K79" s="7">
        <f>IF($X79="","",J79*V79/100)</f>
        <v/>
      </c>
      <c r="L79">
        <f>IF($X79="","",INDEX('Per Line'!$Y$2:$Y$1501,$X79)&amp;"")</f>
        <v/>
      </c>
      <c r="M79" s="7">
        <f>IF($X79="","",SUMIFS('Per Line'!$U$2:$U$1501,'Per Line'!$AJ$2:$AJ$1501,$A79&amp;"|"&amp;$C79,'Per Line'!$AN$2:$AN$1501,1))</f>
        <v/>
      </c>
      <c r="N79">
        <f>IF($X79="","",Settings!$C$7)</f>
        <v/>
      </c>
      <c r="O79" s="7">
        <f>IF($X79="","",SUMIFS('Per Line'!$U$2:$U$1501,'Per Line'!$AJ$2:$AJ$1501,$A79&amp;"|"&amp;$C79,'Per Line'!$AM$2:$AM$1501,0,'Per Line'!$AN$2:$AN$1501,0))</f>
        <v/>
      </c>
      <c r="P79" s="7">
        <f>IF($X79="","",O79*N79)</f>
        <v/>
      </c>
      <c r="Q79">
        <f>IF($X79="","",Settings!$C$6)</f>
        <v/>
      </c>
      <c r="R79" s="7">
        <f>IF($X79="","",SUMIFS('Per Line'!$U$2:$U$1501,'Per Line'!$AJ$2:$AJ$1501,$A79&amp;"|"&amp;$C79,'Per Line'!$AM$2:$AM$1501,1,'Per Line'!$AN$2:$AN$1501,0))</f>
        <v/>
      </c>
      <c r="S79" s="7">
        <f>IF($X79="","",R79*Q79)</f>
        <v/>
      </c>
      <c r="T79" s="7">
        <f>IF($X79="","",S79+P79)</f>
        <v/>
      </c>
      <c r="U79" s="7">
        <f>IF($X79="","",V79-T79)</f>
        <v/>
      </c>
      <c r="V79" s="7">
        <f>IF($X79="","",O79+R79+M79)</f>
        <v/>
      </c>
      <c r="W79" s="7">
        <f>IF($X79="","",V79-T79-K79)</f>
        <v/>
      </c>
      <c r="X79" s="13">
        <f>IF(ROWS($X$2:$X79)&lt;=MAX('Per Line'!$AL$2:$AL$1501),MATCH(ROWS($X$2:$X79),'Per Line'!$AL$2:$AL$1501,0),"")</f>
        <v/>
      </c>
    </row>
    <row r="80">
      <c r="A80">
        <f>IF($X80="","",INDEX('Per Line'!$C$2:$C$1501,$X80)&amp;"")</f>
        <v/>
      </c>
      <c r="B80" s="12" t="n"/>
      <c r="C80">
        <f>IF($X80="","",INDEX('Per Line'!$D$2:$D$1501,$X80)&amp;"")</f>
        <v/>
      </c>
      <c r="D80">
        <f>IF($X80="","",INDEX('Per Line'!$A$2:$A$1501,$X80))</f>
        <v/>
      </c>
      <c r="E80">
        <f>IF($X80="","",INDEX('Per Line'!$G$2:$G$1501,$X80)&amp;"")</f>
        <v/>
      </c>
      <c r="F80" s="11">
        <f>IF($X80="","",INDEX('Per Line'!$F$2:$F$1501,$X80))</f>
        <v/>
      </c>
      <c r="G80">
        <f>IF($X80="","",INDEX('Per Line'!$I$2:$I$1501,$X80)&amp;"")</f>
        <v/>
      </c>
      <c r="H80">
        <f>IF($X80="","",INDEX('Per Line'!$J$2:$J$1501,$X80)&amp;"")</f>
        <v/>
      </c>
      <c r="I80">
        <f>IF($X80="","",INDEX('Per Line'!$K$2:$K$1501,$X80)&amp;"")</f>
        <v/>
      </c>
      <c r="J80">
        <f>IF($X80="","",INDEX('Per Line'!$M$2:$M$1501,$X80))</f>
        <v/>
      </c>
      <c r="K80" s="7">
        <f>IF($X80="","",J80*V80/100)</f>
        <v/>
      </c>
      <c r="L80">
        <f>IF($X80="","",INDEX('Per Line'!$Y$2:$Y$1501,$X80)&amp;"")</f>
        <v/>
      </c>
      <c r="M80" s="7">
        <f>IF($X80="","",SUMIFS('Per Line'!$U$2:$U$1501,'Per Line'!$AJ$2:$AJ$1501,$A80&amp;"|"&amp;$C80,'Per Line'!$AN$2:$AN$1501,1))</f>
        <v/>
      </c>
      <c r="N80">
        <f>IF($X80="","",Settings!$C$7)</f>
        <v/>
      </c>
      <c r="O80" s="7">
        <f>IF($X80="","",SUMIFS('Per Line'!$U$2:$U$1501,'Per Line'!$AJ$2:$AJ$1501,$A80&amp;"|"&amp;$C80,'Per Line'!$AM$2:$AM$1501,0,'Per Line'!$AN$2:$AN$1501,0))</f>
        <v/>
      </c>
      <c r="P80" s="7">
        <f>IF($X80="","",O80*N80)</f>
        <v/>
      </c>
      <c r="Q80">
        <f>IF($X80="","",Settings!$C$6)</f>
        <v/>
      </c>
      <c r="R80" s="7">
        <f>IF($X80="","",SUMIFS('Per Line'!$U$2:$U$1501,'Per Line'!$AJ$2:$AJ$1501,$A80&amp;"|"&amp;$C80,'Per Line'!$AM$2:$AM$1501,1,'Per Line'!$AN$2:$AN$1501,0))</f>
        <v/>
      </c>
      <c r="S80" s="7">
        <f>IF($X80="","",R80*Q80)</f>
        <v/>
      </c>
      <c r="T80" s="7">
        <f>IF($X80="","",S80+P80)</f>
        <v/>
      </c>
      <c r="U80" s="7">
        <f>IF($X80="","",V80-T80)</f>
        <v/>
      </c>
      <c r="V80" s="7">
        <f>IF($X80="","",O80+R80+M80)</f>
        <v/>
      </c>
      <c r="W80" s="7">
        <f>IF($X80="","",V80-T80-K80)</f>
        <v/>
      </c>
      <c r="X80" s="13">
        <f>IF(ROWS($X$2:$X80)&lt;=MAX('Per Line'!$AL$2:$AL$1501),MATCH(ROWS($X$2:$X80),'Per Line'!$AL$2:$AL$1501,0),"")</f>
        <v/>
      </c>
    </row>
    <row r="81">
      <c r="A81">
        <f>IF($X81="","",INDEX('Per Line'!$C$2:$C$1501,$X81)&amp;"")</f>
        <v/>
      </c>
      <c r="B81" s="12" t="n"/>
      <c r="C81">
        <f>IF($X81="","",INDEX('Per Line'!$D$2:$D$1501,$X81)&amp;"")</f>
        <v/>
      </c>
      <c r="D81">
        <f>IF($X81="","",INDEX('Per Line'!$A$2:$A$1501,$X81))</f>
        <v/>
      </c>
      <c r="E81">
        <f>IF($X81="","",INDEX('Per Line'!$G$2:$G$1501,$X81)&amp;"")</f>
        <v/>
      </c>
      <c r="F81" s="11">
        <f>IF($X81="","",INDEX('Per Line'!$F$2:$F$1501,$X81))</f>
        <v/>
      </c>
      <c r="G81">
        <f>IF($X81="","",INDEX('Per Line'!$I$2:$I$1501,$X81)&amp;"")</f>
        <v/>
      </c>
      <c r="H81">
        <f>IF($X81="","",INDEX('Per Line'!$J$2:$J$1501,$X81)&amp;"")</f>
        <v/>
      </c>
      <c r="I81">
        <f>IF($X81="","",INDEX('Per Line'!$K$2:$K$1501,$X81)&amp;"")</f>
        <v/>
      </c>
      <c r="J81">
        <f>IF($X81="","",INDEX('Per Line'!$M$2:$M$1501,$X81))</f>
        <v/>
      </c>
      <c r="K81" s="7">
        <f>IF($X81="","",J81*V81/100)</f>
        <v/>
      </c>
      <c r="L81">
        <f>IF($X81="","",INDEX('Per Line'!$Y$2:$Y$1501,$X81)&amp;"")</f>
        <v/>
      </c>
      <c r="M81" s="7">
        <f>IF($X81="","",SUMIFS('Per Line'!$U$2:$U$1501,'Per Line'!$AJ$2:$AJ$1501,$A81&amp;"|"&amp;$C81,'Per Line'!$AN$2:$AN$1501,1))</f>
        <v/>
      </c>
      <c r="N81">
        <f>IF($X81="","",Settings!$C$7)</f>
        <v/>
      </c>
      <c r="O81" s="7">
        <f>IF($X81="","",SUMIFS('Per Line'!$U$2:$U$1501,'Per Line'!$AJ$2:$AJ$1501,$A81&amp;"|"&amp;$C81,'Per Line'!$AM$2:$AM$1501,0,'Per Line'!$AN$2:$AN$1501,0))</f>
        <v/>
      </c>
      <c r="P81" s="7">
        <f>IF($X81="","",O81*N81)</f>
        <v/>
      </c>
      <c r="Q81">
        <f>IF($X81="","",Settings!$C$6)</f>
        <v/>
      </c>
      <c r="R81" s="7">
        <f>IF($X81="","",SUMIFS('Per Line'!$U$2:$U$1501,'Per Line'!$AJ$2:$AJ$1501,$A81&amp;"|"&amp;$C81,'Per Line'!$AM$2:$AM$1501,1,'Per Line'!$AN$2:$AN$1501,0))</f>
        <v/>
      </c>
      <c r="S81" s="7">
        <f>IF($X81="","",R81*Q81)</f>
        <v/>
      </c>
      <c r="T81" s="7">
        <f>IF($X81="","",S81+P81)</f>
        <v/>
      </c>
      <c r="U81" s="7">
        <f>IF($X81="","",V81-T81)</f>
        <v/>
      </c>
      <c r="V81" s="7">
        <f>IF($X81="","",O81+R81+M81)</f>
        <v/>
      </c>
      <c r="W81" s="7">
        <f>IF($X81="","",V81-T81-K81)</f>
        <v/>
      </c>
      <c r="X81" s="13">
        <f>IF(ROWS($X$2:$X81)&lt;=MAX('Per Line'!$AL$2:$AL$1501),MATCH(ROWS($X$2:$X81),'Per Line'!$AL$2:$AL$1501,0),"")</f>
        <v/>
      </c>
    </row>
    <row r="82">
      <c r="A82">
        <f>IF($X82="","",INDEX('Per Line'!$C$2:$C$1501,$X82)&amp;"")</f>
        <v/>
      </c>
      <c r="B82" s="12" t="n"/>
      <c r="C82">
        <f>IF($X82="","",INDEX('Per Line'!$D$2:$D$1501,$X82)&amp;"")</f>
        <v/>
      </c>
      <c r="D82">
        <f>IF($X82="","",INDEX('Per Line'!$A$2:$A$1501,$X82))</f>
        <v/>
      </c>
      <c r="E82">
        <f>IF($X82="","",INDEX('Per Line'!$G$2:$G$1501,$X82)&amp;"")</f>
        <v/>
      </c>
      <c r="F82" s="11">
        <f>IF($X82="","",INDEX('Per Line'!$F$2:$F$1501,$X82))</f>
        <v/>
      </c>
      <c r="G82">
        <f>IF($X82="","",INDEX('Per Line'!$I$2:$I$1501,$X82)&amp;"")</f>
        <v/>
      </c>
      <c r="H82">
        <f>IF($X82="","",INDEX('Per Line'!$J$2:$J$1501,$X82)&amp;"")</f>
        <v/>
      </c>
      <c r="I82">
        <f>IF($X82="","",INDEX('Per Line'!$K$2:$K$1501,$X82)&amp;"")</f>
        <v/>
      </c>
      <c r="J82">
        <f>IF($X82="","",INDEX('Per Line'!$M$2:$M$1501,$X82))</f>
        <v/>
      </c>
      <c r="K82" s="7">
        <f>IF($X82="","",J82*V82/100)</f>
        <v/>
      </c>
      <c r="L82">
        <f>IF($X82="","",INDEX('Per Line'!$Y$2:$Y$1501,$X82)&amp;"")</f>
        <v/>
      </c>
      <c r="M82" s="7">
        <f>IF($X82="","",SUMIFS('Per Line'!$U$2:$U$1501,'Per Line'!$AJ$2:$AJ$1501,$A82&amp;"|"&amp;$C82,'Per Line'!$AN$2:$AN$1501,1))</f>
        <v/>
      </c>
      <c r="N82">
        <f>IF($X82="","",Settings!$C$7)</f>
        <v/>
      </c>
      <c r="O82" s="7">
        <f>IF($X82="","",SUMIFS('Per Line'!$U$2:$U$1501,'Per Line'!$AJ$2:$AJ$1501,$A82&amp;"|"&amp;$C82,'Per Line'!$AM$2:$AM$1501,0,'Per Line'!$AN$2:$AN$1501,0))</f>
        <v/>
      </c>
      <c r="P82" s="7">
        <f>IF($X82="","",O82*N82)</f>
        <v/>
      </c>
      <c r="Q82">
        <f>IF($X82="","",Settings!$C$6)</f>
        <v/>
      </c>
      <c r="R82" s="7">
        <f>IF($X82="","",SUMIFS('Per Line'!$U$2:$U$1501,'Per Line'!$AJ$2:$AJ$1501,$A82&amp;"|"&amp;$C82,'Per Line'!$AM$2:$AM$1501,1,'Per Line'!$AN$2:$AN$1501,0))</f>
        <v/>
      </c>
      <c r="S82" s="7">
        <f>IF($X82="","",R82*Q82)</f>
        <v/>
      </c>
      <c r="T82" s="7">
        <f>IF($X82="","",S82+P82)</f>
        <v/>
      </c>
      <c r="U82" s="7">
        <f>IF($X82="","",V82-T82)</f>
        <v/>
      </c>
      <c r="V82" s="7">
        <f>IF($X82="","",O82+R82+M82)</f>
        <v/>
      </c>
      <c r="W82" s="7">
        <f>IF($X82="","",V82-T82-K82)</f>
        <v/>
      </c>
      <c r="X82" s="13">
        <f>IF(ROWS($X$2:$X82)&lt;=MAX('Per Line'!$AL$2:$AL$1501),MATCH(ROWS($X$2:$X82),'Per Line'!$AL$2:$AL$1501,0),"")</f>
        <v/>
      </c>
    </row>
    <row r="83">
      <c r="A83">
        <f>IF($X83="","",INDEX('Per Line'!$C$2:$C$1501,$X83)&amp;"")</f>
        <v/>
      </c>
      <c r="B83" s="12" t="n"/>
      <c r="C83">
        <f>IF($X83="","",INDEX('Per Line'!$D$2:$D$1501,$X83)&amp;"")</f>
        <v/>
      </c>
      <c r="D83">
        <f>IF($X83="","",INDEX('Per Line'!$A$2:$A$1501,$X83))</f>
        <v/>
      </c>
      <c r="E83">
        <f>IF($X83="","",INDEX('Per Line'!$G$2:$G$1501,$X83)&amp;"")</f>
        <v/>
      </c>
      <c r="F83" s="11">
        <f>IF($X83="","",INDEX('Per Line'!$F$2:$F$1501,$X83))</f>
        <v/>
      </c>
      <c r="G83">
        <f>IF($X83="","",INDEX('Per Line'!$I$2:$I$1501,$X83)&amp;"")</f>
        <v/>
      </c>
      <c r="H83">
        <f>IF($X83="","",INDEX('Per Line'!$J$2:$J$1501,$X83)&amp;"")</f>
        <v/>
      </c>
      <c r="I83">
        <f>IF($X83="","",INDEX('Per Line'!$K$2:$K$1501,$X83)&amp;"")</f>
        <v/>
      </c>
      <c r="J83">
        <f>IF($X83="","",INDEX('Per Line'!$M$2:$M$1501,$X83))</f>
        <v/>
      </c>
      <c r="K83" s="7">
        <f>IF($X83="","",J83*V83/100)</f>
        <v/>
      </c>
      <c r="L83">
        <f>IF($X83="","",INDEX('Per Line'!$Y$2:$Y$1501,$X83)&amp;"")</f>
        <v/>
      </c>
      <c r="M83" s="7">
        <f>IF($X83="","",SUMIFS('Per Line'!$U$2:$U$1501,'Per Line'!$AJ$2:$AJ$1501,$A83&amp;"|"&amp;$C83,'Per Line'!$AN$2:$AN$1501,1))</f>
        <v/>
      </c>
      <c r="N83">
        <f>IF($X83="","",Settings!$C$7)</f>
        <v/>
      </c>
      <c r="O83" s="7">
        <f>IF($X83="","",SUMIFS('Per Line'!$U$2:$U$1501,'Per Line'!$AJ$2:$AJ$1501,$A83&amp;"|"&amp;$C83,'Per Line'!$AM$2:$AM$1501,0,'Per Line'!$AN$2:$AN$1501,0))</f>
        <v/>
      </c>
      <c r="P83" s="7">
        <f>IF($X83="","",O83*N83)</f>
        <v/>
      </c>
      <c r="Q83">
        <f>IF($X83="","",Settings!$C$6)</f>
        <v/>
      </c>
      <c r="R83" s="7">
        <f>IF($X83="","",SUMIFS('Per Line'!$U$2:$U$1501,'Per Line'!$AJ$2:$AJ$1501,$A83&amp;"|"&amp;$C83,'Per Line'!$AM$2:$AM$1501,1,'Per Line'!$AN$2:$AN$1501,0))</f>
        <v/>
      </c>
      <c r="S83" s="7">
        <f>IF($X83="","",R83*Q83)</f>
        <v/>
      </c>
      <c r="T83" s="7">
        <f>IF($X83="","",S83+P83)</f>
        <v/>
      </c>
      <c r="U83" s="7">
        <f>IF($X83="","",V83-T83)</f>
        <v/>
      </c>
      <c r="V83" s="7">
        <f>IF($X83="","",O83+R83+M83)</f>
        <v/>
      </c>
      <c r="W83" s="7">
        <f>IF($X83="","",V83-T83-K83)</f>
        <v/>
      </c>
      <c r="X83" s="13">
        <f>IF(ROWS($X$2:$X83)&lt;=MAX('Per Line'!$AL$2:$AL$1501),MATCH(ROWS($X$2:$X83),'Per Line'!$AL$2:$AL$1501,0),"")</f>
        <v/>
      </c>
    </row>
    <row r="84">
      <c r="A84">
        <f>IF($X84="","",INDEX('Per Line'!$C$2:$C$1501,$X84)&amp;"")</f>
        <v/>
      </c>
      <c r="B84" s="12" t="n"/>
      <c r="C84">
        <f>IF($X84="","",INDEX('Per Line'!$D$2:$D$1501,$X84)&amp;"")</f>
        <v/>
      </c>
      <c r="D84">
        <f>IF($X84="","",INDEX('Per Line'!$A$2:$A$1501,$X84))</f>
        <v/>
      </c>
      <c r="E84">
        <f>IF($X84="","",INDEX('Per Line'!$G$2:$G$1501,$X84)&amp;"")</f>
        <v/>
      </c>
      <c r="F84" s="11">
        <f>IF($X84="","",INDEX('Per Line'!$F$2:$F$1501,$X84))</f>
        <v/>
      </c>
      <c r="G84">
        <f>IF($X84="","",INDEX('Per Line'!$I$2:$I$1501,$X84)&amp;"")</f>
        <v/>
      </c>
      <c r="H84">
        <f>IF($X84="","",INDEX('Per Line'!$J$2:$J$1501,$X84)&amp;"")</f>
        <v/>
      </c>
      <c r="I84">
        <f>IF($X84="","",INDEX('Per Line'!$K$2:$K$1501,$X84)&amp;"")</f>
        <v/>
      </c>
      <c r="J84">
        <f>IF($X84="","",INDEX('Per Line'!$M$2:$M$1501,$X84))</f>
        <v/>
      </c>
      <c r="K84" s="7">
        <f>IF($X84="","",J84*V84/100)</f>
        <v/>
      </c>
      <c r="L84">
        <f>IF($X84="","",INDEX('Per Line'!$Y$2:$Y$1501,$X84)&amp;"")</f>
        <v/>
      </c>
      <c r="M84" s="7">
        <f>IF($X84="","",SUMIFS('Per Line'!$U$2:$U$1501,'Per Line'!$AJ$2:$AJ$1501,$A84&amp;"|"&amp;$C84,'Per Line'!$AN$2:$AN$1501,1))</f>
        <v/>
      </c>
      <c r="N84">
        <f>IF($X84="","",Settings!$C$7)</f>
        <v/>
      </c>
      <c r="O84" s="7">
        <f>IF($X84="","",SUMIFS('Per Line'!$U$2:$U$1501,'Per Line'!$AJ$2:$AJ$1501,$A84&amp;"|"&amp;$C84,'Per Line'!$AM$2:$AM$1501,0,'Per Line'!$AN$2:$AN$1501,0))</f>
        <v/>
      </c>
      <c r="P84" s="7">
        <f>IF($X84="","",O84*N84)</f>
        <v/>
      </c>
      <c r="Q84">
        <f>IF($X84="","",Settings!$C$6)</f>
        <v/>
      </c>
      <c r="R84" s="7">
        <f>IF($X84="","",SUMIFS('Per Line'!$U$2:$U$1501,'Per Line'!$AJ$2:$AJ$1501,$A84&amp;"|"&amp;$C84,'Per Line'!$AM$2:$AM$1501,1,'Per Line'!$AN$2:$AN$1501,0))</f>
        <v/>
      </c>
      <c r="S84" s="7">
        <f>IF($X84="","",R84*Q84)</f>
        <v/>
      </c>
      <c r="T84" s="7">
        <f>IF($X84="","",S84+P84)</f>
        <v/>
      </c>
      <c r="U84" s="7">
        <f>IF($X84="","",V84-T84)</f>
        <v/>
      </c>
      <c r="V84" s="7">
        <f>IF($X84="","",O84+R84+M84)</f>
        <v/>
      </c>
      <c r="W84" s="7">
        <f>IF($X84="","",V84-T84-K84)</f>
        <v/>
      </c>
      <c r="X84" s="13">
        <f>IF(ROWS($X$2:$X84)&lt;=MAX('Per Line'!$AL$2:$AL$1501),MATCH(ROWS($X$2:$X84),'Per Line'!$AL$2:$AL$1501,0),"")</f>
        <v/>
      </c>
    </row>
    <row r="85">
      <c r="A85">
        <f>IF($X85="","",INDEX('Per Line'!$C$2:$C$1501,$X85)&amp;"")</f>
        <v/>
      </c>
      <c r="B85" s="12" t="n"/>
      <c r="C85">
        <f>IF($X85="","",INDEX('Per Line'!$D$2:$D$1501,$X85)&amp;"")</f>
        <v/>
      </c>
      <c r="D85">
        <f>IF($X85="","",INDEX('Per Line'!$A$2:$A$1501,$X85))</f>
        <v/>
      </c>
      <c r="E85">
        <f>IF($X85="","",INDEX('Per Line'!$G$2:$G$1501,$X85)&amp;"")</f>
        <v/>
      </c>
      <c r="F85" s="11">
        <f>IF($X85="","",INDEX('Per Line'!$F$2:$F$1501,$X85))</f>
        <v/>
      </c>
      <c r="G85">
        <f>IF($X85="","",INDEX('Per Line'!$I$2:$I$1501,$X85)&amp;"")</f>
        <v/>
      </c>
      <c r="H85">
        <f>IF($X85="","",INDEX('Per Line'!$J$2:$J$1501,$X85)&amp;"")</f>
        <v/>
      </c>
      <c r="I85">
        <f>IF($X85="","",INDEX('Per Line'!$K$2:$K$1501,$X85)&amp;"")</f>
        <v/>
      </c>
      <c r="J85">
        <f>IF($X85="","",INDEX('Per Line'!$M$2:$M$1501,$X85))</f>
        <v/>
      </c>
      <c r="K85" s="7">
        <f>IF($X85="","",J85*V85/100)</f>
        <v/>
      </c>
      <c r="L85">
        <f>IF($X85="","",INDEX('Per Line'!$Y$2:$Y$1501,$X85)&amp;"")</f>
        <v/>
      </c>
      <c r="M85" s="7">
        <f>IF($X85="","",SUMIFS('Per Line'!$U$2:$U$1501,'Per Line'!$AJ$2:$AJ$1501,$A85&amp;"|"&amp;$C85,'Per Line'!$AN$2:$AN$1501,1))</f>
        <v/>
      </c>
      <c r="N85">
        <f>IF($X85="","",Settings!$C$7)</f>
        <v/>
      </c>
      <c r="O85" s="7">
        <f>IF($X85="","",SUMIFS('Per Line'!$U$2:$U$1501,'Per Line'!$AJ$2:$AJ$1501,$A85&amp;"|"&amp;$C85,'Per Line'!$AM$2:$AM$1501,0,'Per Line'!$AN$2:$AN$1501,0))</f>
        <v/>
      </c>
      <c r="P85" s="7">
        <f>IF($X85="","",O85*N85)</f>
        <v/>
      </c>
      <c r="Q85">
        <f>IF($X85="","",Settings!$C$6)</f>
        <v/>
      </c>
      <c r="R85" s="7">
        <f>IF($X85="","",SUMIFS('Per Line'!$U$2:$U$1501,'Per Line'!$AJ$2:$AJ$1501,$A85&amp;"|"&amp;$C85,'Per Line'!$AM$2:$AM$1501,1,'Per Line'!$AN$2:$AN$1501,0))</f>
        <v/>
      </c>
      <c r="S85" s="7">
        <f>IF($X85="","",R85*Q85)</f>
        <v/>
      </c>
      <c r="T85" s="7">
        <f>IF($X85="","",S85+P85)</f>
        <v/>
      </c>
      <c r="U85" s="7">
        <f>IF($X85="","",V85-T85)</f>
        <v/>
      </c>
      <c r="V85" s="7">
        <f>IF($X85="","",O85+R85+M85)</f>
        <v/>
      </c>
      <c r="W85" s="7">
        <f>IF($X85="","",V85-T85-K85)</f>
        <v/>
      </c>
      <c r="X85" s="13">
        <f>IF(ROWS($X$2:$X85)&lt;=MAX('Per Line'!$AL$2:$AL$1501),MATCH(ROWS($X$2:$X85),'Per Line'!$AL$2:$AL$1501,0),"")</f>
        <v/>
      </c>
    </row>
    <row r="86">
      <c r="A86">
        <f>IF($X86="","",INDEX('Per Line'!$C$2:$C$1501,$X86)&amp;"")</f>
        <v/>
      </c>
      <c r="B86" s="12" t="n"/>
      <c r="C86">
        <f>IF($X86="","",INDEX('Per Line'!$D$2:$D$1501,$X86)&amp;"")</f>
        <v/>
      </c>
      <c r="D86">
        <f>IF($X86="","",INDEX('Per Line'!$A$2:$A$1501,$X86))</f>
        <v/>
      </c>
      <c r="E86">
        <f>IF($X86="","",INDEX('Per Line'!$G$2:$G$1501,$X86)&amp;"")</f>
        <v/>
      </c>
      <c r="F86" s="11">
        <f>IF($X86="","",INDEX('Per Line'!$F$2:$F$1501,$X86))</f>
        <v/>
      </c>
      <c r="G86">
        <f>IF($X86="","",INDEX('Per Line'!$I$2:$I$1501,$X86)&amp;"")</f>
        <v/>
      </c>
      <c r="H86">
        <f>IF($X86="","",INDEX('Per Line'!$J$2:$J$1501,$X86)&amp;"")</f>
        <v/>
      </c>
      <c r="I86">
        <f>IF($X86="","",INDEX('Per Line'!$K$2:$K$1501,$X86)&amp;"")</f>
        <v/>
      </c>
      <c r="J86">
        <f>IF($X86="","",INDEX('Per Line'!$M$2:$M$1501,$X86))</f>
        <v/>
      </c>
      <c r="K86" s="7">
        <f>IF($X86="","",J86*V86/100)</f>
        <v/>
      </c>
      <c r="L86">
        <f>IF($X86="","",INDEX('Per Line'!$Y$2:$Y$1501,$X86)&amp;"")</f>
        <v/>
      </c>
      <c r="M86" s="7">
        <f>IF($X86="","",SUMIFS('Per Line'!$U$2:$U$1501,'Per Line'!$AJ$2:$AJ$1501,$A86&amp;"|"&amp;$C86,'Per Line'!$AN$2:$AN$1501,1))</f>
        <v/>
      </c>
      <c r="N86">
        <f>IF($X86="","",Settings!$C$7)</f>
        <v/>
      </c>
      <c r="O86" s="7">
        <f>IF($X86="","",SUMIFS('Per Line'!$U$2:$U$1501,'Per Line'!$AJ$2:$AJ$1501,$A86&amp;"|"&amp;$C86,'Per Line'!$AM$2:$AM$1501,0,'Per Line'!$AN$2:$AN$1501,0))</f>
        <v/>
      </c>
      <c r="P86" s="7">
        <f>IF($X86="","",O86*N86)</f>
        <v/>
      </c>
      <c r="Q86">
        <f>IF($X86="","",Settings!$C$6)</f>
        <v/>
      </c>
      <c r="R86" s="7">
        <f>IF($X86="","",SUMIFS('Per Line'!$U$2:$U$1501,'Per Line'!$AJ$2:$AJ$1501,$A86&amp;"|"&amp;$C86,'Per Line'!$AM$2:$AM$1501,1,'Per Line'!$AN$2:$AN$1501,0))</f>
        <v/>
      </c>
      <c r="S86" s="7">
        <f>IF($X86="","",R86*Q86)</f>
        <v/>
      </c>
      <c r="T86" s="7">
        <f>IF($X86="","",S86+P86)</f>
        <v/>
      </c>
      <c r="U86" s="7">
        <f>IF($X86="","",V86-T86)</f>
        <v/>
      </c>
      <c r="V86" s="7">
        <f>IF($X86="","",O86+R86+M86)</f>
        <v/>
      </c>
      <c r="W86" s="7">
        <f>IF($X86="","",V86-T86-K86)</f>
        <v/>
      </c>
      <c r="X86" s="13">
        <f>IF(ROWS($X$2:$X86)&lt;=MAX('Per Line'!$AL$2:$AL$1501),MATCH(ROWS($X$2:$X86),'Per Line'!$AL$2:$AL$1501,0),"")</f>
        <v/>
      </c>
    </row>
    <row r="87">
      <c r="A87">
        <f>IF($X87="","",INDEX('Per Line'!$C$2:$C$1501,$X87)&amp;"")</f>
        <v/>
      </c>
      <c r="B87" s="12" t="n"/>
      <c r="C87">
        <f>IF($X87="","",INDEX('Per Line'!$D$2:$D$1501,$X87)&amp;"")</f>
        <v/>
      </c>
      <c r="D87">
        <f>IF($X87="","",INDEX('Per Line'!$A$2:$A$1501,$X87))</f>
        <v/>
      </c>
      <c r="E87">
        <f>IF($X87="","",INDEX('Per Line'!$G$2:$G$1501,$X87)&amp;"")</f>
        <v/>
      </c>
      <c r="F87" s="11">
        <f>IF($X87="","",INDEX('Per Line'!$F$2:$F$1501,$X87))</f>
        <v/>
      </c>
      <c r="G87">
        <f>IF($X87="","",INDEX('Per Line'!$I$2:$I$1501,$X87)&amp;"")</f>
        <v/>
      </c>
      <c r="H87">
        <f>IF($X87="","",INDEX('Per Line'!$J$2:$J$1501,$X87)&amp;"")</f>
        <v/>
      </c>
      <c r="I87">
        <f>IF($X87="","",INDEX('Per Line'!$K$2:$K$1501,$X87)&amp;"")</f>
        <v/>
      </c>
      <c r="J87">
        <f>IF($X87="","",INDEX('Per Line'!$M$2:$M$1501,$X87))</f>
        <v/>
      </c>
      <c r="K87" s="7">
        <f>IF($X87="","",J87*V87/100)</f>
        <v/>
      </c>
      <c r="L87">
        <f>IF($X87="","",INDEX('Per Line'!$Y$2:$Y$1501,$X87)&amp;"")</f>
        <v/>
      </c>
      <c r="M87" s="7">
        <f>IF($X87="","",SUMIFS('Per Line'!$U$2:$U$1501,'Per Line'!$AJ$2:$AJ$1501,$A87&amp;"|"&amp;$C87,'Per Line'!$AN$2:$AN$1501,1))</f>
        <v/>
      </c>
      <c r="N87">
        <f>IF($X87="","",Settings!$C$7)</f>
        <v/>
      </c>
      <c r="O87" s="7">
        <f>IF($X87="","",SUMIFS('Per Line'!$U$2:$U$1501,'Per Line'!$AJ$2:$AJ$1501,$A87&amp;"|"&amp;$C87,'Per Line'!$AM$2:$AM$1501,0,'Per Line'!$AN$2:$AN$1501,0))</f>
        <v/>
      </c>
      <c r="P87" s="7">
        <f>IF($X87="","",O87*N87)</f>
        <v/>
      </c>
      <c r="Q87">
        <f>IF($X87="","",Settings!$C$6)</f>
        <v/>
      </c>
      <c r="R87" s="7">
        <f>IF($X87="","",SUMIFS('Per Line'!$U$2:$U$1501,'Per Line'!$AJ$2:$AJ$1501,$A87&amp;"|"&amp;$C87,'Per Line'!$AM$2:$AM$1501,1,'Per Line'!$AN$2:$AN$1501,0))</f>
        <v/>
      </c>
      <c r="S87" s="7">
        <f>IF($X87="","",R87*Q87)</f>
        <v/>
      </c>
      <c r="T87" s="7">
        <f>IF($X87="","",S87+P87)</f>
        <v/>
      </c>
      <c r="U87" s="7">
        <f>IF($X87="","",V87-T87)</f>
        <v/>
      </c>
      <c r="V87" s="7">
        <f>IF($X87="","",O87+R87+M87)</f>
        <v/>
      </c>
      <c r="W87" s="7">
        <f>IF($X87="","",V87-T87-K87)</f>
        <v/>
      </c>
      <c r="X87" s="13">
        <f>IF(ROWS($X$2:$X87)&lt;=MAX('Per Line'!$AL$2:$AL$1501),MATCH(ROWS($X$2:$X87),'Per Line'!$AL$2:$AL$1501,0),"")</f>
        <v/>
      </c>
    </row>
    <row r="88">
      <c r="A88">
        <f>IF($X88="","",INDEX('Per Line'!$C$2:$C$1501,$X88)&amp;"")</f>
        <v/>
      </c>
      <c r="B88" s="12" t="n"/>
      <c r="C88">
        <f>IF($X88="","",INDEX('Per Line'!$D$2:$D$1501,$X88)&amp;"")</f>
        <v/>
      </c>
      <c r="D88">
        <f>IF($X88="","",INDEX('Per Line'!$A$2:$A$1501,$X88))</f>
        <v/>
      </c>
      <c r="E88">
        <f>IF($X88="","",INDEX('Per Line'!$G$2:$G$1501,$X88)&amp;"")</f>
        <v/>
      </c>
      <c r="F88" s="11">
        <f>IF($X88="","",INDEX('Per Line'!$F$2:$F$1501,$X88))</f>
        <v/>
      </c>
      <c r="G88">
        <f>IF($X88="","",INDEX('Per Line'!$I$2:$I$1501,$X88)&amp;"")</f>
        <v/>
      </c>
      <c r="H88">
        <f>IF($X88="","",INDEX('Per Line'!$J$2:$J$1501,$X88)&amp;"")</f>
        <v/>
      </c>
      <c r="I88">
        <f>IF($X88="","",INDEX('Per Line'!$K$2:$K$1501,$X88)&amp;"")</f>
        <v/>
      </c>
      <c r="J88">
        <f>IF($X88="","",INDEX('Per Line'!$M$2:$M$1501,$X88))</f>
        <v/>
      </c>
      <c r="K88" s="7">
        <f>IF($X88="","",J88*V88/100)</f>
        <v/>
      </c>
      <c r="L88">
        <f>IF($X88="","",INDEX('Per Line'!$Y$2:$Y$1501,$X88)&amp;"")</f>
        <v/>
      </c>
      <c r="M88" s="7">
        <f>IF($X88="","",SUMIFS('Per Line'!$U$2:$U$1501,'Per Line'!$AJ$2:$AJ$1501,$A88&amp;"|"&amp;$C88,'Per Line'!$AN$2:$AN$1501,1))</f>
        <v/>
      </c>
      <c r="N88">
        <f>IF($X88="","",Settings!$C$7)</f>
        <v/>
      </c>
      <c r="O88" s="7">
        <f>IF($X88="","",SUMIFS('Per Line'!$U$2:$U$1501,'Per Line'!$AJ$2:$AJ$1501,$A88&amp;"|"&amp;$C88,'Per Line'!$AM$2:$AM$1501,0,'Per Line'!$AN$2:$AN$1501,0))</f>
        <v/>
      </c>
      <c r="P88" s="7">
        <f>IF($X88="","",O88*N88)</f>
        <v/>
      </c>
      <c r="Q88">
        <f>IF($X88="","",Settings!$C$6)</f>
        <v/>
      </c>
      <c r="R88" s="7">
        <f>IF($X88="","",SUMIFS('Per Line'!$U$2:$U$1501,'Per Line'!$AJ$2:$AJ$1501,$A88&amp;"|"&amp;$C88,'Per Line'!$AM$2:$AM$1501,1,'Per Line'!$AN$2:$AN$1501,0))</f>
        <v/>
      </c>
      <c r="S88" s="7">
        <f>IF($X88="","",R88*Q88)</f>
        <v/>
      </c>
      <c r="T88" s="7">
        <f>IF($X88="","",S88+P88)</f>
        <v/>
      </c>
      <c r="U88" s="7">
        <f>IF($X88="","",V88-T88)</f>
        <v/>
      </c>
      <c r="V88" s="7">
        <f>IF($X88="","",O88+R88+M88)</f>
        <v/>
      </c>
      <c r="W88" s="7">
        <f>IF($X88="","",V88-T88-K88)</f>
        <v/>
      </c>
      <c r="X88" s="13">
        <f>IF(ROWS($X$2:$X88)&lt;=MAX('Per Line'!$AL$2:$AL$1501),MATCH(ROWS($X$2:$X88),'Per Line'!$AL$2:$AL$1501,0),"")</f>
        <v/>
      </c>
    </row>
    <row r="89">
      <c r="A89">
        <f>IF($X89="","",INDEX('Per Line'!$C$2:$C$1501,$X89)&amp;"")</f>
        <v/>
      </c>
      <c r="B89" s="12" t="n"/>
      <c r="C89">
        <f>IF($X89="","",INDEX('Per Line'!$D$2:$D$1501,$X89)&amp;"")</f>
        <v/>
      </c>
      <c r="D89">
        <f>IF($X89="","",INDEX('Per Line'!$A$2:$A$1501,$X89))</f>
        <v/>
      </c>
      <c r="E89">
        <f>IF($X89="","",INDEX('Per Line'!$G$2:$G$1501,$X89)&amp;"")</f>
        <v/>
      </c>
      <c r="F89" s="11">
        <f>IF($X89="","",INDEX('Per Line'!$F$2:$F$1501,$X89))</f>
        <v/>
      </c>
      <c r="G89">
        <f>IF($X89="","",INDEX('Per Line'!$I$2:$I$1501,$X89)&amp;"")</f>
        <v/>
      </c>
      <c r="H89">
        <f>IF($X89="","",INDEX('Per Line'!$J$2:$J$1501,$X89)&amp;"")</f>
        <v/>
      </c>
      <c r="I89">
        <f>IF($X89="","",INDEX('Per Line'!$K$2:$K$1501,$X89)&amp;"")</f>
        <v/>
      </c>
      <c r="J89">
        <f>IF($X89="","",INDEX('Per Line'!$M$2:$M$1501,$X89))</f>
        <v/>
      </c>
      <c r="K89" s="7">
        <f>IF($X89="","",J89*V89/100)</f>
        <v/>
      </c>
      <c r="L89">
        <f>IF($X89="","",INDEX('Per Line'!$Y$2:$Y$1501,$X89)&amp;"")</f>
        <v/>
      </c>
      <c r="M89" s="7">
        <f>IF($X89="","",SUMIFS('Per Line'!$U$2:$U$1501,'Per Line'!$AJ$2:$AJ$1501,$A89&amp;"|"&amp;$C89,'Per Line'!$AN$2:$AN$1501,1))</f>
        <v/>
      </c>
      <c r="N89">
        <f>IF($X89="","",Settings!$C$7)</f>
        <v/>
      </c>
      <c r="O89" s="7">
        <f>IF($X89="","",SUMIFS('Per Line'!$U$2:$U$1501,'Per Line'!$AJ$2:$AJ$1501,$A89&amp;"|"&amp;$C89,'Per Line'!$AM$2:$AM$1501,0,'Per Line'!$AN$2:$AN$1501,0))</f>
        <v/>
      </c>
      <c r="P89" s="7">
        <f>IF($X89="","",O89*N89)</f>
        <v/>
      </c>
      <c r="Q89">
        <f>IF($X89="","",Settings!$C$6)</f>
        <v/>
      </c>
      <c r="R89" s="7">
        <f>IF($X89="","",SUMIFS('Per Line'!$U$2:$U$1501,'Per Line'!$AJ$2:$AJ$1501,$A89&amp;"|"&amp;$C89,'Per Line'!$AM$2:$AM$1501,1,'Per Line'!$AN$2:$AN$1501,0))</f>
        <v/>
      </c>
      <c r="S89" s="7">
        <f>IF($X89="","",R89*Q89)</f>
        <v/>
      </c>
      <c r="T89" s="7">
        <f>IF($X89="","",S89+P89)</f>
        <v/>
      </c>
      <c r="U89" s="7">
        <f>IF($X89="","",V89-T89)</f>
        <v/>
      </c>
      <c r="V89" s="7">
        <f>IF($X89="","",O89+R89+M89)</f>
        <v/>
      </c>
      <c r="W89" s="7">
        <f>IF($X89="","",V89-T89-K89)</f>
        <v/>
      </c>
      <c r="X89" s="13">
        <f>IF(ROWS($X$2:$X89)&lt;=MAX('Per Line'!$AL$2:$AL$1501),MATCH(ROWS($X$2:$X89),'Per Line'!$AL$2:$AL$1501,0),"")</f>
        <v/>
      </c>
    </row>
    <row r="90">
      <c r="A90">
        <f>IF($X90="","",INDEX('Per Line'!$C$2:$C$1501,$X90)&amp;"")</f>
        <v/>
      </c>
      <c r="B90" s="12" t="n"/>
      <c r="C90">
        <f>IF($X90="","",INDEX('Per Line'!$D$2:$D$1501,$X90)&amp;"")</f>
        <v/>
      </c>
      <c r="D90">
        <f>IF($X90="","",INDEX('Per Line'!$A$2:$A$1501,$X90))</f>
        <v/>
      </c>
      <c r="E90">
        <f>IF($X90="","",INDEX('Per Line'!$G$2:$G$1501,$X90)&amp;"")</f>
        <v/>
      </c>
      <c r="F90" s="11">
        <f>IF($X90="","",INDEX('Per Line'!$F$2:$F$1501,$X90))</f>
        <v/>
      </c>
      <c r="G90">
        <f>IF($X90="","",INDEX('Per Line'!$I$2:$I$1501,$X90)&amp;"")</f>
        <v/>
      </c>
      <c r="H90">
        <f>IF($X90="","",INDEX('Per Line'!$J$2:$J$1501,$X90)&amp;"")</f>
        <v/>
      </c>
      <c r="I90">
        <f>IF($X90="","",INDEX('Per Line'!$K$2:$K$1501,$X90)&amp;"")</f>
        <v/>
      </c>
      <c r="J90">
        <f>IF($X90="","",INDEX('Per Line'!$M$2:$M$1501,$X90))</f>
        <v/>
      </c>
      <c r="K90" s="7">
        <f>IF($X90="","",J90*V90/100)</f>
        <v/>
      </c>
      <c r="L90">
        <f>IF($X90="","",INDEX('Per Line'!$Y$2:$Y$1501,$X90)&amp;"")</f>
        <v/>
      </c>
      <c r="M90" s="7">
        <f>IF($X90="","",SUMIFS('Per Line'!$U$2:$U$1501,'Per Line'!$AJ$2:$AJ$1501,$A90&amp;"|"&amp;$C90,'Per Line'!$AN$2:$AN$1501,1))</f>
        <v/>
      </c>
      <c r="N90">
        <f>IF($X90="","",Settings!$C$7)</f>
        <v/>
      </c>
      <c r="O90" s="7">
        <f>IF($X90="","",SUMIFS('Per Line'!$U$2:$U$1501,'Per Line'!$AJ$2:$AJ$1501,$A90&amp;"|"&amp;$C90,'Per Line'!$AM$2:$AM$1501,0,'Per Line'!$AN$2:$AN$1501,0))</f>
        <v/>
      </c>
      <c r="P90" s="7">
        <f>IF($X90="","",O90*N90)</f>
        <v/>
      </c>
      <c r="Q90">
        <f>IF($X90="","",Settings!$C$6)</f>
        <v/>
      </c>
      <c r="R90" s="7">
        <f>IF($X90="","",SUMIFS('Per Line'!$U$2:$U$1501,'Per Line'!$AJ$2:$AJ$1501,$A90&amp;"|"&amp;$C90,'Per Line'!$AM$2:$AM$1501,1,'Per Line'!$AN$2:$AN$1501,0))</f>
        <v/>
      </c>
      <c r="S90" s="7">
        <f>IF($X90="","",R90*Q90)</f>
        <v/>
      </c>
      <c r="T90" s="7">
        <f>IF($X90="","",S90+P90)</f>
        <v/>
      </c>
      <c r="U90" s="7">
        <f>IF($X90="","",V90-T90)</f>
        <v/>
      </c>
      <c r="V90" s="7">
        <f>IF($X90="","",O90+R90+M90)</f>
        <v/>
      </c>
      <c r="W90" s="7">
        <f>IF($X90="","",V90-T90-K90)</f>
        <v/>
      </c>
      <c r="X90" s="13">
        <f>IF(ROWS($X$2:$X90)&lt;=MAX('Per Line'!$AL$2:$AL$1501),MATCH(ROWS($X$2:$X90),'Per Line'!$AL$2:$AL$1501,0),"")</f>
        <v/>
      </c>
    </row>
    <row r="91">
      <c r="A91">
        <f>IF($X91="","",INDEX('Per Line'!$C$2:$C$1501,$X91)&amp;"")</f>
        <v/>
      </c>
      <c r="B91" s="12" t="n"/>
      <c r="C91">
        <f>IF($X91="","",INDEX('Per Line'!$D$2:$D$1501,$X91)&amp;"")</f>
        <v/>
      </c>
      <c r="D91">
        <f>IF($X91="","",INDEX('Per Line'!$A$2:$A$1501,$X91))</f>
        <v/>
      </c>
      <c r="E91">
        <f>IF($X91="","",INDEX('Per Line'!$G$2:$G$1501,$X91)&amp;"")</f>
        <v/>
      </c>
      <c r="F91" s="11">
        <f>IF($X91="","",INDEX('Per Line'!$F$2:$F$1501,$X91))</f>
        <v/>
      </c>
      <c r="G91">
        <f>IF($X91="","",INDEX('Per Line'!$I$2:$I$1501,$X91)&amp;"")</f>
        <v/>
      </c>
      <c r="H91">
        <f>IF($X91="","",INDEX('Per Line'!$J$2:$J$1501,$X91)&amp;"")</f>
        <v/>
      </c>
      <c r="I91">
        <f>IF($X91="","",INDEX('Per Line'!$K$2:$K$1501,$X91)&amp;"")</f>
        <v/>
      </c>
      <c r="J91">
        <f>IF($X91="","",INDEX('Per Line'!$M$2:$M$1501,$X91))</f>
        <v/>
      </c>
      <c r="K91" s="7">
        <f>IF($X91="","",J91*V91/100)</f>
        <v/>
      </c>
      <c r="L91">
        <f>IF($X91="","",INDEX('Per Line'!$Y$2:$Y$1501,$X91)&amp;"")</f>
        <v/>
      </c>
      <c r="M91" s="7">
        <f>IF($X91="","",SUMIFS('Per Line'!$U$2:$U$1501,'Per Line'!$AJ$2:$AJ$1501,$A91&amp;"|"&amp;$C91,'Per Line'!$AN$2:$AN$1501,1))</f>
        <v/>
      </c>
      <c r="N91">
        <f>IF($X91="","",Settings!$C$7)</f>
        <v/>
      </c>
      <c r="O91" s="7">
        <f>IF($X91="","",SUMIFS('Per Line'!$U$2:$U$1501,'Per Line'!$AJ$2:$AJ$1501,$A91&amp;"|"&amp;$C91,'Per Line'!$AM$2:$AM$1501,0,'Per Line'!$AN$2:$AN$1501,0))</f>
        <v/>
      </c>
      <c r="P91" s="7">
        <f>IF($X91="","",O91*N91)</f>
        <v/>
      </c>
      <c r="Q91">
        <f>IF($X91="","",Settings!$C$6)</f>
        <v/>
      </c>
      <c r="R91" s="7">
        <f>IF($X91="","",SUMIFS('Per Line'!$U$2:$U$1501,'Per Line'!$AJ$2:$AJ$1501,$A91&amp;"|"&amp;$C91,'Per Line'!$AM$2:$AM$1501,1,'Per Line'!$AN$2:$AN$1501,0))</f>
        <v/>
      </c>
      <c r="S91" s="7">
        <f>IF($X91="","",R91*Q91)</f>
        <v/>
      </c>
      <c r="T91" s="7">
        <f>IF($X91="","",S91+P91)</f>
        <v/>
      </c>
      <c r="U91" s="7">
        <f>IF($X91="","",V91-T91)</f>
        <v/>
      </c>
      <c r="V91" s="7">
        <f>IF($X91="","",O91+R91+M91)</f>
        <v/>
      </c>
      <c r="W91" s="7">
        <f>IF($X91="","",V91-T91-K91)</f>
        <v/>
      </c>
      <c r="X91" s="13">
        <f>IF(ROWS($X$2:$X91)&lt;=MAX('Per Line'!$AL$2:$AL$1501),MATCH(ROWS($X$2:$X91),'Per Line'!$AL$2:$AL$1501,0),"")</f>
        <v/>
      </c>
    </row>
    <row r="92">
      <c r="A92">
        <f>IF($X92="","",INDEX('Per Line'!$C$2:$C$1501,$X92)&amp;"")</f>
        <v/>
      </c>
      <c r="B92" s="12" t="n"/>
      <c r="C92">
        <f>IF($X92="","",INDEX('Per Line'!$D$2:$D$1501,$X92)&amp;"")</f>
        <v/>
      </c>
      <c r="D92">
        <f>IF($X92="","",INDEX('Per Line'!$A$2:$A$1501,$X92))</f>
        <v/>
      </c>
      <c r="E92">
        <f>IF($X92="","",INDEX('Per Line'!$G$2:$G$1501,$X92)&amp;"")</f>
        <v/>
      </c>
      <c r="F92" s="11">
        <f>IF($X92="","",INDEX('Per Line'!$F$2:$F$1501,$X92))</f>
        <v/>
      </c>
      <c r="G92">
        <f>IF($X92="","",INDEX('Per Line'!$I$2:$I$1501,$X92)&amp;"")</f>
        <v/>
      </c>
      <c r="H92">
        <f>IF($X92="","",INDEX('Per Line'!$J$2:$J$1501,$X92)&amp;"")</f>
        <v/>
      </c>
      <c r="I92">
        <f>IF($X92="","",INDEX('Per Line'!$K$2:$K$1501,$X92)&amp;"")</f>
        <v/>
      </c>
      <c r="J92">
        <f>IF($X92="","",INDEX('Per Line'!$M$2:$M$1501,$X92))</f>
        <v/>
      </c>
      <c r="K92" s="7">
        <f>IF($X92="","",J92*V92/100)</f>
        <v/>
      </c>
      <c r="L92">
        <f>IF($X92="","",INDEX('Per Line'!$Y$2:$Y$1501,$X92)&amp;"")</f>
        <v/>
      </c>
      <c r="M92" s="7">
        <f>IF($X92="","",SUMIFS('Per Line'!$U$2:$U$1501,'Per Line'!$AJ$2:$AJ$1501,$A92&amp;"|"&amp;$C92,'Per Line'!$AN$2:$AN$1501,1))</f>
        <v/>
      </c>
      <c r="N92">
        <f>IF($X92="","",Settings!$C$7)</f>
        <v/>
      </c>
      <c r="O92" s="7">
        <f>IF($X92="","",SUMIFS('Per Line'!$U$2:$U$1501,'Per Line'!$AJ$2:$AJ$1501,$A92&amp;"|"&amp;$C92,'Per Line'!$AM$2:$AM$1501,0,'Per Line'!$AN$2:$AN$1501,0))</f>
        <v/>
      </c>
      <c r="P92" s="7">
        <f>IF($X92="","",O92*N92)</f>
        <v/>
      </c>
      <c r="Q92">
        <f>IF($X92="","",Settings!$C$6)</f>
        <v/>
      </c>
      <c r="R92" s="7">
        <f>IF($X92="","",SUMIFS('Per Line'!$U$2:$U$1501,'Per Line'!$AJ$2:$AJ$1501,$A92&amp;"|"&amp;$C92,'Per Line'!$AM$2:$AM$1501,1,'Per Line'!$AN$2:$AN$1501,0))</f>
        <v/>
      </c>
      <c r="S92" s="7">
        <f>IF($X92="","",R92*Q92)</f>
        <v/>
      </c>
      <c r="T92" s="7">
        <f>IF($X92="","",S92+P92)</f>
        <v/>
      </c>
      <c r="U92" s="7">
        <f>IF($X92="","",V92-T92)</f>
        <v/>
      </c>
      <c r="V92" s="7">
        <f>IF($X92="","",O92+R92+M92)</f>
        <v/>
      </c>
      <c r="W92" s="7">
        <f>IF($X92="","",V92-T92-K92)</f>
        <v/>
      </c>
      <c r="X92" s="13">
        <f>IF(ROWS($X$2:$X92)&lt;=MAX('Per Line'!$AL$2:$AL$1501),MATCH(ROWS($X$2:$X92),'Per Line'!$AL$2:$AL$1501,0),"")</f>
        <v/>
      </c>
    </row>
    <row r="93">
      <c r="A93">
        <f>IF($X93="","",INDEX('Per Line'!$C$2:$C$1501,$X93)&amp;"")</f>
        <v/>
      </c>
      <c r="B93" s="12" t="n"/>
      <c r="C93">
        <f>IF($X93="","",INDEX('Per Line'!$D$2:$D$1501,$X93)&amp;"")</f>
        <v/>
      </c>
      <c r="D93">
        <f>IF($X93="","",INDEX('Per Line'!$A$2:$A$1501,$X93))</f>
        <v/>
      </c>
      <c r="E93">
        <f>IF($X93="","",INDEX('Per Line'!$G$2:$G$1501,$X93)&amp;"")</f>
        <v/>
      </c>
      <c r="F93" s="11">
        <f>IF($X93="","",INDEX('Per Line'!$F$2:$F$1501,$X93))</f>
        <v/>
      </c>
      <c r="G93">
        <f>IF($X93="","",INDEX('Per Line'!$I$2:$I$1501,$X93)&amp;"")</f>
        <v/>
      </c>
      <c r="H93">
        <f>IF($X93="","",INDEX('Per Line'!$J$2:$J$1501,$X93)&amp;"")</f>
        <v/>
      </c>
      <c r="I93">
        <f>IF($X93="","",INDEX('Per Line'!$K$2:$K$1501,$X93)&amp;"")</f>
        <v/>
      </c>
      <c r="J93">
        <f>IF($X93="","",INDEX('Per Line'!$M$2:$M$1501,$X93))</f>
        <v/>
      </c>
      <c r="K93" s="7">
        <f>IF($X93="","",J93*V93/100)</f>
        <v/>
      </c>
      <c r="L93">
        <f>IF($X93="","",INDEX('Per Line'!$Y$2:$Y$1501,$X93)&amp;"")</f>
        <v/>
      </c>
      <c r="M93" s="7">
        <f>IF($X93="","",SUMIFS('Per Line'!$U$2:$U$1501,'Per Line'!$AJ$2:$AJ$1501,$A93&amp;"|"&amp;$C93,'Per Line'!$AN$2:$AN$1501,1))</f>
        <v/>
      </c>
      <c r="N93">
        <f>IF($X93="","",Settings!$C$7)</f>
        <v/>
      </c>
      <c r="O93" s="7">
        <f>IF($X93="","",SUMIFS('Per Line'!$U$2:$U$1501,'Per Line'!$AJ$2:$AJ$1501,$A93&amp;"|"&amp;$C93,'Per Line'!$AM$2:$AM$1501,0,'Per Line'!$AN$2:$AN$1501,0))</f>
        <v/>
      </c>
      <c r="P93" s="7">
        <f>IF($X93="","",O93*N93)</f>
        <v/>
      </c>
      <c r="Q93">
        <f>IF($X93="","",Settings!$C$6)</f>
        <v/>
      </c>
      <c r="R93" s="7">
        <f>IF($X93="","",SUMIFS('Per Line'!$U$2:$U$1501,'Per Line'!$AJ$2:$AJ$1501,$A93&amp;"|"&amp;$C93,'Per Line'!$AM$2:$AM$1501,1,'Per Line'!$AN$2:$AN$1501,0))</f>
        <v/>
      </c>
      <c r="S93" s="7">
        <f>IF($X93="","",R93*Q93)</f>
        <v/>
      </c>
      <c r="T93" s="7">
        <f>IF($X93="","",S93+P93)</f>
        <v/>
      </c>
      <c r="U93" s="7">
        <f>IF($X93="","",V93-T93)</f>
        <v/>
      </c>
      <c r="V93" s="7">
        <f>IF($X93="","",O93+R93+M93)</f>
        <v/>
      </c>
      <c r="W93" s="7">
        <f>IF($X93="","",V93-T93-K93)</f>
        <v/>
      </c>
      <c r="X93" s="13">
        <f>IF(ROWS($X$2:$X93)&lt;=MAX('Per Line'!$AL$2:$AL$1501),MATCH(ROWS($X$2:$X93),'Per Line'!$AL$2:$AL$1501,0),"")</f>
        <v/>
      </c>
    </row>
    <row r="94">
      <c r="A94">
        <f>IF($X94="","",INDEX('Per Line'!$C$2:$C$1501,$X94)&amp;"")</f>
        <v/>
      </c>
      <c r="B94" s="12" t="n"/>
      <c r="C94">
        <f>IF($X94="","",INDEX('Per Line'!$D$2:$D$1501,$X94)&amp;"")</f>
        <v/>
      </c>
      <c r="D94">
        <f>IF($X94="","",INDEX('Per Line'!$A$2:$A$1501,$X94))</f>
        <v/>
      </c>
      <c r="E94">
        <f>IF($X94="","",INDEX('Per Line'!$G$2:$G$1501,$X94)&amp;"")</f>
        <v/>
      </c>
      <c r="F94" s="11">
        <f>IF($X94="","",INDEX('Per Line'!$F$2:$F$1501,$X94))</f>
        <v/>
      </c>
      <c r="G94">
        <f>IF($X94="","",INDEX('Per Line'!$I$2:$I$1501,$X94)&amp;"")</f>
        <v/>
      </c>
      <c r="H94">
        <f>IF($X94="","",INDEX('Per Line'!$J$2:$J$1501,$X94)&amp;"")</f>
        <v/>
      </c>
      <c r="I94">
        <f>IF($X94="","",INDEX('Per Line'!$K$2:$K$1501,$X94)&amp;"")</f>
        <v/>
      </c>
      <c r="J94">
        <f>IF($X94="","",INDEX('Per Line'!$M$2:$M$1501,$X94))</f>
        <v/>
      </c>
      <c r="K94" s="7">
        <f>IF($X94="","",J94*V94/100)</f>
        <v/>
      </c>
      <c r="L94">
        <f>IF($X94="","",INDEX('Per Line'!$Y$2:$Y$1501,$X94)&amp;"")</f>
        <v/>
      </c>
      <c r="M94" s="7">
        <f>IF($X94="","",SUMIFS('Per Line'!$U$2:$U$1501,'Per Line'!$AJ$2:$AJ$1501,$A94&amp;"|"&amp;$C94,'Per Line'!$AN$2:$AN$1501,1))</f>
        <v/>
      </c>
      <c r="N94">
        <f>IF($X94="","",Settings!$C$7)</f>
        <v/>
      </c>
      <c r="O94" s="7">
        <f>IF($X94="","",SUMIFS('Per Line'!$U$2:$U$1501,'Per Line'!$AJ$2:$AJ$1501,$A94&amp;"|"&amp;$C94,'Per Line'!$AM$2:$AM$1501,0,'Per Line'!$AN$2:$AN$1501,0))</f>
        <v/>
      </c>
      <c r="P94" s="7">
        <f>IF($X94="","",O94*N94)</f>
        <v/>
      </c>
      <c r="Q94">
        <f>IF($X94="","",Settings!$C$6)</f>
        <v/>
      </c>
      <c r="R94" s="7">
        <f>IF($X94="","",SUMIFS('Per Line'!$U$2:$U$1501,'Per Line'!$AJ$2:$AJ$1501,$A94&amp;"|"&amp;$C94,'Per Line'!$AM$2:$AM$1501,1,'Per Line'!$AN$2:$AN$1501,0))</f>
        <v/>
      </c>
      <c r="S94" s="7">
        <f>IF($X94="","",R94*Q94)</f>
        <v/>
      </c>
      <c r="T94" s="7">
        <f>IF($X94="","",S94+P94)</f>
        <v/>
      </c>
      <c r="U94" s="7">
        <f>IF($X94="","",V94-T94)</f>
        <v/>
      </c>
      <c r="V94" s="7">
        <f>IF($X94="","",O94+R94+M94)</f>
        <v/>
      </c>
      <c r="W94" s="7">
        <f>IF($X94="","",V94-T94-K94)</f>
        <v/>
      </c>
      <c r="X94" s="13">
        <f>IF(ROWS($X$2:$X94)&lt;=MAX('Per Line'!$AL$2:$AL$1501),MATCH(ROWS($X$2:$X94),'Per Line'!$AL$2:$AL$1501,0),"")</f>
        <v/>
      </c>
    </row>
    <row r="95">
      <c r="A95">
        <f>IF($X95="","",INDEX('Per Line'!$C$2:$C$1501,$X95)&amp;"")</f>
        <v/>
      </c>
      <c r="B95" s="12" t="n"/>
      <c r="C95">
        <f>IF($X95="","",INDEX('Per Line'!$D$2:$D$1501,$X95)&amp;"")</f>
        <v/>
      </c>
      <c r="D95">
        <f>IF($X95="","",INDEX('Per Line'!$A$2:$A$1501,$X95))</f>
        <v/>
      </c>
      <c r="E95">
        <f>IF($X95="","",INDEX('Per Line'!$G$2:$G$1501,$X95)&amp;"")</f>
        <v/>
      </c>
      <c r="F95" s="11">
        <f>IF($X95="","",INDEX('Per Line'!$F$2:$F$1501,$X95))</f>
        <v/>
      </c>
      <c r="G95">
        <f>IF($X95="","",INDEX('Per Line'!$I$2:$I$1501,$X95)&amp;"")</f>
        <v/>
      </c>
      <c r="H95">
        <f>IF($X95="","",INDEX('Per Line'!$J$2:$J$1501,$X95)&amp;"")</f>
        <v/>
      </c>
      <c r="I95">
        <f>IF($X95="","",INDEX('Per Line'!$K$2:$K$1501,$X95)&amp;"")</f>
        <v/>
      </c>
      <c r="J95">
        <f>IF($X95="","",INDEX('Per Line'!$M$2:$M$1501,$X95))</f>
        <v/>
      </c>
      <c r="K95" s="7">
        <f>IF($X95="","",J95*V95/100)</f>
        <v/>
      </c>
      <c r="L95">
        <f>IF($X95="","",INDEX('Per Line'!$Y$2:$Y$1501,$X95)&amp;"")</f>
        <v/>
      </c>
      <c r="M95" s="7">
        <f>IF($X95="","",SUMIFS('Per Line'!$U$2:$U$1501,'Per Line'!$AJ$2:$AJ$1501,$A95&amp;"|"&amp;$C95,'Per Line'!$AN$2:$AN$1501,1))</f>
        <v/>
      </c>
      <c r="N95">
        <f>IF($X95="","",Settings!$C$7)</f>
        <v/>
      </c>
      <c r="O95" s="7">
        <f>IF($X95="","",SUMIFS('Per Line'!$U$2:$U$1501,'Per Line'!$AJ$2:$AJ$1501,$A95&amp;"|"&amp;$C95,'Per Line'!$AM$2:$AM$1501,0,'Per Line'!$AN$2:$AN$1501,0))</f>
        <v/>
      </c>
      <c r="P95" s="7">
        <f>IF($X95="","",O95*N95)</f>
        <v/>
      </c>
      <c r="Q95">
        <f>IF($X95="","",Settings!$C$6)</f>
        <v/>
      </c>
      <c r="R95" s="7">
        <f>IF($X95="","",SUMIFS('Per Line'!$U$2:$U$1501,'Per Line'!$AJ$2:$AJ$1501,$A95&amp;"|"&amp;$C95,'Per Line'!$AM$2:$AM$1501,1,'Per Line'!$AN$2:$AN$1501,0))</f>
        <v/>
      </c>
      <c r="S95" s="7">
        <f>IF($X95="","",R95*Q95)</f>
        <v/>
      </c>
      <c r="T95" s="7">
        <f>IF($X95="","",S95+P95)</f>
        <v/>
      </c>
      <c r="U95" s="7">
        <f>IF($X95="","",V95-T95)</f>
        <v/>
      </c>
      <c r="V95" s="7">
        <f>IF($X95="","",O95+R95+M95)</f>
        <v/>
      </c>
      <c r="W95" s="7">
        <f>IF($X95="","",V95-T95-K95)</f>
        <v/>
      </c>
      <c r="X95" s="13">
        <f>IF(ROWS($X$2:$X95)&lt;=MAX('Per Line'!$AL$2:$AL$1501),MATCH(ROWS($X$2:$X95),'Per Line'!$AL$2:$AL$1501,0),"")</f>
        <v/>
      </c>
    </row>
    <row r="96">
      <c r="A96">
        <f>IF($X96="","",INDEX('Per Line'!$C$2:$C$1501,$X96)&amp;"")</f>
        <v/>
      </c>
      <c r="B96" s="12" t="n"/>
      <c r="C96">
        <f>IF($X96="","",INDEX('Per Line'!$D$2:$D$1501,$X96)&amp;"")</f>
        <v/>
      </c>
      <c r="D96">
        <f>IF($X96="","",INDEX('Per Line'!$A$2:$A$1501,$X96))</f>
        <v/>
      </c>
      <c r="E96">
        <f>IF($X96="","",INDEX('Per Line'!$G$2:$G$1501,$X96)&amp;"")</f>
        <v/>
      </c>
      <c r="F96" s="11">
        <f>IF($X96="","",INDEX('Per Line'!$F$2:$F$1501,$X96))</f>
        <v/>
      </c>
      <c r="G96">
        <f>IF($X96="","",INDEX('Per Line'!$I$2:$I$1501,$X96)&amp;"")</f>
        <v/>
      </c>
      <c r="H96">
        <f>IF($X96="","",INDEX('Per Line'!$J$2:$J$1501,$X96)&amp;"")</f>
        <v/>
      </c>
      <c r="I96">
        <f>IF($X96="","",INDEX('Per Line'!$K$2:$K$1501,$X96)&amp;"")</f>
        <v/>
      </c>
      <c r="J96">
        <f>IF($X96="","",INDEX('Per Line'!$M$2:$M$1501,$X96))</f>
        <v/>
      </c>
      <c r="K96" s="7">
        <f>IF($X96="","",J96*V96/100)</f>
        <v/>
      </c>
      <c r="L96">
        <f>IF($X96="","",INDEX('Per Line'!$Y$2:$Y$1501,$X96)&amp;"")</f>
        <v/>
      </c>
      <c r="M96" s="7">
        <f>IF($X96="","",SUMIFS('Per Line'!$U$2:$U$1501,'Per Line'!$AJ$2:$AJ$1501,$A96&amp;"|"&amp;$C96,'Per Line'!$AN$2:$AN$1501,1))</f>
        <v/>
      </c>
      <c r="N96">
        <f>IF($X96="","",Settings!$C$7)</f>
        <v/>
      </c>
      <c r="O96" s="7">
        <f>IF($X96="","",SUMIFS('Per Line'!$U$2:$U$1501,'Per Line'!$AJ$2:$AJ$1501,$A96&amp;"|"&amp;$C96,'Per Line'!$AM$2:$AM$1501,0,'Per Line'!$AN$2:$AN$1501,0))</f>
        <v/>
      </c>
      <c r="P96" s="7">
        <f>IF($X96="","",O96*N96)</f>
        <v/>
      </c>
      <c r="Q96">
        <f>IF($X96="","",Settings!$C$6)</f>
        <v/>
      </c>
      <c r="R96" s="7">
        <f>IF($X96="","",SUMIFS('Per Line'!$U$2:$U$1501,'Per Line'!$AJ$2:$AJ$1501,$A96&amp;"|"&amp;$C96,'Per Line'!$AM$2:$AM$1501,1,'Per Line'!$AN$2:$AN$1501,0))</f>
        <v/>
      </c>
      <c r="S96" s="7">
        <f>IF($X96="","",R96*Q96)</f>
        <v/>
      </c>
      <c r="T96" s="7">
        <f>IF($X96="","",S96+P96)</f>
        <v/>
      </c>
      <c r="U96" s="7">
        <f>IF($X96="","",V96-T96)</f>
        <v/>
      </c>
      <c r="V96" s="7">
        <f>IF($X96="","",O96+R96+M96)</f>
        <v/>
      </c>
      <c r="W96" s="7">
        <f>IF($X96="","",V96-T96-K96)</f>
        <v/>
      </c>
      <c r="X96" s="13">
        <f>IF(ROWS($X$2:$X96)&lt;=MAX('Per Line'!$AL$2:$AL$1501),MATCH(ROWS($X$2:$X96),'Per Line'!$AL$2:$AL$1501,0),"")</f>
        <v/>
      </c>
    </row>
    <row r="97">
      <c r="A97">
        <f>IF($X97="","",INDEX('Per Line'!$C$2:$C$1501,$X97)&amp;"")</f>
        <v/>
      </c>
      <c r="B97" s="12" t="n"/>
      <c r="C97">
        <f>IF($X97="","",INDEX('Per Line'!$D$2:$D$1501,$X97)&amp;"")</f>
        <v/>
      </c>
      <c r="D97">
        <f>IF($X97="","",INDEX('Per Line'!$A$2:$A$1501,$X97))</f>
        <v/>
      </c>
      <c r="E97">
        <f>IF($X97="","",INDEX('Per Line'!$G$2:$G$1501,$X97)&amp;"")</f>
        <v/>
      </c>
      <c r="F97" s="11">
        <f>IF($X97="","",INDEX('Per Line'!$F$2:$F$1501,$X97))</f>
        <v/>
      </c>
      <c r="G97">
        <f>IF($X97="","",INDEX('Per Line'!$I$2:$I$1501,$X97)&amp;"")</f>
        <v/>
      </c>
      <c r="H97">
        <f>IF($X97="","",INDEX('Per Line'!$J$2:$J$1501,$X97)&amp;"")</f>
        <v/>
      </c>
      <c r="I97">
        <f>IF($X97="","",INDEX('Per Line'!$K$2:$K$1501,$X97)&amp;"")</f>
        <v/>
      </c>
      <c r="J97">
        <f>IF($X97="","",INDEX('Per Line'!$M$2:$M$1501,$X97))</f>
        <v/>
      </c>
      <c r="K97" s="7">
        <f>IF($X97="","",J97*V97/100)</f>
        <v/>
      </c>
      <c r="L97">
        <f>IF($X97="","",INDEX('Per Line'!$Y$2:$Y$1501,$X97)&amp;"")</f>
        <v/>
      </c>
      <c r="M97" s="7">
        <f>IF($X97="","",SUMIFS('Per Line'!$U$2:$U$1501,'Per Line'!$AJ$2:$AJ$1501,$A97&amp;"|"&amp;$C97,'Per Line'!$AN$2:$AN$1501,1))</f>
        <v/>
      </c>
      <c r="N97">
        <f>IF($X97="","",Settings!$C$7)</f>
        <v/>
      </c>
      <c r="O97" s="7">
        <f>IF($X97="","",SUMIFS('Per Line'!$U$2:$U$1501,'Per Line'!$AJ$2:$AJ$1501,$A97&amp;"|"&amp;$C97,'Per Line'!$AM$2:$AM$1501,0,'Per Line'!$AN$2:$AN$1501,0))</f>
        <v/>
      </c>
      <c r="P97" s="7">
        <f>IF($X97="","",O97*N97)</f>
        <v/>
      </c>
      <c r="Q97">
        <f>IF($X97="","",Settings!$C$6)</f>
        <v/>
      </c>
      <c r="R97" s="7">
        <f>IF($X97="","",SUMIFS('Per Line'!$U$2:$U$1501,'Per Line'!$AJ$2:$AJ$1501,$A97&amp;"|"&amp;$C97,'Per Line'!$AM$2:$AM$1501,1,'Per Line'!$AN$2:$AN$1501,0))</f>
        <v/>
      </c>
      <c r="S97" s="7">
        <f>IF($X97="","",R97*Q97)</f>
        <v/>
      </c>
      <c r="T97" s="7">
        <f>IF($X97="","",S97+P97)</f>
        <v/>
      </c>
      <c r="U97" s="7">
        <f>IF($X97="","",V97-T97)</f>
        <v/>
      </c>
      <c r="V97" s="7">
        <f>IF($X97="","",O97+R97+M97)</f>
        <v/>
      </c>
      <c r="W97" s="7">
        <f>IF($X97="","",V97-T97-K97)</f>
        <v/>
      </c>
      <c r="X97" s="13">
        <f>IF(ROWS($X$2:$X97)&lt;=MAX('Per Line'!$AL$2:$AL$1501),MATCH(ROWS($X$2:$X97),'Per Line'!$AL$2:$AL$1501,0),"")</f>
        <v/>
      </c>
    </row>
    <row r="98">
      <c r="A98">
        <f>IF($X98="","",INDEX('Per Line'!$C$2:$C$1501,$X98)&amp;"")</f>
        <v/>
      </c>
      <c r="B98" s="12" t="n"/>
      <c r="C98">
        <f>IF($X98="","",INDEX('Per Line'!$D$2:$D$1501,$X98)&amp;"")</f>
        <v/>
      </c>
      <c r="D98">
        <f>IF($X98="","",INDEX('Per Line'!$A$2:$A$1501,$X98))</f>
        <v/>
      </c>
      <c r="E98">
        <f>IF($X98="","",INDEX('Per Line'!$G$2:$G$1501,$X98)&amp;"")</f>
        <v/>
      </c>
      <c r="F98" s="11">
        <f>IF($X98="","",INDEX('Per Line'!$F$2:$F$1501,$X98))</f>
        <v/>
      </c>
      <c r="G98">
        <f>IF($X98="","",INDEX('Per Line'!$I$2:$I$1501,$X98)&amp;"")</f>
        <v/>
      </c>
      <c r="H98">
        <f>IF($X98="","",INDEX('Per Line'!$J$2:$J$1501,$X98)&amp;"")</f>
        <v/>
      </c>
      <c r="I98">
        <f>IF($X98="","",INDEX('Per Line'!$K$2:$K$1501,$X98)&amp;"")</f>
        <v/>
      </c>
      <c r="J98">
        <f>IF($X98="","",INDEX('Per Line'!$M$2:$M$1501,$X98))</f>
        <v/>
      </c>
      <c r="K98" s="7">
        <f>IF($X98="","",J98*V98/100)</f>
        <v/>
      </c>
      <c r="L98">
        <f>IF($X98="","",INDEX('Per Line'!$Y$2:$Y$1501,$X98)&amp;"")</f>
        <v/>
      </c>
      <c r="M98" s="7">
        <f>IF($X98="","",SUMIFS('Per Line'!$U$2:$U$1501,'Per Line'!$AJ$2:$AJ$1501,$A98&amp;"|"&amp;$C98,'Per Line'!$AN$2:$AN$1501,1))</f>
        <v/>
      </c>
      <c r="N98">
        <f>IF($X98="","",Settings!$C$7)</f>
        <v/>
      </c>
      <c r="O98" s="7">
        <f>IF($X98="","",SUMIFS('Per Line'!$U$2:$U$1501,'Per Line'!$AJ$2:$AJ$1501,$A98&amp;"|"&amp;$C98,'Per Line'!$AM$2:$AM$1501,0,'Per Line'!$AN$2:$AN$1501,0))</f>
        <v/>
      </c>
      <c r="P98" s="7">
        <f>IF($X98="","",O98*N98)</f>
        <v/>
      </c>
      <c r="Q98">
        <f>IF($X98="","",Settings!$C$6)</f>
        <v/>
      </c>
      <c r="R98" s="7">
        <f>IF($X98="","",SUMIFS('Per Line'!$U$2:$U$1501,'Per Line'!$AJ$2:$AJ$1501,$A98&amp;"|"&amp;$C98,'Per Line'!$AM$2:$AM$1501,1,'Per Line'!$AN$2:$AN$1501,0))</f>
        <v/>
      </c>
      <c r="S98" s="7">
        <f>IF($X98="","",R98*Q98)</f>
        <v/>
      </c>
      <c r="T98" s="7">
        <f>IF($X98="","",S98+P98)</f>
        <v/>
      </c>
      <c r="U98" s="7">
        <f>IF($X98="","",V98-T98)</f>
        <v/>
      </c>
      <c r="V98" s="7">
        <f>IF($X98="","",O98+R98+M98)</f>
        <v/>
      </c>
      <c r="W98" s="7">
        <f>IF($X98="","",V98-T98-K98)</f>
        <v/>
      </c>
      <c r="X98" s="13">
        <f>IF(ROWS($X$2:$X98)&lt;=MAX('Per Line'!$AL$2:$AL$1501),MATCH(ROWS($X$2:$X98),'Per Line'!$AL$2:$AL$1501,0),"")</f>
        <v/>
      </c>
    </row>
    <row r="99">
      <c r="A99">
        <f>IF($X99="","",INDEX('Per Line'!$C$2:$C$1501,$X99)&amp;"")</f>
        <v/>
      </c>
      <c r="B99" s="12" t="n"/>
      <c r="C99">
        <f>IF($X99="","",INDEX('Per Line'!$D$2:$D$1501,$X99)&amp;"")</f>
        <v/>
      </c>
      <c r="D99">
        <f>IF($X99="","",INDEX('Per Line'!$A$2:$A$1501,$X99))</f>
        <v/>
      </c>
      <c r="E99">
        <f>IF($X99="","",INDEX('Per Line'!$G$2:$G$1501,$X99)&amp;"")</f>
        <v/>
      </c>
      <c r="F99" s="11">
        <f>IF($X99="","",INDEX('Per Line'!$F$2:$F$1501,$X99))</f>
        <v/>
      </c>
      <c r="G99">
        <f>IF($X99="","",INDEX('Per Line'!$I$2:$I$1501,$X99)&amp;"")</f>
        <v/>
      </c>
      <c r="H99">
        <f>IF($X99="","",INDEX('Per Line'!$J$2:$J$1501,$X99)&amp;"")</f>
        <v/>
      </c>
      <c r="I99">
        <f>IF($X99="","",INDEX('Per Line'!$K$2:$K$1501,$X99)&amp;"")</f>
        <v/>
      </c>
      <c r="J99">
        <f>IF($X99="","",INDEX('Per Line'!$M$2:$M$1501,$X99))</f>
        <v/>
      </c>
      <c r="K99" s="7">
        <f>IF($X99="","",J99*V99/100)</f>
        <v/>
      </c>
      <c r="L99">
        <f>IF($X99="","",INDEX('Per Line'!$Y$2:$Y$1501,$X99)&amp;"")</f>
        <v/>
      </c>
      <c r="M99" s="7">
        <f>IF($X99="","",SUMIFS('Per Line'!$U$2:$U$1501,'Per Line'!$AJ$2:$AJ$1501,$A99&amp;"|"&amp;$C99,'Per Line'!$AN$2:$AN$1501,1))</f>
        <v/>
      </c>
      <c r="N99">
        <f>IF($X99="","",Settings!$C$7)</f>
        <v/>
      </c>
      <c r="O99" s="7">
        <f>IF($X99="","",SUMIFS('Per Line'!$U$2:$U$1501,'Per Line'!$AJ$2:$AJ$1501,$A99&amp;"|"&amp;$C99,'Per Line'!$AM$2:$AM$1501,0,'Per Line'!$AN$2:$AN$1501,0))</f>
        <v/>
      </c>
      <c r="P99" s="7">
        <f>IF($X99="","",O99*N99)</f>
        <v/>
      </c>
      <c r="Q99">
        <f>IF($X99="","",Settings!$C$6)</f>
        <v/>
      </c>
      <c r="R99" s="7">
        <f>IF($X99="","",SUMIFS('Per Line'!$U$2:$U$1501,'Per Line'!$AJ$2:$AJ$1501,$A99&amp;"|"&amp;$C99,'Per Line'!$AM$2:$AM$1501,1,'Per Line'!$AN$2:$AN$1501,0))</f>
        <v/>
      </c>
      <c r="S99" s="7">
        <f>IF($X99="","",R99*Q99)</f>
        <v/>
      </c>
      <c r="T99" s="7">
        <f>IF($X99="","",S99+P99)</f>
        <v/>
      </c>
      <c r="U99" s="7">
        <f>IF($X99="","",V99-T99)</f>
        <v/>
      </c>
      <c r="V99" s="7">
        <f>IF($X99="","",O99+R99+M99)</f>
        <v/>
      </c>
      <c r="W99" s="7">
        <f>IF($X99="","",V99-T99-K99)</f>
        <v/>
      </c>
      <c r="X99" s="13">
        <f>IF(ROWS($X$2:$X99)&lt;=MAX('Per Line'!$AL$2:$AL$1501),MATCH(ROWS($X$2:$X99),'Per Line'!$AL$2:$AL$1501,0),"")</f>
        <v/>
      </c>
    </row>
    <row r="100">
      <c r="A100">
        <f>IF($X100="","",INDEX('Per Line'!$C$2:$C$1501,$X100)&amp;"")</f>
        <v/>
      </c>
      <c r="B100" s="12" t="n"/>
      <c r="C100">
        <f>IF($X100="","",INDEX('Per Line'!$D$2:$D$1501,$X100)&amp;"")</f>
        <v/>
      </c>
      <c r="D100">
        <f>IF($X100="","",INDEX('Per Line'!$A$2:$A$1501,$X100))</f>
        <v/>
      </c>
      <c r="E100">
        <f>IF($X100="","",INDEX('Per Line'!$G$2:$G$1501,$X100)&amp;"")</f>
        <v/>
      </c>
      <c r="F100" s="11">
        <f>IF($X100="","",INDEX('Per Line'!$F$2:$F$1501,$X100))</f>
        <v/>
      </c>
      <c r="G100">
        <f>IF($X100="","",INDEX('Per Line'!$I$2:$I$1501,$X100)&amp;"")</f>
        <v/>
      </c>
      <c r="H100">
        <f>IF($X100="","",INDEX('Per Line'!$J$2:$J$1501,$X100)&amp;"")</f>
        <v/>
      </c>
      <c r="I100">
        <f>IF($X100="","",INDEX('Per Line'!$K$2:$K$1501,$X100)&amp;"")</f>
        <v/>
      </c>
      <c r="J100">
        <f>IF($X100="","",INDEX('Per Line'!$M$2:$M$1501,$X100))</f>
        <v/>
      </c>
      <c r="K100" s="7">
        <f>IF($X100="","",J100*V100/100)</f>
        <v/>
      </c>
      <c r="L100">
        <f>IF($X100="","",INDEX('Per Line'!$Y$2:$Y$1501,$X100)&amp;"")</f>
        <v/>
      </c>
      <c r="M100" s="7">
        <f>IF($X100="","",SUMIFS('Per Line'!$U$2:$U$1501,'Per Line'!$AJ$2:$AJ$1501,$A100&amp;"|"&amp;$C100,'Per Line'!$AN$2:$AN$1501,1))</f>
        <v/>
      </c>
      <c r="N100">
        <f>IF($X100="","",Settings!$C$7)</f>
        <v/>
      </c>
      <c r="O100" s="7">
        <f>IF($X100="","",SUMIFS('Per Line'!$U$2:$U$1501,'Per Line'!$AJ$2:$AJ$1501,$A100&amp;"|"&amp;$C100,'Per Line'!$AM$2:$AM$1501,0,'Per Line'!$AN$2:$AN$1501,0))</f>
        <v/>
      </c>
      <c r="P100" s="7">
        <f>IF($X100="","",O100*N100)</f>
        <v/>
      </c>
      <c r="Q100">
        <f>IF($X100="","",Settings!$C$6)</f>
        <v/>
      </c>
      <c r="R100" s="7">
        <f>IF($X100="","",SUMIFS('Per Line'!$U$2:$U$1501,'Per Line'!$AJ$2:$AJ$1501,$A100&amp;"|"&amp;$C100,'Per Line'!$AM$2:$AM$1501,1,'Per Line'!$AN$2:$AN$1501,0))</f>
        <v/>
      </c>
      <c r="S100" s="7">
        <f>IF($X100="","",R100*Q100)</f>
        <v/>
      </c>
      <c r="T100" s="7">
        <f>IF($X100="","",S100+P100)</f>
        <v/>
      </c>
      <c r="U100" s="7">
        <f>IF($X100="","",V100-T100)</f>
        <v/>
      </c>
      <c r="V100" s="7">
        <f>IF($X100="","",O100+R100+M100)</f>
        <v/>
      </c>
      <c r="W100" s="7">
        <f>IF($X100="","",V100-T100-K100)</f>
        <v/>
      </c>
      <c r="X100" s="13">
        <f>IF(ROWS($X$2:$X100)&lt;=MAX('Per Line'!$AL$2:$AL$1501),MATCH(ROWS($X$2:$X100),'Per Line'!$AL$2:$AL$1501,0),"")</f>
        <v/>
      </c>
    </row>
    <row r="101">
      <c r="A101">
        <f>IF($X101="","",INDEX('Per Line'!$C$2:$C$1501,$X101)&amp;"")</f>
        <v/>
      </c>
      <c r="B101" s="12" t="n"/>
      <c r="C101">
        <f>IF($X101="","",INDEX('Per Line'!$D$2:$D$1501,$X101)&amp;"")</f>
        <v/>
      </c>
      <c r="D101">
        <f>IF($X101="","",INDEX('Per Line'!$A$2:$A$1501,$X101))</f>
        <v/>
      </c>
      <c r="E101">
        <f>IF($X101="","",INDEX('Per Line'!$G$2:$G$1501,$X101)&amp;"")</f>
        <v/>
      </c>
      <c r="F101" s="11">
        <f>IF($X101="","",INDEX('Per Line'!$F$2:$F$1501,$X101))</f>
        <v/>
      </c>
      <c r="G101">
        <f>IF($X101="","",INDEX('Per Line'!$I$2:$I$1501,$X101)&amp;"")</f>
        <v/>
      </c>
      <c r="H101">
        <f>IF($X101="","",INDEX('Per Line'!$J$2:$J$1501,$X101)&amp;"")</f>
        <v/>
      </c>
      <c r="I101">
        <f>IF($X101="","",INDEX('Per Line'!$K$2:$K$1501,$X101)&amp;"")</f>
        <v/>
      </c>
      <c r="J101">
        <f>IF($X101="","",INDEX('Per Line'!$M$2:$M$1501,$X101))</f>
        <v/>
      </c>
      <c r="K101" s="7">
        <f>IF($X101="","",J101*V101/100)</f>
        <v/>
      </c>
      <c r="L101">
        <f>IF($X101="","",INDEX('Per Line'!$Y$2:$Y$1501,$X101)&amp;"")</f>
        <v/>
      </c>
      <c r="M101" s="7">
        <f>IF($X101="","",SUMIFS('Per Line'!$U$2:$U$1501,'Per Line'!$AJ$2:$AJ$1501,$A101&amp;"|"&amp;$C101,'Per Line'!$AN$2:$AN$1501,1))</f>
        <v/>
      </c>
      <c r="N101">
        <f>IF($X101="","",Settings!$C$7)</f>
        <v/>
      </c>
      <c r="O101" s="7">
        <f>IF($X101="","",SUMIFS('Per Line'!$U$2:$U$1501,'Per Line'!$AJ$2:$AJ$1501,$A101&amp;"|"&amp;$C101,'Per Line'!$AM$2:$AM$1501,0,'Per Line'!$AN$2:$AN$1501,0))</f>
        <v/>
      </c>
      <c r="P101" s="7">
        <f>IF($X101="","",O101*N101)</f>
        <v/>
      </c>
      <c r="Q101">
        <f>IF($X101="","",Settings!$C$6)</f>
        <v/>
      </c>
      <c r="R101" s="7">
        <f>IF($X101="","",SUMIFS('Per Line'!$U$2:$U$1501,'Per Line'!$AJ$2:$AJ$1501,$A101&amp;"|"&amp;$C101,'Per Line'!$AM$2:$AM$1501,1,'Per Line'!$AN$2:$AN$1501,0))</f>
        <v/>
      </c>
      <c r="S101" s="7">
        <f>IF($X101="","",R101*Q101)</f>
        <v/>
      </c>
      <c r="T101" s="7">
        <f>IF($X101="","",S101+P101)</f>
        <v/>
      </c>
      <c r="U101" s="7">
        <f>IF($X101="","",V101-T101)</f>
        <v/>
      </c>
      <c r="V101" s="7">
        <f>IF($X101="","",O101+R101+M101)</f>
        <v/>
      </c>
      <c r="W101" s="7">
        <f>IF($X101="","",V101-T101-K101)</f>
        <v/>
      </c>
      <c r="X101" s="13">
        <f>IF(ROWS($X$2:$X101)&lt;=MAX('Per Line'!$AL$2:$AL$1501),MATCH(ROWS($X$2:$X101),'Per Line'!$AL$2:$AL$1501,0),"")</f>
        <v/>
      </c>
    </row>
    <row r="102">
      <c r="A102">
        <f>IF($X102="","",INDEX('Per Line'!$C$2:$C$1501,$X102)&amp;"")</f>
        <v/>
      </c>
      <c r="B102" s="12" t="n"/>
      <c r="C102">
        <f>IF($X102="","",INDEX('Per Line'!$D$2:$D$1501,$X102)&amp;"")</f>
        <v/>
      </c>
      <c r="D102">
        <f>IF($X102="","",INDEX('Per Line'!$A$2:$A$1501,$X102))</f>
        <v/>
      </c>
      <c r="E102">
        <f>IF($X102="","",INDEX('Per Line'!$G$2:$G$1501,$X102)&amp;"")</f>
        <v/>
      </c>
      <c r="F102" s="11">
        <f>IF($X102="","",INDEX('Per Line'!$F$2:$F$1501,$X102))</f>
        <v/>
      </c>
      <c r="G102">
        <f>IF($X102="","",INDEX('Per Line'!$I$2:$I$1501,$X102)&amp;"")</f>
        <v/>
      </c>
      <c r="H102">
        <f>IF($X102="","",INDEX('Per Line'!$J$2:$J$1501,$X102)&amp;"")</f>
        <v/>
      </c>
      <c r="I102">
        <f>IF($X102="","",INDEX('Per Line'!$K$2:$K$1501,$X102)&amp;"")</f>
        <v/>
      </c>
      <c r="J102">
        <f>IF($X102="","",INDEX('Per Line'!$M$2:$M$1501,$X102))</f>
        <v/>
      </c>
      <c r="K102" s="7">
        <f>IF($X102="","",J102*V102/100)</f>
        <v/>
      </c>
      <c r="L102">
        <f>IF($X102="","",INDEX('Per Line'!$Y$2:$Y$1501,$X102)&amp;"")</f>
        <v/>
      </c>
      <c r="M102" s="7">
        <f>IF($X102="","",SUMIFS('Per Line'!$U$2:$U$1501,'Per Line'!$AJ$2:$AJ$1501,$A102&amp;"|"&amp;$C102,'Per Line'!$AN$2:$AN$1501,1))</f>
        <v/>
      </c>
      <c r="N102">
        <f>IF($X102="","",Settings!$C$7)</f>
        <v/>
      </c>
      <c r="O102" s="7">
        <f>IF($X102="","",SUMIFS('Per Line'!$U$2:$U$1501,'Per Line'!$AJ$2:$AJ$1501,$A102&amp;"|"&amp;$C102,'Per Line'!$AM$2:$AM$1501,0,'Per Line'!$AN$2:$AN$1501,0))</f>
        <v/>
      </c>
      <c r="P102" s="7">
        <f>IF($X102="","",O102*N102)</f>
        <v/>
      </c>
      <c r="Q102">
        <f>IF($X102="","",Settings!$C$6)</f>
        <v/>
      </c>
      <c r="R102" s="7">
        <f>IF($X102="","",SUMIFS('Per Line'!$U$2:$U$1501,'Per Line'!$AJ$2:$AJ$1501,$A102&amp;"|"&amp;$C102,'Per Line'!$AM$2:$AM$1501,1,'Per Line'!$AN$2:$AN$1501,0))</f>
        <v/>
      </c>
      <c r="S102" s="7">
        <f>IF($X102="","",R102*Q102)</f>
        <v/>
      </c>
      <c r="T102" s="7">
        <f>IF($X102="","",S102+P102)</f>
        <v/>
      </c>
      <c r="U102" s="7">
        <f>IF($X102="","",V102-T102)</f>
        <v/>
      </c>
      <c r="V102" s="7">
        <f>IF($X102="","",O102+R102+M102)</f>
        <v/>
      </c>
      <c r="W102" s="7">
        <f>IF($X102="","",V102-T102-K102)</f>
        <v/>
      </c>
      <c r="X102" s="13">
        <f>IF(ROWS($X$2:$X102)&lt;=MAX('Per Line'!$AL$2:$AL$1501),MATCH(ROWS($X$2:$X102),'Per Line'!$AL$2:$AL$1501,0),"")</f>
        <v/>
      </c>
    </row>
    <row r="103">
      <c r="A103">
        <f>IF($X103="","",INDEX('Per Line'!$C$2:$C$1501,$X103)&amp;"")</f>
        <v/>
      </c>
      <c r="B103" s="12" t="n"/>
      <c r="C103">
        <f>IF($X103="","",INDEX('Per Line'!$D$2:$D$1501,$X103)&amp;"")</f>
        <v/>
      </c>
      <c r="D103">
        <f>IF($X103="","",INDEX('Per Line'!$A$2:$A$1501,$X103))</f>
        <v/>
      </c>
      <c r="E103">
        <f>IF($X103="","",INDEX('Per Line'!$G$2:$G$1501,$X103)&amp;"")</f>
        <v/>
      </c>
      <c r="F103" s="11">
        <f>IF($X103="","",INDEX('Per Line'!$F$2:$F$1501,$X103))</f>
        <v/>
      </c>
      <c r="G103">
        <f>IF($X103="","",INDEX('Per Line'!$I$2:$I$1501,$X103)&amp;"")</f>
        <v/>
      </c>
      <c r="H103">
        <f>IF($X103="","",INDEX('Per Line'!$J$2:$J$1501,$X103)&amp;"")</f>
        <v/>
      </c>
      <c r="I103">
        <f>IF($X103="","",INDEX('Per Line'!$K$2:$K$1501,$X103)&amp;"")</f>
        <v/>
      </c>
      <c r="J103">
        <f>IF($X103="","",INDEX('Per Line'!$M$2:$M$1501,$X103))</f>
        <v/>
      </c>
      <c r="K103" s="7">
        <f>IF($X103="","",J103*V103/100)</f>
        <v/>
      </c>
      <c r="L103">
        <f>IF($X103="","",INDEX('Per Line'!$Y$2:$Y$1501,$X103)&amp;"")</f>
        <v/>
      </c>
      <c r="M103" s="7">
        <f>IF($X103="","",SUMIFS('Per Line'!$U$2:$U$1501,'Per Line'!$AJ$2:$AJ$1501,$A103&amp;"|"&amp;$C103,'Per Line'!$AN$2:$AN$1501,1))</f>
        <v/>
      </c>
      <c r="N103">
        <f>IF($X103="","",Settings!$C$7)</f>
        <v/>
      </c>
      <c r="O103" s="7">
        <f>IF($X103="","",SUMIFS('Per Line'!$U$2:$U$1501,'Per Line'!$AJ$2:$AJ$1501,$A103&amp;"|"&amp;$C103,'Per Line'!$AM$2:$AM$1501,0,'Per Line'!$AN$2:$AN$1501,0))</f>
        <v/>
      </c>
      <c r="P103" s="7">
        <f>IF($X103="","",O103*N103)</f>
        <v/>
      </c>
      <c r="Q103">
        <f>IF($X103="","",Settings!$C$6)</f>
        <v/>
      </c>
      <c r="R103" s="7">
        <f>IF($X103="","",SUMIFS('Per Line'!$U$2:$U$1501,'Per Line'!$AJ$2:$AJ$1501,$A103&amp;"|"&amp;$C103,'Per Line'!$AM$2:$AM$1501,1,'Per Line'!$AN$2:$AN$1501,0))</f>
        <v/>
      </c>
      <c r="S103" s="7">
        <f>IF($X103="","",R103*Q103)</f>
        <v/>
      </c>
      <c r="T103" s="7">
        <f>IF($X103="","",S103+P103)</f>
        <v/>
      </c>
      <c r="U103" s="7">
        <f>IF($X103="","",V103-T103)</f>
        <v/>
      </c>
      <c r="V103" s="7">
        <f>IF($X103="","",O103+R103+M103)</f>
        <v/>
      </c>
      <c r="W103" s="7">
        <f>IF($X103="","",V103-T103-K103)</f>
        <v/>
      </c>
      <c r="X103" s="13">
        <f>IF(ROWS($X$2:$X103)&lt;=MAX('Per Line'!$AL$2:$AL$1501),MATCH(ROWS($X$2:$X103),'Per Line'!$AL$2:$AL$1501,0),"")</f>
        <v/>
      </c>
    </row>
    <row r="104">
      <c r="A104">
        <f>IF($X104="","",INDEX('Per Line'!$C$2:$C$1501,$X104)&amp;"")</f>
        <v/>
      </c>
      <c r="B104" s="12" t="n"/>
      <c r="C104">
        <f>IF($X104="","",INDEX('Per Line'!$D$2:$D$1501,$X104)&amp;"")</f>
        <v/>
      </c>
      <c r="D104">
        <f>IF($X104="","",INDEX('Per Line'!$A$2:$A$1501,$X104))</f>
        <v/>
      </c>
      <c r="E104">
        <f>IF($X104="","",INDEX('Per Line'!$G$2:$G$1501,$X104)&amp;"")</f>
        <v/>
      </c>
      <c r="F104" s="11">
        <f>IF($X104="","",INDEX('Per Line'!$F$2:$F$1501,$X104))</f>
        <v/>
      </c>
      <c r="G104">
        <f>IF($X104="","",INDEX('Per Line'!$I$2:$I$1501,$X104)&amp;"")</f>
        <v/>
      </c>
      <c r="H104">
        <f>IF($X104="","",INDEX('Per Line'!$J$2:$J$1501,$X104)&amp;"")</f>
        <v/>
      </c>
      <c r="I104">
        <f>IF($X104="","",INDEX('Per Line'!$K$2:$K$1501,$X104)&amp;"")</f>
        <v/>
      </c>
      <c r="J104">
        <f>IF($X104="","",INDEX('Per Line'!$M$2:$M$1501,$X104))</f>
        <v/>
      </c>
      <c r="K104" s="7">
        <f>IF($X104="","",J104*V104/100)</f>
        <v/>
      </c>
      <c r="L104">
        <f>IF($X104="","",INDEX('Per Line'!$Y$2:$Y$1501,$X104)&amp;"")</f>
        <v/>
      </c>
      <c r="M104" s="7">
        <f>IF($X104="","",SUMIFS('Per Line'!$U$2:$U$1501,'Per Line'!$AJ$2:$AJ$1501,$A104&amp;"|"&amp;$C104,'Per Line'!$AN$2:$AN$1501,1))</f>
        <v/>
      </c>
      <c r="N104">
        <f>IF($X104="","",Settings!$C$7)</f>
        <v/>
      </c>
      <c r="O104" s="7">
        <f>IF($X104="","",SUMIFS('Per Line'!$U$2:$U$1501,'Per Line'!$AJ$2:$AJ$1501,$A104&amp;"|"&amp;$C104,'Per Line'!$AM$2:$AM$1501,0,'Per Line'!$AN$2:$AN$1501,0))</f>
        <v/>
      </c>
      <c r="P104" s="7">
        <f>IF($X104="","",O104*N104)</f>
        <v/>
      </c>
      <c r="Q104">
        <f>IF($X104="","",Settings!$C$6)</f>
        <v/>
      </c>
      <c r="R104" s="7">
        <f>IF($X104="","",SUMIFS('Per Line'!$U$2:$U$1501,'Per Line'!$AJ$2:$AJ$1501,$A104&amp;"|"&amp;$C104,'Per Line'!$AM$2:$AM$1501,1,'Per Line'!$AN$2:$AN$1501,0))</f>
        <v/>
      </c>
      <c r="S104" s="7">
        <f>IF($X104="","",R104*Q104)</f>
        <v/>
      </c>
      <c r="T104" s="7">
        <f>IF($X104="","",S104+P104)</f>
        <v/>
      </c>
      <c r="U104" s="7">
        <f>IF($X104="","",V104-T104)</f>
        <v/>
      </c>
      <c r="V104" s="7">
        <f>IF($X104="","",O104+R104+M104)</f>
        <v/>
      </c>
      <c r="W104" s="7">
        <f>IF($X104="","",V104-T104-K104)</f>
        <v/>
      </c>
      <c r="X104" s="13">
        <f>IF(ROWS($X$2:$X104)&lt;=MAX('Per Line'!$AL$2:$AL$1501),MATCH(ROWS($X$2:$X104),'Per Line'!$AL$2:$AL$1501,0),"")</f>
        <v/>
      </c>
    </row>
    <row r="105">
      <c r="A105">
        <f>IF($X105="","",INDEX('Per Line'!$C$2:$C$1501,$X105)&amp;"")</f>
        <v/>
      </c>
      <c r="B105" s="12" t="n"/>
      <c r="C105">
        <f>IF($X105="","",INDEX('Per Line'!$D$2:$D$1501,$X105)&amp;"")</f>
        <v/>
      </c>
      <c r="D105">
        <f>IF($X105="","",INDEX('Per Line'!$A$2:$A$1501,$X105))</f>
        <v/>
      </c>
      <c r="E105">
        <f>IF($X105="","",INDEX('Per Line'!$G$2:$G$1501,$X105)&amp;"")</f>
        <v/>
      </c>
      <c r="F105" s="11">
        <f>IF($X105="","",INDEX('Per Line'!$F$2:$F$1501,$X105))</f>
        <v/>
      </c>
      <c r="G105">
        <f>IF($X105="","",INDEX('Per Line'!$I$2:$I$1501,$X105)&amp;"")</f>
        <v/>
      </c>
      <c r="H105">
        <f>IF($X105="","",INDEX('Per Line'!$J$2:$J$1501,$X105)&amp;"")</f>
        <v/>
      </c>
      <c r="I105">
        <f>IF($X105="","",INDEX('Per Line'!$K$2:$K$1501,$X105)&amp;"")</f>
        <v/>
      </c>
      <c r="J105">
        <f>IF($X105="","",INDEX('Per Line'!$M$2:$M$1501,$X105))</f>
        <v/>
      </c>
      <c r="K105" s="7">
        <f>IF($X105="","",J105*V105/100)</f>
        <v/>
      </c>
      <c r="L105">
        <f>IF($X105="","",INDEX('Per Line'!$Y$2:$Y$1501,$X105)&amp;"")</f>
        <v/>
      </c>
      <c r="M105" s="7">
        <f>IF($X105="","",SUMIFS('Per Line'!$U$2:$U$1501,'Per Line'!$AJ$2:$AJ$1501,$A105&amp;"|"&amp;$C105,'Per Line'!$AN$2:$AN$1501,1))</f>
        <v/>
      </c>
      <c r="N105">
        <f>IF($X105="","",Settings!$C$7)</f>
        <v/>
      </c>
      <c r="O105" s="7">
        <f>IF($X105="","",SUMIFS('Per Line'!$U$2:$U$1501,'Per Line'!$AJ$2:$AJ$1501,$A105&amp;"|"&amp;$C105,'Per Line'!$AM$2:$AM$1501,0,'Per Line'!$AN$2:$AN$1501,0))</f>
        <v/>
      </c>
      <c r="P105" s="7">
        <f>IF($X105="","",O105*N105)</f>
        <v/>
      </c>
      <c r="Q105">
        <f>IF($X105="","",Settings!$C$6)</f>
        <v/>
      </c>
      <c r="R105" s="7">
        <f>IF($X105="","",SUMIFS('Per Line'!$U$2:$U$1501,'Per Line'!$AJ$2:$AJ$1501,$A105&amp;"|"&amp;$C105,'Per Line'!$AM$2:$AM$1501,1,'Per Line'!$AN$2:$AN$1501,0))</f>
        <v/>
      </c>
      <c r="S105" s="7">
        <f>IF($X105="","",R105*Q105)</f>
        <v/>
      </c>
      <c r="T105" s="7">
        <f>IF($X105="","",S105+P105)</f>
        <v/>
      </c>
      <c r="U105" s="7">
        <f>IF($X105="","",V105-T105)</f>
        <v/>
      </c>
      <c r="V105" s="7">
        <f>IF($X105="","",O105+R105+M105)</f>
        <v/>
      </c>
      <c r="W105" s="7">
        <f>IF($X105="","",V105-T105-K105)</f>
        <v/>
      </c>
      <c r="X105" s="13">
        <f>IF(ROWS($X$2:$X105)&lt;=MAX('Per Line'!$AL$2:$AL$1501),MATCH(ROWS($X$2:$X105),'Per Line'!$AL$2:$AL$1501,0),"")</f>
        <v/>
      </c>
    </row>
    <row r="106">
      <c r="A106">
        <f>IF($X106="","",INDEX('Per Line'!$C$2:$C$1501,$X106)&amp;"")</f>
        <v/>
      </c>
      <c r="B106" s="12" t="n"/>
      <c r="C106">
        <f>IF($X106="","",INDEX('Per Line'!$D$2:$D$1501,$X106)&amp;"")</f>
        <v/>
      </c>
      <c r="D106">
        <f>IF($X106="","",INDEX('Per Line'!$A$2:$A$1501,$X106))</f>
        <v/>
      </c>
      <c r="E106">
        <f>IF($X106="","",INDEX('Per Line'!$G$2:$G$1501,$X106)&amp;"")</f>
        <v/>
      </c>
      <c r="F106" s="11">
        <f>IF($X106="","",INDEX('Per Line'!$F$2:$F$1501,$X106))</f>
        <v/>
      </c>
      <c r="G106">
        <f>IF($X106="","",INDEX('Per Line'!$I$2:$I$1501,$X106)&amp;"")</f>
        <v/>
      </c>
      <c r="H106">
        <f>IF($X106="","",INDEX('Per Line'!$J$2:$J$1501,$X106)&amp;"")</f>
        <v/>
      </c>
      <c r="I106">
        <f>IF($X106="","",INDEX('Per Line'!$K$2:$K$1501,$X106)&amp;"")</f>
        <v/>
      </c>
      <c r="J106">
        <f>IF($X106="","",INDEX('Per Line'!$M$2:$M$1501,$X106))</f>
        <v/>
      </c>
      <c r="K106" s="7">
        <f>IF($X106="","",J106*V106/100)</f>
        <v/>
      </c>
      <c r="L106">
        <f>IF($X106="","",INDEX('Per Line'!$Y$2:$Y$1501,$X106)&amp;"")</f>
        <v/>
      </c>
      <c r="M106" s="7">
        <f>IF($X106="","",SUMIFS('Per Line'!$U$2:$U$1501,'Per Line'!$AJ$2:$AJ$1501,$A106&amp;"|"&amp;$C106,'Per Line'!$AN$2:$AN$1501,1))</f>
        <v/>
      </c>
      <c r="N106">
        <f>IF($X106="","",Settings!$C$7)</f>
        <v/>
      </c>
      <c r="O106" s="7">
        <f>IF($X106="","",SUMIFS('Per Line'!$U$2:$U$1501,'Per Line'!$AJ$2:$AJ$1501,$A106&amp;"|"&amp;$C106,'Per Line'!$AM$2:$AM$1501,0,'Per Line'!$AN$2:$AN$1501,0))</f>
        <v/>
      </c>
      <c r="P106" s="7">
        <f>IF($X106="","",O106*N106)</f>
        <v/>
      </c>
      <c r="Q106">
        <f>IF($X106="","",Settings!$C$6)</f>
        <v/>
      </c>
      <c r="R106" s="7">
        <f>IF($X106="","",SUMIFS('Per Line'!$U$2:$U$1501,'Per Line'!$AJ$2:$AJ$1501,$A106&amp;"|"&amp;$C106,'Per Line'!$AM$2:$AM$1501,1,'Per Line'!$AN$2:$AN$1501,0))</f>
        <v/>
      </c>
      <c r="S106" s="7">
        <f>IF($X106="","",R106*Q106)</f>
        <v/>
      </c>
      <c r="T106" s="7">
        <f>IF($X106="","",S106+P106)</f>
        <v/>
      </c>
      <c r="U106" s="7">
        <f>IF($X106="","",V106-T106)</f>
        <v/>
      </c>
      <c r="V106" s="7">
        <f>IF($X106="","",O106+R106+M106)</f>
        <v/>
      </c>
      <c r="W106" s="7">
        <f>IF($X106="","",V106-T106-K106)</f>
        <v/>
      </c>
      <c r="X106" s="13">
        <f>IF(ROWS($X$2:$X106)&lt;=MAX('Per Line'!$AL$2:$AL$1501),MATCH(ROWS($X$2:$X106),'Per Line'!$AL$2:$AL$1501,0),"")</f>
        <v/>
      </c>
    </row>
    <row r="107">
      <c r="A107">
        <f>IF($X107="","",INDEX('Per Line'!$C$2:$C$1501,$X107)&amp;"")</f>
        <v/>
      </c>
      <c r="B107" s="12" t="n"/>
      <c r="C107">
        <f>IF($X107="","",INDEX('Per Line'!$D$2:$D$1501,$X107)&amp;"")</f>
        <v/>
      </c>
      <c r="D107">
        <f>IF($X107="","",INDEX('Per Line'!$A$2:$A$1501,$X107))</f>
        <v/>
      </c>
      <c r="E107">
        <f>IF($X107="","",INDEX('Per Line'!$G$2:$G$1501,$X107)&amp;"")</f>
        <v/>
      </c>
      <c r="F107" s="11">
        <f>IF($X107="","",INDEX('Per Line'!$F$2:$F$1501,$X107))</f>
        <v/>
      </c>
      <c r="G107">
        <f>IF($X107="","",INDEX('Per Line'!$I$2:$I$1501,$X107)&amp;"")</f>
        <v/>
      </c>
      <c r="H107">
        <f>IF($X107="","",INDEX('Per Line'!$J$2:$J$1501,$X107)&amp;"")</f>
        <v/>
      </c>
      <c r="I107">
        <f>IF($X107="","",INDEX('Per Line'!$K$2:$K$1501,$X107)&amp;"")</f>
        <v/>
      </c>
      <c r="J107">
        <f>IF($X107="","",INDEX('Per Line'!$M$2:$M$1501,$X107))</f>
        <v/>
      </c>
      <c r="K107" s="7">
        <f>IF($X107="","",J107*V107/100)</f>
        <v/>
      </c>
      <c r="L107">
        <f>IF($X107="","",INDEX('Per Line'!$Y$2:$Y$1501,$X107)&amp;"")</f>
        <v/>
      </c>
      <c r="M107" s="7">
        <f>IF($X107="","",SUMIFS('Per Line'!$U$2:$U$1501,'Per Line'!$AJ$2:$AJ$1501,$A107&amp;"|"&amp;$C107,'Per Line'!$AN$2:$AN$1501,1))</f>
        <v/>
      </c>
      <c r="N107">
        <f>IF($X107="","",Settings!$C$7)</f>
        <v/>
      </c>
      <c r="O107" s="7">
        <f>IF($X107="","",SUMIFS('Per Line'!$U$2:$U$1501,'Per Line'!$AJ$2:$AJ$1501,$A107&amp;"|"&amp;$C107,'Per Line'!$AM$2:$AM$1501,0,'Per Line'!$AN$2:$AN$1501,0))</f>
        <v/>
      </c>
      <c r="P107" s="7">
        <f>IF($X107="","",O107*N107)</f>
        <v/>
      </c>
      <c r="Q107">
        <f>IF($X107="","",Settings!$C$6)</f>
        <v/>
      </c>
      <c r="R107" s="7">
        <f>IF($X107="","",SUMIFS('Per Line'!$U$2:$U$1501,'Per Line'!$AJ$2:$AJ$1501,$A107&amp;"|"&amp;$C107,'Per Line'!$AM$2:$AM$1501,1,'Per Line'!$AN$2:$AN$1501,0))</f>
        <v/>
      </c>
      <c r="S107" s="7">
        <f>IF($X107="","",R107*Q107)</f>
        <v/>
      </c>
      <c r="T107" s="7">
        <f>IF($X107="","",S107+P107)</f>
        <v/>
      </c>
      <c r="U107" s="7">
        <f>IF($X107="","",V107-T107)</f>
        <v/>
      </c>
      <c r="V107" s="7">
        <f>IF($X107="","",O107+R107+M107)</f>
        <v/>
      </c>
      <c r="W107" s="7">
        <f>IF($X107="","",V107-T107-K107)</f>
        <v/>
      </c>
      <c r="X107" s="13">
        <f>IF(ROWS($X$2:$X107)&lt;=MAX('Per Line'!$AL$2:$AL$1501),MATCH(ROWS($X$2:$X107),'Per Line'!$AL$2:$AL$1501,0),"")</f>
        <v/>
      </c>
    </row>
    <row r="108">
      <c r="A108">
        <f>IF($X108="","",INDEX('Per Line'!$C$2:$C$1501,$X108)&amp;"")</f>
        <v/>
      </c>
      <c r="B108" s="12" t="n"/>
      <c r="C108">
        <f>IF($X108="","",INDEX('Per Line'!$D$2:$D$1501,$X108)&amp;"")</f>
        <v/>
      </c>
      <c r="D108">
        <f>IF($X108="","",INDEX('Per Line'!$A$2:$A$1501,$X108))</f>
        <v/>
      </c>
      <c r="E108">
        <f>IF($X108="","",INDEX('Per Line'!$G$2:$G$1501,$X108)&amp;"")</f>
        <v/>
      </c>
      <c r="F108" s="11">
        <f>IF($X108="","",INDEX('Per Line'!$F$2:$F$1501,$X108))</f>
        <v/>
      </c>
      <c r="G108">
        <f>IF($X108="","",INDEX('Per Line'!$I$2:$I$1501,$X108)&amp;"")</f>
        <v/>
      </c>
      <c r="H108">
        <f>IF($X108="","",INDEX('Per Line'!$J$2:$J$1501,$X108)&amp;"")</f>
        <v/>
      </c>
      <c r="I108">
        <f>IF($X108="","",INDEX('Per Line'!$K$2:$K$1501,$X108)&amp;"")</f>
        <v/>
      </c>
      <c r="J108">
        <f>IF($X108="","",INDEX('Per Line'!$M$2:$M$1501,$X108))</f>
        <v/>
      </c>
      <c r="K108" s="7">
        <f>IF($X108="","",J108*V108/100)</f>
        <v/>
      </c>
      <c r="L108">
        <f>IF($X108="","",INDEX('Per Line'!$Y$2:$Y$1501,$X108)&amp;"")</f>
        <v/>
      </c>
      <c r="M108" s="7">
        <f>IF($X108="","",SUMIFS('Per Line'!$U$2:$U$1501,'Per Line'!$AJ$2:$AJ$1501,$A108&amp;"|"&amp;$C108,'Per Line'!$AN$2:$AN$1501,1))</f>
        <v/>
      </c>
      <c r="N108">
        <f>IF($X108="","",Settings!$C$7)</f>
        <v/>
      </c>
      <c r="O108" s="7">
        <f>IF($X108="","",SUMIFS('Per Line'!$U$2:$U$1501,'Per Line'!$AJ$2:$AJ$1501,$A108&amp;"|"&amp;$C108,'Per Line'!$AM$2:$AM$1501,0,'Per Line'!$AN$2:$AN$1501,0))</f>
        <v/>
      </c>
      <c r="P108" s="7">
        <f>IF($X108="","",O108*N108)</f>
        <v/>
      </c>
      <c r="Q108">
        <f>IF($X108="","",Settings!$C$6)</f>
        <v/>
      </c>
      <c r="R108" s="7">
        <f>IF($X108="","",SUMIFS('Per Line'!$U$2:$U$1501,'Per Line'!$AJ$2:$AJ$1501,$A108&amp;"|"&amp;$C108,'Per Line'!$AM$2:$AM$1501,1,'Per Line'!$AN$2:$AN$1501,0))</f>
        <v/>
      </c>
      <c r="S108" s="7">
        <f>IF($X108="","",R108*Q108)</f>
        <v/>
      </c>
      <c r="T108" s="7">
        <f>IF($X108="","",S108+P108)</f>
        <v/>
      </c>
      <c r="U108" s="7">
        <f>IF($X108="","",V108-T108)</f>
        <v/>
      </c>
      <c r="V108" s="7">
        <f>IF($X108="","",O108+R108+M108)</f>
        <v/>
      </c>
      <c r="W108" s="7">
        <f>IF($X108="","",V108-T108-K108)</f>
        <v/>
      </c>
      <c r="X108" s="13">
        <f>IF(ROWS($X$2:$X108)&lt;=MAX('Per Line'!$AL$2:$AL$1501),MATCH(ROWS($X$2:$X108),'Per Line'!$AL$2:$AL$1501,0),"")</f>
        <v/>
      </c>
    </row>
    <row r="109">
      <c r="A109">
        <f>IF($X109="","",INDEX('Per Line'!$C$2:$C$1501,$X109)&amp;"")</f>
        <v/>
      </c>
      <c r="B109" s="12" t="n"/>
      <c r="C109">
        <f>IF($X109="","",INDEX('Per Line'!$D$2:$D$1501,$X109)&amp;"")</f>
        <v/>
      </c>
      <c r="D109">
        <f>IF($X109="","",INDEX('Per Line'!$A$2:$A$1501,$X109))</f>
        <v/>
      </c>
      <c r="E109">
        <f>IF($X109="","",INDEX('Per Line'!$G$2:$G$1501,$X109)&amp;"")</f>
        <v/>
      </c>
      <c r="F109" s="11">
        <f>IF($X109="","",INDEX('Per Line'!$F$2:$F$1501,$X109))</f>
        <v/>
      </c>
      <c r="G109">
        <f>IF($X109="","",INDEX('Per Line'!$I$2:$I$1501,$X109)&amp;"")</f>
        <v/>
      </c>
      <c r="H109">
        <f>IF($X109="","",INDEX('Per Line'!$J$2:$J$1501,$X109)&amp;"")</f>
        <v/>
      </c>
      <c r="I109">
        <f>IF($X109="","",INDEX('Per Line'!$K$2:$K$1501,$X109)&amp;"")</f>
        <v/>
      </c>
      <c r="J109">
        <f>IF($X109="","",INDEX('Per Line'!$M$2:$M$1501,$X109))</f>
        <v/>
      </c>
      <c r="K109" s="7">
        <f>IF($X109="","",J109*V109/100)</f>
        <v/>
      </c>
      <c r="L109">
        <f>IF($X109="","",INDEX('Per Line'!$Y$2:$Y$1501,$X109)&amp;"")</f>
        <v/>
      </c>
      <c r="M109" s="7">
        <f>IF($X109="","",SUMIFS('Per Line'!$U$2:$U$1501,'Per Line'!$AJ$2:$AJ$1501,$A109&amp;"|"&amp;$C109,'Per Line'!$AN$2:$AN$1501,1))</f>
        <v/>
      </c>
      <c r="N109">
        <f>IF($X109="","",Settings!$C$7)</f>
        <v/>
      </c>
      <c r="O109" s="7">
        <f>IF($X109="","",SUMIFS('Per Line'!$U$2:$U$1501,'Per Line'!$AJ$2:$AJ$1501,$A109&amp;"|"&amp;$C109,'Per Line'!$AM$2:$AM$1501,0,'Per Line'!$AN$2:$AN$1501,0))</f>
        <v/>
      </c>
      <c r="P109" s="7">
        <f>IF($X109="","",O109*N109)</f>
        <v/>
      </c>
      <c r="Q109">
        <f>IF($X109="","",Settings!$C$6)</f>
        <v/>
      </c>
      <c r="R109" s="7">
        <f>IF($X109="","",SUMIFS('Per Line'!$U$2:$U$1501,'Per Line'!$AJ$2:$AJ$1501,$A109&amp;"|"&amp;$C109,'Per Line'!$AM$2:$AM$1501,1,'Per Line'!$AN$2:$AN$1501,0))</f>
        <v/>
      </c>
      <c r="S109" s="7">
        <f>IF($X109="","",R109*Q109)</f>
        <v/>
      </c>
      <c r="T109" s="7">
        <f>IF($X109="","",S109+P109)</f>
        <v/>
      </c>
      <c r="U109" s="7">
        <f>IF($X109="","",V109-T109)</f>
        <v/>
      </c>
      <c r="V109" s="7">
        <f>IF($X109="","",O109+R109+M109)</f>
        <v/>
      </c>
      <c r="W109" s="7">
        <f>IF($X109="","",V109-T109-K109)</f>
        <v/>
      </c>
      <c r="X109" s="13">
        <f>IF(ROWS($X$2:$X109)&lt;=MAX('Per Line'!$AL$2:$AL$1501),MATCH(ROWS($X$2:$X109),'Per Line'!$AL$2:$AL$1501,0),"")</f>
        <v/>
      </c>
    </row>
    <row r="110">
      <c r="A110">
        <f>IF($X110="","",INDEX('Per Line'!$C$2:$C$1501,$X110)&amp;"")</f>
        <v/>
      </c>
      <c r="B110" s="12" t="n"/>
      <c r="C110">
        <f>IF($X110="","",INDEX('Per Line'!$D$2:$D$1501,$X110)&amp;"")</f>
        <v/>
      </c>
      <c r="D110">
        <f>IF($X110="","",INDEX('Per Line'!$A$2:$A$1501,$X110))</f>
        <v/>
      </c>
      <c r="E110">
        <f>IF($X110="","",INDEX('Per Line'!$G$2:$G$1501,$X110)&amp;"")</f>
        <v/>
      </c>
      <c r="F110" s="11">
        <f>IF($X110="","",INDEX('Per Line'!$F$2:$F$1501,$X110))</f>
        <v/>
      </c>
      <c r="G110">
        <f>IF($X110="","",INDEX('Per Line'!$I$2:$I$1501,$X110)&amp;"")</f>
        <v/>
      </c>
      <c r="H110">
        <f>IF($X110="","",INDEX('Per Line'!$J$2:$J$1501,$X110)&amp;"")</f>
        <v/>
      </c>
      <c r="I110">
        <f>IF($X110="","",INDEX('Per Line'!$K$2:$K$1501,$X110)&amp;"")</f>
        <v/>
      </c>
      <c r="J110">
        <f>IF($X110="","",INDEX('Per Line'!$M$2:$M$1501,$X110))</f>
        <v/>
      </c>
      <c r="K110" s="7">
        <f>IF($X110="","",J110*V110/100)</f>
        <v/>
      </c>
      <c r="L110">
        <f>IF($X110="","",INDEX('Per Line'!$Y$2:$Y$1501,$X110)&amp;"")</f>
        <v/>
      </c>
      <c r="M110" s="7">
        <f>IF($X110="","",SUMIFS('Per Line'!$U$2:$U$1501,'Per Line'!$AJ$2:$AJ$1501,$A110&amp;"|"&amp;$C110,'Per Line'!$AN$2:$AN$1501,1))</f>
        <v/>
      </c>
      <c r="N110">
        <f>IF($X110="","",Settings!$C$7)</f>
        <v/>
      </c>
      <c r="O110" s="7">
        <f>IF($X110="","",SUMIFS('Per Line'!$U$2:$U$1501,'Per Line'!$AJ$2:$AJ$1501,$A110&amp;"|"&amp;$C110,'Per Line'!$AM$2:$AM$1501,0,'Per Line'!$AN$2:$AN$1501,0))</f>
        <v/>
      </c>
      <c r="P110" s="7">
        <f>IF($X110="","",O110*N110)</f>
        <v/>
      </c>
      <c r="Q110">
        <f>IF($X110="","",Settings!$C$6)</f>
        <v/>
      </c>
      <c r="R110" s="7">
        <f>IF($X110="","",SUMIFS('Per Line'!$U$2:$U$1501,'Per Line'!$AJ$2:$AJ$1501,$A110&amp;"|"&amp;$C110,'Per Line'!$AM$2:$AM$1501,1,'Per Line'!$AN$2:$AN$1501,0))</f>
        <v/>
      </c>
      <c r="S110" s="7">
        <f>IF($X110="","",R110*Q110)</f>
        <v/>
      </c>
      <c r="T110" s="7">
        <f>IF($X110="","",S110+P110)</f>
        <v/>
      </c>
      <c r="U110" s="7">
        <f>IF($X110="","",V110-T110)</f>
        <v/>
      </c>
      <c r="V110" s="7">
        <f>IF($X110="","",O110+R110+M110)</f>
        <v/>
      </c>
      <c r="W110" s="7">
        <f>IF($X110="","",V110-T110-K110)</f>
        <v/>
      </c>
      <c r="X110" s="13">
        <f>IF(ROWS($X$2:$X110)&lt;=MAX('Per Line'!$AL$2:$AL$1501),MATCH(ROWS($X$2:$X110),'Per Line'!$AL$2:$AL$1501,0),"")</f>
        <v/>
      </c>
    </row>
    <row r="111">
      <c r="A111">
        <f>IF($X111="","",INDEX('Per Line'!$C$2:$C$1501,$X111)&amp;"")</f>
        <v/>
      </c>
      <c r="B111" s="12" t="n"/>
      <c r="C111">
        <f>IF($X111="","",INDEX('Per Line'!$D$2:$D$1501,$X111)&amp;"")</f>
        <v/>
      </c>
      <c r="D111">
        <f>IF($X111="","",INDEX('Per Line'!$A$2:$A$1501,$X111))</f>
        <v/>
      </c>
      <c r="E111">
        <f>IF($X111="","",INDEX('Per Line'!$G$2:$G$1501,$X111)&amp;"")</f>
        <v/>
      </c>
      <c r="F111" s="11">
        <f>IF($X111="","",INDEX('Per Line'!$F$2:$F$1501,$X111))</f>
        <v/>
      </c>
      <c r="G111">
        <f>IF($X111="","",INDEX('Per Line'!$I$2:$I$1501,$X111)&amp;"")</f>
        <v/>
      </c>
      <c r="H111">
        <f>IF($X111="","",INDEX('Per Line'!$J$2:$J$1501,$X111)&amp;"")</f>
        <v/>
      </c>
      <c r="I111">
        <f>IF($X111="","",INDEX('Per Line'!$K$2:$K$1501,$X111)&amp;"")</f>
        <v/>
      </c>
      <c r="J111">
        <f>IF($X111="","",INDEX('Per Line'!$M$2:$M$1501,$X111))</f>
        <v/>
      </c>
      <c r="K111" s="7">
        <f>IF($X111="","",J111*V111/100)</f>
        <v/>
      </c>
      <c r="L111">
        <f>IF($X111="","",INDEX('Per Line'!$Y$2:$Y$1501,$X111)&amp;"")</f>
        <v/>
      </c>
      <c r="M111" s="7">
        <f>IF($X111="","",SUMIFS('Per Line'!$U$2:$U$1501,'Per Line'!$AJ$2:$AJ$1501,$A111&amp;"|"&amp;$C111,'Per Line'!$AN$2:$AN$1501,1))</f>
        <v/>
      </c>
      <c r="N111">
        <f>IF($X111="","",Settings!$C$7)</f>
        <v/>
      </c>
      <c r="O111" s="7">
        <f>IF($X111="","",SUMIFS('Per Line'!$U$2:$U$1501,'Per Line'!$AJ$2:$AJ$1501,$A111&amp;"|"&amp;$C111,'Per Line'!$AM$2:$AM$1501,0,'Per Line'!$AN$2:$AN$1501,0))</f>
        <v/>
      </c>
      <c r="P111" s="7">
        <f>IF($X111="","",O111*N111)</f>
        <v/>
      </c>
      <c r="Q111">
        <f>IF($X111="","",Settings!$C$6)</f>
        <v/>
      </c>
      <c r="R111" s="7">
        <f>IF($X111="","",SUMIFS('Per Line'!$U$2:$U$1501,'Per Line'!$AJ$2:$AJ$1501,$A111&amp;"|"&amp;$C111,'Per Line'!$AM$2:$AM$1501,1,'Per Line'!$AN$2:$AN$1501,0))</f>
        <v/>
      </c>
      <c r="S111" s="7">
        <f>IF($X111="","",R111*Q111)</f>
        <v/>
      </c>
      <c r="T111" s="7">
        <f>IF($X111="","",S111+P111)</f>
        <v/>
      </c>
      <c r="U111" s="7">
        <f>IF($X111="","",V111-T111)</f>
        <v/>
      </c>
      <c r="V111" s="7">
        <f>IF($X111="","",O111+R111+M111)</f>
        <v/>
      </c>
      <c r="W111" s="7">
        <f>IF($X111="","",V111-T111-K111)</f>
        <v/>
      </c>
      <c r="X111" s="13">
        <f>IF(ROWS($X$2:$X111)&lt;=MAX('Per Line'!$AL$2:$AL$1501),MATCH(ROWS($X$2:$X111),'Per Line'!$AL$2:$AL$1501,0),"")</f>
        <v/>
      </c>
    </row>
    <row r="112">
      <c r="A112">
        <f>IF($X112="","",INDEX('Per Line'!$C$2:$C$1501,$X112)&amp;"")</f>
        <v/>
      </c>
      <c r="B112" s="12" t="n"/>
      <c r="C112">
        <f>IF($X112="","",INDEX('Per Line'!$D$2:$D$1501,$X112)&amp;"")</f>
        <v/>
      </c>
      <c r="D112">
        <f>IF($X112="","",INDEX('Per Line'!$A$2:$A$1501,$X112))</f>
        <v/>
      </c>
      <c r="E112">
        <f>IF($X112="","",INDEX('Per Line'!$G$2:$G$1501,$X112)&amp;"")</f>
        <v/>
      </c>
      <c r="F112" s="11">
        <f>IF($X112="","",INDEX('Per Line'!$F$2:$F$1501,$X112))</f>
        <v/>
      </c>
      <c r="G112">
        <f>IF($X112="","",INDEX('Per Line'!$I$2:$I$1501,$X112)&amp;"")</f>
        <v/>
      </c>
      <c r="H112">
        <f>IF($X112="","",INDEX('Per Line'!$J$2:$J$1501,$X112)&amp;"")</f>
        <v/>
      </c>
      <c r="I112">
        <f>IF($X112="","",INDEX('Per Line'!$K$2:$K$1501,$X112)&amp;"")</f>
        <v/>
      </c>
      <c r="J112">
        <f>IF($X112="","",INDEX('Per Line'!$M$2:$M$1501,$X112))</f>
        <v/>
      </c>
      <c r="K112" s="7">
        <f>IF($X112="","",J112*V112/100)</f>
        <v/>
      </c>
      <c r="L112">
        <f>IF($X112="","",INDEX('Per Line'!$Y$2:$Y$1501,$X112)&amp;"")</f>
        <v/>
      </c>
      <c r="M112" s="7">
        <f>IF($X112="","",SUMIFS('Per Line'!$U$2:$U$1501,'Per Line'!$AJ$2:$AJ$1501,$A112&amp;"|"&amp;$C112,'Per Line'!$AN$2:$AN$1501,1))</f>
        <v/>
      </c>
      <c r="N112">
        <f>IF($X112="","",Settings!$C$7)</f>
        <v/>
      </c>
      <c r="O112" s="7">
        <f>IF($X112="","",SUMIFS('Per Line'!$U$2:$U$1501,'Per Line'!$AJ$2:$AJ$1501,$A112&amp;"|"&amp;$C112,'Per Line'!$AM$2:$AM$1501,0,'Per Line'!$AN$2:$AN$1501,0))</f>
        <v/>
      </c>
      <c r="P112" s="7">
        <f>IF($X112="","",O112*N112)</f>
        <v/>
      </c>
      <c r="Q112">
        <f>IF($X112="","",Settings!$C$6)</f>
        <v/>
      </c>
      <c r="R112" s="7">
        <f>IF($X112="","",SUMIFS('Per Line'!$U$2:$U$1501,'Per Line'!$AJ$2:$AJ$1501,$A112&amp;"|"&amp;$C112,'Per Line'!$AM$2:$AM$1501,1,'Per Line'!$AN$2:$AN$1501,0))</f>
        <v/>
      </c>
      <c r="S112" s="7">
        <f>IF($X112="","",R112*Q112)</f>
        <v/>
      </c>
      <c r="T112" s="7">
        <f>IF($X112="","",S112+P112)</f>
        <v/>
      </c>
      <c r="U112" s="7">
        <f>IF($X112="","",V112-T112)</f>
        <v/>
      </c>
      <c r="V112" s="7">
        <f>IF($X112="","",O112+R112+M112)</f>
        <v/>
      </c>
      <c r="W112" s="7">
        <f>IF($X112="","",V112-T112-K112)</f>
        <v/>
      </c>
      <c r="X112" s="13">
        <f>IF(ROWS($X$2:$X112)&lt;=MAX('Per Line'!$AL$2:$AL$1501),MATCH(ROWS($X$2:$X112),'Per Line'!$AL$2:$AL$1501,0),"")</f>
        <v/>
      </c>
    </row>
    <row r="113">
      <c r="A113">
        <f>IF($X113="","",INDEX('Per Line'!$C$2:$C$1501,$X113)&amp;"")</f>
        <v/>
      </c>
      <c r="B113" s="12" t="n"/>
      <c r="C113">
        <f>IF($X113="","",INDEX('Per Line'!$D$2:$D$1501,$X113)&amp;"")</f>
        <v/>
      </c>
      <c r="D113">
        <f>IF($X113="","",INDEX('Per Line'!$A$2:$A$1501,$X113))</f>
        <v/>
      </c>
      <c r="E113">
        <f>IF($X113="","",INDEX('Per Line'!$G$2:$G$1501,$X113)&amp;"")</f>
        <v/>
      </c>
      <c r="F113" s="11">
        <f>IF($X113="","",INDEX('Per Line'!$F$2:$F$1501,$X113))</f>
        <v/>
      </c>
      <c r="G113">
        <f>IF($X113="","",INDEX('Per Line'!$I$2:$I$1501,$X113)&amp;"")</f>
        <v/>
      </c>
      <c r="H113">
        <f>IF($X113="","",INDEX('Per Line'!$J$2:$J$1501,$X113)&amp;"")</f>
        <v/>
      </c>
      <c r="I113">
        <f>IF($X113="","",INDEX('Per Line'!$K$2:$K$1501,$X113)&amp;"")</f>
        <v/>
      </c>
      <c r="J113">
        <f>IF($X113="","",INDEX('Per Line'!$M$2:$M$1501,$X113))</f>
        <v/>
      </c>
      <c r="K113" s="7">
        <f>IF($X113="","",J113*V113/100)</f>
        <v/>
      </c>
      <c r="L113">
        <f>IF($X113="","",INDEX('Per Line'!$Y$2:$Y$1501,$X113)&amp;"")</f>
        <v/>
      </c>
      <c r="M113" s="7">
        <f>IF($X113="","",SUMIFS('Per Line'!$U$2:$U$1501,'Per Line'!$AJ$2:$AJ$1501,$A113&amp;"|"&amp;$C113,'Per Line'!$AN$2:$AN$1501,1))</f>
        <v/>
      </c>
      <c r="N113">
        <f>IF($X113="","",Settings!$C$7)</f>
        <v/>
      </c>
      <c r="O113" s="7">
        <f>IF($X113="","",SUMIFS('Per Line'!$U$2:$U$1501,'Per Line'!$AJ$2:$AJ$1501,$A113&amp;"|"&amp;$C113,'Per Line'!$AM$2:$AM$1501,0,'Per Line'!$AN$2:$AN$1501,0))</f>
        <v/>
      </c>
      <c r="P113" s="7">
        <f>IF($X113="","",O113*N113)</f>
        <v/>
      </c>
      <c r="Q113">
        <f>IF($X113="","",Settings!$C$6)</f>
        <v/>
      </c>
      <c r="R113" s="7">
        <f>IF($X113="","",SUMIFS('Per Line'!$U$2:$U$1501,'Per Line'!$AJ$2:$AJ$1501,$A113&amp;"|"&amp;$C113,'Per Line'!$AM$2:$AM$1501,1,'Per Line'!$AN$2:$AN$1501,0))</f>
        <v/>
      </c>
      <c r="S113" s="7">
        <f>IF($X113="","",R113*Q113)</f>
        <v/>
      </c>
      <c r="T113" s="7">
        <f>IF($X113="","",S113+P113)</f>
        <v/>
      </c>
      <c r="U113" s="7">
        <f>IF($X113="","",V113-T113)</f>
        <v/>
      </c>
      <c r="V113" s="7">
        <f>IF($X113="","",O113+R113+M113)</f>
        <v/>
      </c>
      <c r="W113" s="7">
        <f>IF($X113="","",V113-T113-K113)</f>
        <v/>
      </c>
      <c r="X113" s="13">
        <f>IF(ROWS($X$2:$X113)&lt;=MAX('Per Line'!$AL$2:$AL$1501),MATCH(ROWS($X$2:$X113),'Per Line'!$AL$2:$AL$1501,0),"")</f>
        <v/>
      </c>
    </row>
    <row r="114">
      <c r="A114">
        <f>IF($X114="","",INDEX('Per Line'!$C$2:$C$1501,$X114)&amp;"")</f>
        <v/>
      </c>
      <c r="B114" s="12" t="n"/>
      <c r="C114">
        <f>IF($X114="","",INDEX('Per Line'!$D$2:$D$1501,$X114)&amp;"")</f>
        <v/>
      </c>
      <c r="D114">
        <f>IF($X114="","",INDEX('Per Line'!$A$2:$A$1501,$X114))</f>
        <v/>
      </c>
      <c r="E114">
        <f>IF($X114="","",INDEX('Per Line'!$G$2:$G$1501,$X114)&amp;"")</f>
        <v/>
      </c>
      <c r="F114" s="11">
        <f>IF($X114="","",INDEX('Per Line'!$F$2:$F$1501,$X114))</f>
        <v/>
      </c>
      <c r="G114">
        <f>IF($X114="","",INDEX('Per Line'!$I$2:$I$1501,$X114)&amp;"")</f>
        <v/>
      </c>
      <c r="H114">
        <f>IF($X114="","",INDEX('Per Line'!$J$2:$J$1501,$X114)&amp;"")</f>
        <v/>
      </c>
      <c r="I114">
        <f>IF($X114="","",INDEX('Per Line'!$K$2:$K$1501,$X114)&amp;"")</f>
        <v/>
      </c>
      <c r="J114">
        <f>IF($X114="","",INDEX('Per Line'!$M$2:$M$1501,$X114))</f>
        <v/>
      </c>
      <c r="K114" s="7">
        <f>IF($X114="","",J114*V114/100)</f>
        <v/>
      </c>
      <c r="L114">
        <f>IF($X114="","",INDEX('Per Line'!$Y$2:$Y$1501,$X114)&amp;"")</f>
        <v/>
      </c>
      <c r="M114" s="7">
        <f>IF($X114="","",SUMIFS('Per Line'!$U$2:$U$1501,'Per Line'!$AJ$2:$AJ$1501,$A114&amp;"|"&amp;$C114,'Per Line'!$AN$2:$AN$1501,1))</f>
        <v/>
      </c>
      <c r="N114">
        <f>IF($X114="","",Settings!$C$7)</f>
        <v/>
      </c>
      <c r="O114" s="7">
        <f>IF($X114="","",SUMIFS('Per Line'!$U$2:$U$1501,'Per Line'!$AJ$2:$AJ$1501,$A114&amp;"|"&amp;$C114,'Per Line'!$AM$2:$AM$1501,0,'Per Line'!$AN$2:$AN$1501,0))</f>
        <v/>
      </c>
      <c r="P114" s="7">
        <f>IF($X114="","",O114*N114)</f>
        <v/>
      </c>
      <c r="Q114">
        <f>IF($X114="","",Settings!$C$6)</f>
        <v/>
      </c>
      <c r="R114" s="7">
        <f>IF($X114="","",SUMIFS('Per Line'!$U$2:$U$1501,'Per Line'!$AJ$2:$AJ$1501,$A114&amp;"|"&amp;$C114,'Per Line'!$AM$2:$AM$1501,1,'Per Line'!$AN$2:$AN$1501,0))</f>
        <v/>
      </c>
      <c r="S114" s="7">
        <f>IF($X114="","",R114*Q114)</f>
        <v/>
      </c>
      <c r="T114" s="7">
        <f>IF($X114="","",S114+P114)</f>
        <v/>
      </c>
      <c r="U114" s="7">
        <f>IF($X114="","",V114-T114)</f>
        <v/>
      </c>
      <c r="V114" s="7">
        <f>IF($X114="","",O114+R114+M114)</f>
        <v/>
      </c>
      <c r="W114" s="7">
        <f>IF($X114="","",V114-T114-K114)</f>
        <v/>
      </c>
      <c r="X114" s="13">
        <f>IF(ROWS($X$2:$X114)&lt;=MAX('Per Line'!$AL$2:$AL$1501),MATCH(ROWS($X$2:$X114),'Per Line'!$AL$2:$AL$1501,0),"")</f>
        <v/>
      </c>
    </row>
    <row r="115">
      <c r="A115">
        <f>IF($X115="","",INDEX('Per Line'!$C$2:$C$1501,$X115)&amp;"")</f>
        <v/>
      </c>
      <c r="B115" s="12" t="n"/>
      <c r="C115">
        <f>IF($X115="","",INDEX('Per Line'!$D$2:$D$1501,$X115)&amp;"")</f>
        <v/>
      </c>
      <c r="D115">
        <f>IF($X115="","",INDEX('Per Line'!$A$2:$A$1501,$X115))</f>
        <v/>
      </c>
      <c r="E115">
        <f>IF($X115="","",INDEX('Per Line'!$G$2:$G$1501,$X115)&amp;"")</f>
        <v/>
      </c>
      <c r="F115" s="11">
        <f>IF($X115="","",INDEX('Per Line'!$F$2:$F$1501,$X115))</f>
        <v/>
      </c>
      <c r="G115">
        <f>IF($X115="","",INDEX('Per Line'!$I$2:$I$1501,$X115)&amp;"")</f>
        <v/>
      </c>
      <c r="H115">
        <f>IF($X115="","",INDEX('Per Line'!$J$2:$J$1501,$X115)&amp;"")</f>
        <v/>
      </c>
      <c r="I115">
        <f>IF($X115="","",INDEX('Per Line'!$K$2:$K$1501,$X115)&amp;"")</f>
        <v/>
      </c>
      <c r="J115">
        <f>IF($X115="","",INDEX('Per Line'!$M$2:$M$1501,$X115))</f>
        <v/>
      </c>
      <c r="K115" s="7">
        <f>IF($X115="","",J115*V115/100)</f>
        <v/>
      </c>
      <c r="L115">
        <f>IF($X115="","",INDEX('Per Line'!$Y$2:$Y$1501,$X115)&amp;"")</f>
        <v/>
      </c>
      <c r="M115" s="7">
        <f>IF($X115="","",SUMIFS('Per Line'!$U$2:$U$1501,'Per Line'!$AJ$2:$AJ$1501,$A115&amp;"|"&amp;$C115,'Per Line'!$AN$2:$AN$1501,1))</f>
        <v/>
      </c>
      <c r="N115">
        <f>IF($X115="","",Settings!$C$7)</f>
        <v/>
      </c>
      <c r="O115" s="7">
        <f>IF($X115="","",SUMIFS('Per Line'!$U$2:$U$1501,'Per Line'!$AJ$2:$AJ$1501,$A115&amp;"|"&amp;$C115,'Per Line'!$AM$2:$AM$1501,0,'Per Line'!$AN$2:$AN$1501,0))</f>
        <v/>
      </c>
      <c r="P115" s="7">
        <f>IF($X115="","",O115*N115)</f>
        <v/>
      </c>
      <c r="Q115">
        <f>IF($X115="","",Settings!$C$6)</f>
        <v/>
      </c>
      <c r="R115" s="7">
        <f>IF($X115="","",SUMIFS('Per Line'!$U$2:$U$1501,'Per Line'!$AJ$2:$AJ$1501,$A115&amp;"|"&amp;$C115,'Per Line'!$AM$2:$AM$1501,1,'Per Line'!$AN$2:$AN$1501,0))</f>
        <v/>
      </c>
      <c r="S115" s="7">
        <f>IF($X115="","",R115*Q115)</f>
        <v/>
      </c>
      <c r="T115" s="7">
        <f>IF($X115="","",S115+P115)</f>
        <v/>
      </c>
      <c r="U115" s="7">
        <f>IF($X115="","",V115-T115)</f>
        <v/>
      </c>
      <c r="V115" s="7">
        <f>IF($X115="","",O115+R115+M115)</f>
        <v/>
      </c>
      <c r="W115" s="7">
        <f>IF($X115="","",V115-T115-K115)</f>
        <v/>
      </c>
      <c r="X115" s="13">
        <f>IF(ROWS($X$2:$X115)&lt;=MAX('Per Line'!$AL$2:$AL$1501),MATCH(ROWS($X$2:$X115),'Per Line'!$AL$2:$AL$1501,0),"")</f>
        <v/>
      </c>
    </row>
    <row r="116">
      <c r="A116">
        <f>IF($X116="","",INDEX('Per Line'!$C$2:$C$1501,$X116)&amp;"")</f>
        <v/>
      </c>
      <c r="B116" s="12" t="n"/>
      <c r="C116">
        <f>IF($X116="","",INDEX('Per Line'!$D$2:$D$1501,$X116)&amp;"")</f>
        <v/>
      </c>
      <c r="D116">
        <f>IF($X116="","",INDEX('Per Line'!$A$2:$A$1501,$X116))</f>
        <v/>
      </c>
      <c r="E116">
        <f>IF($X116="","",INDEX('Per Line'!$G$2:$G$1501,$X116)&amp;"")</f>
        <v/>
      </c>
      <c r="F116" s="11">
        <f>IF($X116="","",INDEX('Per Line'!$F$2:$F$1501,$X116))</f>
        <v/>
      </c>
      <c r="G116">
        <f>IF($X116="","",INDEX('Per Line'!$I$2:$I$1501,$X116)&amp;"")</f>
        <v/>
      </c>
      <c r="H116">
        <f>IF($X116="","",INDEX('Per Line'!$J$2:$J$1501,$X116)&amp;"")</f>
        <v/>
      </c>
      <c r="I116">
        <f>IF($X116="","",INDEX('Per Line'!$K$2:$K$1501,$X116)&amp;"")</f>
        <v/>
      </c>
      <c r="J116">
        <f>IF($X116="","",INDEX('Per Line'!$M$2:$M$1501,$X116))</f>
        <v/>
      </c>
      <c r="K116" s="7">
        <f>IF($X116="","",J116*V116/100)</f>
        <v/>
      </c>
      <c r="L116">
        <f>IF($X116="","",INDEX('Per Line'!$Y$2:$Y$1501,$X116)&amp;"")</f>
        <v/>
      </c>
      <c r="M116" s="7">
        <f>IF($X116="","",SUMIFS('Per Line'!$U$2:$U$1501,'Per Line'!$AJ$2:$AJ$1501,$A116&amp;"|"&amp;$C116,'Per Line'!$AN$2:$AN$1501,1))</f>
        <v/>
      </c>
      <c r="N116">
        <f>IF($X116="","",Settings!$C$7)</f>
        <v/>
      </c>
      <c r="O116" s="7">
        <f>IF($X116="","",SUMIFS('Per Line'!$U$2:$U$1501,'Per Line'!$AJ$2:$AJ$1501,$A116&amp;"|"&amp;$C116,'Per Line'!$AM$2:$AM$1501,0,'Per Line'!$AN$2:$AN$1501,0))</f>
        <v/>
      </c>
      <c r="P116" s="7">
        <f>IF($X116="","",O116*N116)</f>
        <v/>
      </c>
      <c r="Q116">
        <f>IF($X116="","",Settings!$C$6)</f>
        <v/>
      </c>
      <c r="R116" s="7">
        <f>IF($X116="","",SUMIFS('Per Line'!$U$2:$U$1501,'Per Line'!$AJ$2:$AJ$1501,$A116&amp;"|"&amp;$C116,'Per Line'!$AM$2:$AM$1501,1,'Per Line'!$AN$2:$AN$1501,0))</f>
        <v/>
      </c>
      <c r="S116" s="7">
        <f>IF($X116="","",R116*Q116)</f>
        <v/>
      </c>
      <c r="T116" s="7">
        <f>IF($X116="","",S116+P116)</f>
        <v/>
      </c>
      <c r="U116" s="7">
        <f>IF($X116="","",V116-T116)</f>
        <v/>
      </c>
      <c r="V116" s="7">
        <f>IF($X116="","",O116+R116+M116)</f>
        <v/>
      </c>
      <c r="W116" s="7">
        <f>IF($X116="","",V116-T116-K116)</f>
        <v/>
      </c>
      <c r="X116" s="13">
        <f>IF(ROWS($X$2:$X116)&lt;=MAX('Per Line'!$AL$2:$AL$1501),MATCH(ROWS($X$2:$X116),'Per Line'!$AL$2:$AL$1501,0),"")</f>
        <v/>
      </c>
    </row>
    <row r="117">
      <c r="A117">
        <f>IF($X117="","",INDEX('Per Line'!$C$2:$C$1501,$X117)&amp;"")</f>
        <v/>
      </c>
      <c r="B117" s="12" t="n"/>
      <c r="C117">
        <f>IF($X117="","",INDEX('Per Line'!$D$2:$D$1501,$X117)&amp;"")</f>
        <v/>
      </c>
      <c r="D117">
        <f>IF($X117="","",INDEX('Per Line'!$A$2:$A$1501,$X117))</f>
        <v/>
      </c>
      <c r="E117">
        <f>IF($X117="","",INDEX('Per Line'!$G$2:$G$1501,$X117)&amp;"")</f>
        <v/>
      </c>
      <c r="F117" s="11">
        <f>IF($X117="","",INDEX('Per Line'!$F$2:$F$1501,$X117))</f>
        <v/>
      </c>
      <c r="G117">
        <f>IF($X117="","",INDEX('Per Line'!$I$2:$I$1501,$X117)&amp;"")</f>
        <v/>
      </c>
      <c r="H117">
        <f>IF($X117="","",INDEX('Per Line'!$J$2:$J$1501,$X117)&amp;"")</f>
        <v/>
      </c>
      <c r="I117">
        <f>IF($X117="","",INDEX('Per Line'!$K$2:$K$1501,$X117)&amp;"")</f>
        <v/>
      </c>
      <c r="J117">
        <f>IF($X117="","",INDEX('Per Line'!$M$2:$M$1501,$X117))</f>
        <v/>
      </c>
      <c r="K117" s="7">
        <f>IF($X117="","",J117*V117/100)</f>
        <v/>
      </c>
      <c r="L117">
        <f>IF($X117="","",INDEX('Per Line'!$Y$2:$Y$1501,$X117)&amp;"")</f>
        <v/>
      </c>
      <c r="M117" s="7">
        <f>IF($X117="","",SUMIFS('Per Line'!$U$2:$U$1501,'Per Line'!$AJ$2:$AJ$1501,$A117&amp;"|"&amp;$C117,'Per Line'!$AN$2:$AN$1501,1))</f>
        <v/>
      </c>
      <c r="N117">
        <f>IF($X117="","",Settings!$C$7)</f>
        <v/>
      </c>
      <c r="O117" s="7">
        <f>IF($X117="","",SUMIFS('Per Line'!$U$2:$U$1501,'Per Line'!$AJ$2:$AJ$1501,$A117&amp;"|"&amp;$C117,'Per Line'!$AM$2:$AM$1501,0,'Per Line'!$AN$2:$AN$1501,0))</f>
        <v/>
      </c>
      <c r="P117" s="7">
        <f>IF($X117="","",O117*N117)</f>
        <v/>
      </c>
      <c r="Q117">
        <f>IF($X117="","",Settings!$C$6)</f>
        <v/>
      </c>
      <c r="R117" s="7">
        <f>IF($X117="","",SUMIFS('Per Line'!$U$2:$U$1501,'Per Line'!$AJ$2:$AJ$1501,$A117&amp;"|"&amp;$C117,'Per Line'!$AM$2:$AM$1501,1,'Per Line'!$AN$2:$AN$1501,0))</f>
        <v/>
      </c>
      <c r="S117" s="7">
        <f>IF($X117="","",R117*Q117)</f>
        <v/>
      </c>
      <c r="T117" s="7">
        <f>IF($X117="","",S117+P117)</f>
        <v/>
      </c>
      <c r="U117" s="7">
        <f>IF($X117="","",V117-T117)</f>
        <v/>
      </c>
      <c r="V117" s="7">
        <f>IF($X117="","",O117+R117+M117)</f>
        <v/>
      </c>
      <c r="W117" s="7">
        <f>IF($X117="","",V117-T117-K117)</f>
        <v/>
      </c>
      <c r="X117" s="13">
        <f>IF(ROWS($X$2:$X117)&lt;=MAX('Per Line'!$AL$2:$AL$1501),MATCH(ROWS($X$2:$X117),'Per Line'!$AL$2:$AL$1501,0),"")</f>
        <v/>
      </c>
    </row>
    <row r="118">
      <c r="A118">
        <f>IF($X118="","",INDEX('Per Line'!$C$2:$C$1501,$X118)&amp;"")</f>
        <v/>
      </c>
      <c r="B118" s="12" t="n"/>
      <c r="C118">
        <f>IF($X118="","",INDEX('Per Line'!$D$2:$D$1501,$X118)&amp;"")</f>
        <v/>
      </c>
      <c r="D118">
        <f>IF($X118="","",INDEX('Per Line'!$A$2:$A$1501,$X118))</f>
        <v/>
      </c>
      <c r="E118">
        <f>IF($X118="","",INDEX('Per Line'!$G$2:$G$1501,$X118)&amp;"")</f>
        <v/>
      </c>
      <c r="F118" s="11">
        <f>IF($X118="","",INDEX('Per Line'!$F$2:$F$1501,$X118))</f>
        <v/>
      </c>
      <c r="G118">
        <f>IF($X118="","",INDEX('Per Line'!$I$2:$I$1501,$X118)&amp;"")</f>
        <v/>
      </c>
      <c r="H118">
        <f>IF($X118="","",INDEX('Per Line'!$J$2:$J$1501,$X118)&amp;"")</f>
        <v/>
      </c>
      <c r="I118">
        <f>IF($X118="","",INDEX('Per Line'!$K$2:$K$1501,$X118)&amp;"")</f>
        <v/>
      </c>
      <c r="J118">
        <f>IF($X118="","",INDEX('Per Line'!$M$2:$M$1501,$X118))</f>
        <v/>
      </c>
      <c r="K118" s="7">
        <f>IF($X118="","",J118*V118/100)</f>
        <v/>
      </c>
      <c r="L118">
        <f>IF($X118="","",INDEX('Per Line'!$Y$2:$Y$1501,$X118)&amp;"")</f>
        <v/>
      </c>
      <c r="M118" s="7">
        <f>IF($X118="","",SUMIFS('Per Line'!$U$2:$U$1501,'Per Line'!$AJ$2:$AJ$1501,$A118&amp;"|"&amp;$C118,'Per Line'!$AN$2:$AN$1501,1))</f>
        <v/>
      </c>
      <c r="N118">
        <f>IF($X118="","",Settings!$C$7)</f>
        <v/>
      </c>
      <c r="O118" s="7">
        <f>IF($X118="","",SUMIFS('Per Line'!$U$2:$U$1501,'Per Line'!$AJ$2:$AJ$1501,$A118&amp;"|"&amp;$C118,'Per Line'!$AM$2:$AM$1501,0,'Per Line'!$AN$2:$AN$1501,0))</f>
        <v/>
      </c>
      <c r="P118" s="7">
        <f>IF($X118="","",O118*N118)</f>
        <v/>
      </c>
      <c r="Q118">
        <f>IF($X118="","",Settings!$C$6)</f>
        <v/>
      </c>
      <c r="R118" s="7">
        <f>IF($X118="","",SUMIFS('Per Line'!$U$2:$U$1501,'Per Line'!$AJ$2:$AJ$1501,$A118&amp;"|"&amp;$C118,'Per Line'!$AM$2:$AM$1501,1,'Per Line'!$AN$2:$AN$1501,0))</f>
        <v/>
      </c>
      <c r="S118" s="7">
        <f>IF($X118="","",R118*Q118)</f>
        <v/>
      </c>
      <c r="T118" s="7">
        <f>IF($X118="","",S118+P118)</f>
        <v/>
      </c>
      <c r="U118" s="7">
        <f>IF($X118="","",V118-T118)</f>
        <v/>
      </c>
      <c r="V118" s="7">
        <f>IF($X118="","",O118+R118+M118)</f>
        <v/>
      </c>
      <c r="W118" s="7">
        <f>IF($X118="","",V118-T118-K118)</f>
        <v/>
      </c>
      <c r="X118" s="13">
        <f>IF(ROWS($X$2:$X118)&lt;=MAX('Per Line'!$AL$2:$AL$1501),MATCH(ROWS($X$2:$X118),'Per Line'!$AL$2:$AL$1501,0),"")</f>
        <v/>
      </c>
    </row>
    <row r="119">
      <c r="A119">
        <f>IF($X119="","",INDEX('Per Line'!$C$2:$C$1501,$X119)&amp;"")</f>
        <v/>
      </c>
      <c r="B119" s="12" t="n"/>
      <c r="C119">
        <f>IF($X119="","",INDEX('Per Line'!$D$2:$D$1501,$X119)&amp;"")</f>
        <v/>
      </c>
      <c r="D119">
        <f>IF($X119="","",INDEX('Per Line'!$A$2:$A$1501,$X119))</f>
        <v/>
      </c>
      <c r="E119">
        <f>IF($X119="","",INDEX('Per Line'!$G$2:$G$1501,$X119)&amp;"")</f>
        <v/>
      </c>
      <c r="F119" s="11">
        <f>IF($X119="","",INDEX('Per Line'!$F$2:$F$1501,$X119))</f>
        <v/>
      </c>
      <c r="G119">
        <f>IF($X119="","",INDEX('Per Line'!$I$2:$I$1501,$X119)&amp;"")</f>
        <v/>
      </c>
      <c r="H119">
        <f>IF($X119="","",INDEX('Per Line'!$J$2:$J$1501,$X119)&amp;"")</f>
        <v/>
      </c>
      <c r="I119">
        <f>IF($X119="","",INDEX('Per Line'!$K$2:$K$1501,$X119)&amp;"")</f>
        <v/>
      </c>
      <c r="J119">
        <f>IF($X119="","",INDEX('Per Line'!$M$2:$M$1501,$X119))</f>
        <v/>
      </c>
      <c r="K119" s="7">
        <f>IF($X119="","",J119*V119/100)</f>
        <v/>
      </c>
      <c r="L119">
        <f>IF($X119="","",INDEX('Per Line'!$Y$2:$Y$1501,$X119)&amp;"")</f>
        <v/>
      </c>
      <c r="M119" s="7">
        <f>IF($X119="","",SUMIFS('Per Line'!$U$2:$U$1501,'Per Line'!$AJ$2:$AJ$1501,$A119&amp;"|"&amp;$C119,'Per Line'!$AN$2:$AN$1501,1))</f>
        <v/>
      </c>
      <c r="N119">
        <f>IF($X119="","",Settings!$C$7)</f>
        <v/>
      </c>
      <c r="O119" s="7">
        <f>IF($X119="","",SUMIFS('Per Line'!$U$2:$U$1501,'Per Line'!$AJ$2:$AJ$1501,$A119&amp;"|"&amp;$C119,'Per Line'!$AM$2:$AM$1501,0,'Per Line'!$AN$2:$AN$1501,0))</f>
        <v/>
      </c>
      <c r="P119" s="7">
        <f>IF($X119="","",O119*N119)</f>
        <v/>
      </c>
      <c r="Q119">
        <f>IF($X119="","",Settings!$C$6)</f>
        <v/>
      </c>
      <c r="R119" s="7">
        <f>IF($X119="","",SUMIFS('Per Line'!$U$2:$U$1501,'Per Line'!$AJ$2:$AJ$1501,$A119&amp;"|"&amp;$C119,'Per Line'!$AM$2:$AM$1501,1,'Per Line'!$AN$2:$AN$1501,0))</f>
        <v/>
      </c>
      <c r="S119" s="7">
        <f>IF($X119="","",R119*Q119)</f>
        <v/>
      </c>
      <c r="T119" s="7">
        <f>IF($X119="","",S119+P119)</f>
        <v/>
      </c>
      <c r="U119" s="7">
        <f>IF($X119="","",V119-T119)</f>
        <v/>
      </c>
      <c r="V119" s="7">
        <f>IF($X119="","",O119+R119+M119)</f>
        <v/>
      </c>
      <c r="W119" s="7">
        <f>IF($X119="","",V119-T119-K119)</f>
        <v/>
      </c>
      <c r="X119" s="13">
        <f>IF(ROWS($X$2:$X119)&lt;=MAX('Per Line'!$AL$2:$AL$1501),MATCH(ROWS($X$2:$X119),'Per Line'!$AL$2:$AL$1501,0),"")</f>
        <v/>
      </c>
    </row>
    <row r="120">
      <c r="A120">
        <f>IF($X120="","",INDEX('Per Line'!$C$2:$C$1501,$X120)&amp;"")</f>
        <v/>
      </c>
      <c r="B120" s="12" t="n"/>
      <c r="C120">
        <f>IF($X120="","",INDEX('Per Line'!$D$2:$D$1501,$X120)&amp;"")</f>
        <v/>
      </c>
      <c r="D120">
        <f>IF($X120="","",INDEX('Per Line'!$A$2:$A$1501,$X120))</f>
        <v/>
      </c>
      <c r="E120">
        <f>IF($X120="","",INDEX('Per Line'!$G$2:$G$1501,$X120)&amp;"")</f>
        <v/>
      </c>
      <c r="F120" s="11">
        <f>IF($X120="","",INDEX('Per Line'!$F$2:$F$1501,$X120))</f>
        <v/>
      </c>
      <c r="G120">
        <f>IF($X120="","",INDEX('Per Line'!$I$2:$I$1501,$X120)&amp;"")</f>
        <v/>
      </c>
      <c r="H120">
        <f>IF($X120="","",INDEX('Per Line'!$J$2:$J$1501,$X120)&amp;"")</f>
        <v/>
      </c>
      <c r="I120">
        <f>IF($X120="","",INDEX('Per Line'!$K$2:$K$1501,$X120)&amp;"")</f>
        <v/>
      </c>
      <c r="J120">
        <f>IF($X120="","",INDEX('Per Line'!$M$2:$M$1501,$X120))</f>
        <v/>
      </c>
      <c r="K120" s="7">
        <f>IF($X120="","",J120*V120/100)</f>
        <v/>
      </c>
      <c r="L120">
        <f>IF($X120="","",INDEX('Per Line'!$Y$2:$Y$1501,$X120)&amp;"")</f>
        <v/>
      </c>
      <c r="M120" s="7">
        <f>IF($X120="","",SUMIFS('Per Line'!$U$2:$U$1501,'Per Line'!$AJ$2:$AJ$1501,$A120&amp;"|"&amp;$C120,'Per Line'!$AN$2:$AN$1501,1))</f>
        <v/>
      </c>
      <c r="N120">
        <f>IF($X120="","",Settings!$C$7)</f>
        <v/>
      </c>
      <c r="O120" s="7">
        <f>IF($X120="","",SUMIFS('Per Line'!$U$2:$U$1501,'Per Line'!$AJ$2:$AJ$1501,$A120&amp;"|"&amp;$C120,'Per Line'!$AM$2:$AM$1501,0,'Per Line'!$AN$2:$AN$1501,0))</f>
        <v/>
      </c>
      <c r="P120" s="7">
        <f>IF($X120="","",O120*N120)</f>
        <v/>
      </c>
      <c r="Q120">
        <f>IF($X120="","",Settings!$C$6)</f>
        <v/>
      </c>
      <c r="R120" s="7">
        <f>IF($X120="","",SUMIFS('Per Line'!$U$2:$U$1501,'Per Line'!$AJ$2:$AJ$1501,$A120&amp;"|"&amp;$C120,'Per Line'!$AM$2:$AM$1501,1,'Per Line'!$AN$2:$AN$1501,0))</f>
        <v/>
      </c>
      <c r="S120" s="7">
        <f>IF($X120="","",R120*Q120)</f>
        <v/>
      </c>
      <c r="T120" s="7">
        <f>IF($X120="","",S120+P120)</f>
        <v/>
      </c>
      <c r="U120" s="7">
        <f>IF($X120="","",V120-T120)</f>
        <v/>
      </c>
      <c r="V120" s="7">
        <f>IF($X120="","",O120+R120+M120)</f>
        <v/>
      </c>
      <c r="W120" s="7">
        <f>IF($X120="","",V120-T120-K120)</f>
        <v/>
      </c>
      <c r="X120" s="13">
        <f>IF(ROWS($X$2:$X120)&lt;=MAX('Per Line'!$AL$2:$AL$1501),MATCH(ROWS($X$2:$X120),'Per Line'!$AL$2:$AL$1501,0),"")</f>
        <v/>
      </c>
    </row>
    <row r="121">
      <c r="A121">
        <f>IF($X121="","",INDEX('Per Line'!$C$2:$C$1501,$X121)&amp;"")</f>
        <v/>
      </c>
      <c r="B121" s="12" t="n"/>
      <c r="C121">
        <f>IF($X121="","",INDEX('Per Line'!$D$2:$D$1501,$X121)&amp;"")</f>
        <v/>
      </c>
      <c r="D121">
        <f>IF($X121="","",INDEX('Per Line'!$A$2:$A$1501,$X121))</f>
        <v/>
      </c>
      <c r="E121">
        <f>IF($X121="","",INDEX('Per Line'!$G$2:$G$1501,$X121)&amp;"")</f>
        <v/>
      </c>
      <c r="F121" s="11">
        <f>IF($X121="","",INDEX('Per Line'!$F$2:$F$1501,$X121))</f>
        <v/>
      </c>
      <c r="G121">
        <f>IF($X121="","",INDEX('Per Line'!$I$2:$I$1501,$X121)&amp;"")</f>
        <v/>
      </c>
      <c r="H121">
        <f>IF($X121="","",INDEX('Per Line'!$J$2:$J$1501,$X121)&amp;"")</f>
        <v/>
      </c>
      <c r="I121">
        <f>IF($X121="","",INDEX('Per Line'!$K$2:$K$1501,$X121)&amp;"")</f>
        <v/>
      </c>
      <c r="J121">
        <f>IF($X121="","",INDEX('Per Line'!$M$2:$M$1501,$X121))</f>
        <v/>
      </c>
      <c r="K121" s="7">
        <f>IF($X121="","",J121*V121/100)</f>
        <v/>
      </c>
      <c r="L121">
        <f>IF($X121="","",INDEX('Per Line'!$Y$2:$Y$1501,$X121)&amp;"")</f>
        <v/>
      </c>
      <c r="M121" s="7">
        <f>IF($X121="","",SUMIFS('Per Line'!$U$2:$U$1501,'Per Line'!$AJ$2:$AJ$1501,$A121&amp;"|"&amp;$C121,'Per Line'!$AN$2:$AN$1501,1))</f>
        <v/>
      </c>
      <c r="N121">
        <f>IF($X121="","",Settings!$C$7)</f>
        <v/>
      </c>
      <c r="O121" s="7">
        <f>IF($X121="","",SUMIFS('Per Line'!$U$2:$U$1501,'Per Line'!$AJ$2:$AJ$1501,$A121&amp;"|"&amp;$C121,'Per Line'!$AM$2:$AM$1501,0,'Per Line'!$AN$2:$AN$1501,0))</f>
        <v/>
      </c>
      <c r="P121" s="7">
        <f>IF($X121="","",O121*N121)</f>
        <v/>
      </c>
      <c r="Q121">
        <f>IF($X121="","",Settings!$C$6)</f>
        <v/>
      </c>
      <c r="R121" s="7">
        <f>IF($X121="","",SUMIFS('Per Line'!$U$2:$U$1501,'Per Line'!$AJ$2:$AJ$1501,$A121&amp;"|"&amp;$C121,'Per Line'!$AM$2:$AM$1501,1,'Per Line'!$AN$2:$AN$1501,0))</f>
        <v/>
      </c>
      <c r="S121" s="7">
        <f>IF($X121="","",R121*Q121)</f>
        <v/>
      </c>
      <c r="T121" s="7">
        <f>IF($X121="","",S121+P121)</f>
        <v/>
      </c>
      <c r="U121" s="7">
        <f>IF($X121="","",V121-T121)</f>
        <v/>
      </c>
      <c r="V121" s="7">
        <f>IF($X121="","",O121+R121+M121)</f>
        <v/>
      </c>
      <c r="W121" s="7">
        <f>IF($X121="","",V121-T121-K121)</f>
        <v/>
      </c>
      <c r="X121" s="13">
        <f>IF(ROWS($X$2:$X121)&lt;=MAX('Per Line'!$AL$2:$AL$1501),MATCH(ROWS($X$2:$X121),'Per Line'!$AL$2:$AL$1501,0),"")</f>
        <v/>
      </c>
    </row>
    <row r="122">
      <c r="A122">
        <f>IF($X122="","",INDEX('Per Line'!$C$2:$C$1501,$X122)&amp;"")</f>
        <v/>
      </c>
      <c r="B122" s="12" t="n"/>
      <c r="C122">
        <f>IF($X122="","",INDEX('Per Line'!$D$2:$D$1501,$X122)&amp;"")</f>
        <v/>
      </c>
      <c r="D122">
        <f>IF($X122="","",INDEX('Per Line'!$A$2:$A$1501,$X122))</f>
        <v/>
      </c>
      <c r="E122">
        <f>IF($X122="","",INDEX('Per Line'!$G$2:$G$1501,$X122)&amp;"")</f>
        <v/>
      </c>
      <c r="F122" s="11">
        <f>IF($X122="","",INDEX('Per Line'!$F$2:$F$1501,$X122))</f>
        <v/>
      </c>
      <c r="G122">
        <f>IF($X122="","",INDEX('Per Line'!$I$2:$I$1501,$X122)&amp;"")</f>
        <v/>
      </c>
      <c r="H122">
        <f>IF($X122="","",INDEX('Per Line'!$J$2:$J$1501,$X122)&amp;"")</f>
        <v/>
      </c>
      <c r="I122">
        <f>IF($X122="","",INDEX('Per Line'!$K$2:$K$1501,$X122)&amp;"")</f>
        <v/>
      </c>
      <c r="J122">
        <f>IF($X122="","",INDEX('Per Line'!$M$2:$M$1501,$X122))</f>
        <v/>
      </c>
      <c r="K122" s="7">
        <f>IF($X122="","",J122*V122/100)</f>
        <v/>
      </c>
      <c r="L122">
        <f>IF($X122="","",INDEX('Per Line'!$Y$2:$Y$1501,$X122)&amp;"")</f>
        <v/>
      </c>
      <c r="M122" s="7">
        <f>IF($X122="","",SUMIFS('Per Line'!$U$2:$U$1501,'Per Line'!$AJ$2:$AJ$1501,$A122&amp;"|"&amp;$C122,'Per Line'!$AN$2:$AN$1501,1))</f>
        <v/>
      </c>
      <c r="N122">
        <f>IF($X122="","",Settings!$C$7)</f>
        <v/>
      </c>
      <c r="O122" s="7">
        <f>IF($X122="","",SUMIFS('Per Line'!$U$2:$U$1501,'Per Line'!$AJ$2:$AJ$1501,$A122&amp;"|"&amp;$C122,'Per Line'!$AM$2:$AM$1501,0,'Per Line'!$AN$2:$AN$1501,0))</f>
        <v/>
      </c>
      <c r="P122" s="7">
        <f>IF($X122="","",O122*N122)</f>
        <v/>
      </c>
      <c r="Q122">
        <f>IF($X122="","",Settings!$C$6)</f>
        <v/>
      </c>
      <c r="R122" s="7">
        <f>IF($X122="","",SUMIFS('Per Line'!$U$2:$U$1501,'Per Line'!$AJ$2:$AJ$1501,$A122&amp;"|"&amp;$C122,'Per Line'!$AM$2:$AM$1501,1,'Per Line'!$AN$2:$AN$1501,0))</f>
        <v/>
      </c>
      <c r="S122" s="7">
        <f>IF($X122="","",R122*Q122)</f>
        <v/>
      </c>
      <c r="T122" s="7">
        <f>IF($X122="","",S122+P122)</f>
        <v/>
      </c>
      <c r="U122" s="7">
        <f>IF($X122="","",V122-T122)</f>
        <v/>
      </c>
      <c r="V122" s="7">
        <f>IF($X122="","",O122+R122+M122)</f>
        <v/>
      </c>
      <c r="W122" s="7">
        <f>IF($X122="","",V122-T122-K122)</f>
        <v/>
      </c>
      <c r="X122" s="13">
        <f>IF(ROWS($X$2:$X122)&lt;=MAX('Per Line'!$AL$2:$AL$1501),MATCH(ROWS($X$2:$X122),'Per Line'!$AL$2:$AL$1501,0),"")</f>
        <v/>
      </c>
    </row>
    <row r="123">
      <c r="A123">
        <f>IF($X123="","",INDEX('Per Line'!$C$2:$C$1501,$X123)&amp;"")</f>
        <v/>
      </c>
      <c r="B123" s="12" t="n"/>
      <c r="C123">
        <f>IF($X123="","",INDEX('Per Line'!$D$2:$D$1501,$X123)&amp;"")</f>
        <v/>
      </c>
      <c r="D123">
        <f>IF($X123="","",INDEX('Per Line'!$A$2:$A$1501,$X123))</f>
        <v/>
      </c>
      <c r="E123">
        <f>IF($X123="","",INDEX('Per Line'!$G$2:$G$1501,$X123)&amp;"")</f>
        <v/>
      </c>
      <c r="F123" s="11">
        <f>IF($X123="","",INDEX('Per Line'!$F$2:$F$1501,$X123))</f>
        <v/>
      </c>
      <c r="G123">
        <f>IF($X123="","",INDEX('Per Line'!$I$2:$I$1501,$X123)&amp;"")</f>
        <v/>
      </c>
      <c r="H123">
        <f>IF($X123="","",INDEX('Per Line'!$J$2:$J$1501,$X123)&amp;"")</f>
        <v/>
      </c>
      <c r="I123">
        <f>IF($X123="","",INDEX('Per Line'!$K$2:$K$1501,$X123)&amp;"")</f>
        <v/>
      </c>
      <c r="J123">
        <f>IF($X123="","",INDEX('Per Line'!$M$2:$M$1501,$X123))</f>
        <v/>
      </c>
      <c r="K123" s="7">
        <f>IF($X123="","",J123*V123/100)</f>
        <v/>
      </c>
      <c r="L123">
        <f>IF($X123="","",INDEX('Per Line'!$Y$2:$Y$1501,$X123)&amp;"")</f>
        <v/>
      </c>
      <c r="M123" s="7">
        <f>IF($X123="","",SUMIFS('Per Line'!$U$2:$U$1501,'Per Line'!$AJ$2:$AJ$1501,$A123&amp;"|"&amp;$C123,'Per Line'!$AN$2:$AN$1501,1))</f>
        <v/>
      </c>
      <c r="N123">
        <f>IF($X123="","",Settings!$C$7)</f>
        <v/>
      </c>
      <c r="O123" s="7">
        <f>IF($X123="","",SUMIFS('Per Line'!$U$2:$U$1501,'Per Line'!$AJ$2:$AJ$1501,$A123&amp;"|"&amp;$C123,'Per Line'!$AM$2:$AM$1501,0,'Per Line'!$AN$2:$AN$1501,0))</f>
        <v/>
      </c>
      <c r="P123" s="7">
        <f>IF($X123="","",O123*N123)</f>
        <v/>
      </c>
      <c r="Q123">
        <f>IF($X123="","",Settings!$C$6)</f>
        <v/>
      </c>
      <c r="R123" s="7">
        <f>IF($X123="","",SUMIFS('Per Line'!$U$2:$U$1501,'Per Line'!$AJ$2:$AJ$1501,$A123&amp;"|"&amp;$C123,'Per Line'!$AM$2:$AM$1501,1,'Per Line'!$AN$2:$AN$1501,0))</f>
        <v/>
      </c>
      <c r="S123" s="7">
        <f>IF($X123="","",R123*Q123)</f>
        <v/>
      </c>
      <c r="T123" s="7">
        <f>IF($X123="","",S123+P123)</f>
        <v/>
      </c>
      <c r="U123" s="7">
        <f>IF($X123="","",V123-T123)</f>
        <v/>
      </c>
      <c r="V123" s="7">
        <f>IF($X123="","",O123+R123+M123)</f>
        <v/>
      </c>
      <c r="W123" s="7">
        <f>IF($X123="","",V123-T123-K123)</f>
        <v/>
      </c>
      <c r="X123" s="13">
        <f>IF(ROWS($X$2:$X123)&lt;=MAX('Per Line'!$AL$2:$AL$1501),MATCH(ROWS($X$2:$X123),'Per Line'!$AL$2:$AL$1501,0),"")</f>
        <v/>
      </c>
    </row>
    <row r="124">
      <c r="A124">
        <f>IF($X124="","",INDEX('Per Line'!$C$2:$C$1501,$X124)&amp;"")</f>
        <v/>
      </c>
      <c r="B124" s="12" t="n"/>
      <c r="C124">
        <f>IF($X124="","",INDEX('Per Line'!$D$2:$D$1501,$X124)&amp;"")</f>
        <v/>
      </c>
      <c r="D124">
        <f>IF($X124="","",INDEX('Per Line'!$A$2:$A$1501,$X124))</f>
        <v/>
      </c>
      <c r="E124">
        <f>IF($X124="","",INDEX('Per Line'!$G$2:$G$1501,$X124)&amp;"")</f>
        <v/>
      </c>
      <c r="F124" s="11">
        <f>IF($X124="","",INDEX('Per Line'!$F$2:$F$1501,$X124))</f>
        <v/>
      </c>
      <c r="G124">
        <f>IF($X124="","",INDEX('Per Line'!$I$2:$I$1501,$X124)&amp;"")</f>
        <v/>
      </c>
      <c r="H124">
        <f>IF($X124="","",INDEX('Per Line'!$J$2:$J$1501,$X124)&amp;"")</f>
        <v/>
      </c>
      <c r="I124">
        <f>IF($X124="","",INDEX('Per Line'!$K$2:$K$1501,$X124)&amp;"")</f>
        <v/>
      </c>
      <c r="J124">
        <f>IF($X124="","",INDEX('Per Line'!$M$2:$M$1501,$X124))</f>
        <v/>
      </c>
      <c r="K124" s="7">
        <f>IF($X124="","",J124*V124/100)</f>
        <v/>
      </c>
      <c r="L124">
        <f>IF($X124="","",INDEX('Per Line'!$Y$2:$Y$1501,$X124)&amp;"")</f>
        <v/>
      </c>
      <c r="M124" s="7">
        <f>IF($X124="","",SUMIFS('Per Line'!$U$2:$U$1501,'Per Line'!$AJ$2:$AJ$1501,$A124&amp;"|"&amp;$C124,'Per Line'!$AN$2:$AN$1501,1))</f>
        <v/>
      </c>
      <c r="N124">
        <f>IF($X124="","",Settings!$C$7)</f>
        <v/>
      </c>
      <c r="O124" s="7">
        <f>IF($X124="","",SUMIFS('Per Line'!$U$2:$U$1501,'Per Line'!$AJ$2:$AJ$1501,$A124&amp;"|"&amp;$C124,'Per Line'!$AM$2:$AM$1501,0,'Per Line'!$AN$2:$AN$1501,0))</f>
        <v/>
      </c>
      <c r="P124" s="7">
        <f>IF($X124="","",O124*N124)</f>
        <v/>
      </c>
      <c r="Q124">
        <f>IF($X124="","",Settings!$C$6)</f>
        <v/>
      </c>
      <c r="R124" s="7">
        <f>IF($X124="","",SUMIFS('Per Line'!$U$2:$U$1501,'Per Line'!$AJ$2:$AJ$1501,$A124&amp;"|"&amp;$C124,'Per Line'!$AM$2:$AM$1501,1,'Per Line'!$AN$2:$AN$1501,0))</f>
        <v/>
      </c>
      <c r="S124" s="7">
        <f>IF($X124="","",R124*Q124)</f>
        <v/>
      </c>
      <c r="T124" s="7">
        <f>IF($X124="","",S124+P124)</f>
        <v/>
      </c>
      <c r="U124" s="7">
        <f>IF($X124="","",V124-T124)</f>
        <v/>
      </c>
      <c r="V124" s="7">
        <f>IF($X124="","",O124+R124+M124)</f>
        <v/>
      </c>
      <c r="W124" s="7">
        <f>IF($X124="","",V124-T124-K124)</f>
        <v/>
      </c>
      <c r="X124" s="13">
        <f>IF(ROWS($X$2:$X124)&lt;=MAX('Per Line'!$AL$2:$AL$1501),MATCH(ROWS($X$2:$X124),'Per Line'!$AL$2:$AL$1501,0),"")</f>
        <v/>
      </c>
    </row>
    <row r="125">
      <c r="A125">
        <f>IF($X125="","",INDEX('Per Line'!$C$2:$C$1501,$X125)&amp;"")</f>
        <v/>
      </c>
      <c r="B125" s="12" t="n"/>
      <c r="C125">
        <f>IF($X125="","",INDEX('Per Line'!$D$2:$D$1501,$X125)&amp;"")</f>
        <v/>
      </c>
      <c r="D125">
        <f>IF($X125="","",INDEX('Per Line'!$A$2:$A$1501,$X125))</f>
        <v/>
      </c>
      <c r="E125">
        <f>IF($X125="","",INDEX('Per Line'!$G$2:$G$1501,$X125)&amp;"")</f>
        <v/>
      </c>
      <c r="F125" s="11">
        <f>IF($X125="","",INDEX('Per Line'!$F$2:$F$1501,$X125))</f>
        <v/>
      </c>
      <c r="G125">
        <f>IF($X125="","",INDEX('Per Line'!$I$2:$I$1501,$X125)&amp;"")</f>
        <v/>
      </c>
      <c r="H125">
        <f>IF($X125="","",INDEX('Per Line'!$J$2:$J$1501,$X125)&amp;"")</f>
        <v/>
      </c>
      <c r="I125">
        <f>IF($X125="","",INDEX('Per Line'!$K$2:$K$1501,$X125)&amp;"")</f>
        <v/>
      </c>
      <c r="J125">
        <f>IF($X125="","",INDEX('Per Line'!$M$2:$M$1501,$X125))</f>
        <v/>
      </c>
      <c r="K125" s="7">
        <f>IF($X125="","",J125*V125/100)</f>
        <v/>
      </c>
      <c r="L125">
        <f>IF($X125="","",INDEX('Per Line'!$Y$2:$Y$1501,$X125)&amp;"")</f>
        <v/>
      </c>
      <c r="M125" s="7">
        <f>IF($X125="","",SUMIFS('Per Line'!$U$2:$U$1501,'Per Line'!$AJ$2:$AJ$1501,$A125&amp;"|"&amp;$C125,'Per Line'!$AN$2:$AN$1501,1))</f>
        <v/>
      </c>
      <c r="N125">
        <f>IF($X125="","",Settings!$C$7)</f>
        <v/>
      </c>
      <c r="O125" s="7">
        <f>IF($X125="","",SUMIFS('Per Line'!$U$2:$U$1501,'Per Line'!$AJ$2:$AJ$1501,$A125&amp;"|"&amp;$C125,'Per Line'!$AM$2:$AM$1501,0,'Per Line'!$AN$2:$AN$1501,0))</f>
        <v/>
      </c>
      <c r="P125" s="7">
        <f>IF($X125="","",O125*N125)</f>
        <v/>
      </c>
      <c r="Q125">
        <f>IF($X125="","",Settings!$C$6)</f>
        <v/>
      </c>
      <c r="R125" s="7">
        <f>IF($X125="","",SUMIFS('Per Line'!$U$2:$U$1501,'Per Line'!$AJ$2:$AJ$1501,$A125&amp;"|"&amp;$C125,'Per Line'!$AM$2:$AM$1501,1,'Per Line'!$AN$2:$AN$1501,0))</f>
        <v/>
      </c>
      <c r="S125" s="7">
        <f>IF($X125="","",R125*Q125)</f>
        <v/>
      </c>
      <c r="T125" s="7">
        <f>IF($X125="","",S125+P125)</f>
        <v/>
      </c>
      <c r="U125" s="7">
        <f>IF($X125="","",V125-T125)</f>
        <v/>
      </c>
      <c r="V125" s="7">
        <f>IF($X125="","",O125+R125+M125)</f>
        <v/>
      </c>
      <c r="W125" s="7">
        <f>IF($X125="","",V125-T125-K125)</f>
        <v/>
      </c>
      <c r="X125" s="13">
        <f>IF(ROWS($X$2:$X125)&lt;=MAX('Per Line'!$AL$2:$AL$1501),MATCH(ROWS($X$2:$X125),'Per Line'!$AL$2:$AL$1501,0),"")</f>
        <v/>
      </c>
    </row>
    <row r="126">
      <c r="A126">
        <f>IF($X126="","",INDEX('Per Line'!$C$2:$C$1501,$X126)&amp;"")</f>
        <v/>
      </c>
      <c r="B126" s="12" t="n"/>
      <c r="C126">
        <f>IF($X126="","",INDEX('Per Line'!$D$2:$D$1501,$X126)&amp;"")</f>
        <v/>
      </c>
      <c r="D126">
        <f>IF($X126="","",INDEX('Per Line'!$A$2:$A$1501,$X126))</f>
        <v/>
      </c>
      <c r="E126">
        <f>IF($X126="","",INDEX('Per Line'!$G$2:$G$1501,$X126)&amp;"")</f>
        <v/>
      </c>
      <c r="F126" s="11">
        <f>IF($X126="","",INDEX('Per Line'!$F$2:$F$1501,$X126))</f>
        <v/>
      </c>
      <c r="G126">
        <f>IF($X126="","",INDEX('Per Line'!$I$2:$I$1501,$X126)&amp;"")</f>
        <v/>
      </c>
      <c r="H126">
        <f>IF($X126="","",INDEX('Per Line'!$J$2:$J$1501,$X126)&amp;"")</f>
        <v/>
      </c>
      <c r="I126">
        <f>IF($X126="","",INDEX('Per Line'!$K$2:$K$1501,$X126)&amp;"")</f>
        <v/>
      </c>
      <c r="J126">
        <f>IF($X126="","",INDEX('Per Line'!$M$2:$M$1501,$X126))</f>
        <v/>
      </c>
      <c r="K126" s="7">
        <f>IF($X126="","",J126*V126/100)</f>
        <v/>
      </c>
      <c r="L126">
        <f>IF($X126="","",INDEX('Per Line'!$Y$2:$Y$1501,$X126)&amp;"")</f>
        <v/>
      </c>
      <c r="M126" s="7">
        <f>IF($X126="","",SUMIFS('Per Line'!$U$2:$U$1501,'Per Line'!$AJ$2:$AJ$1501,$A126&amp;"|"&amp;$C126,'Per Line'!$AN$2:$AN$1501,1))</f>
        <v/>
      </c>
      <c r="N126">
        <f>IF($X126="","",Settings!$C$7)</f>
        <v/>
      </c>
      <c r="O126" s="7">
        <f>IF($X126="","",SUMIFS('Per Line'!$U$2:$U$1501,'Per Line'!$AJ$2:$AJ$1501,$A126&amp;"|"&amp;$C126,'Per Line'!$AM$2:$AM$1501,0,'Per Line'!$AN$2:$AN$1501,0))</f>
        <v/>
      </c>
      <c r="P126" s="7">
        <f>IF($X126="","",O126*N126)</f>
        <v/>
      </c>
      <c r="Q126">
        <f>IF($X126="","",Settings!$C$6)</f>
        <v/>
      </c>
      <c r="R126" s="7">
        <f>IF($X126="","",SUMIFS('Per Line'!$U$2:$U$1501,'Per Line'!$AJ$2:$AJ$1501,$A126&amp;"|"&amp;$C126,'Per Line'!$AM$2:$AM$1501,1,'Per Line'!$AN$2:$AN$1501,0))</f>
        <v/>
      </c>
      <c r="S126" s="7">
        <f>IF($X126="","",R126*Q126)</f>
        <v/>
      </c>
      <c r="T126" s="7">
        <f>IF($X126="","",S126+P126)</f>
        <v/>
      </c>
      <c r="U126" s="7">
        <f>IF($X126="","",V126-T126)</f>
        <v/>
      </c>
      <c r="V126" s="7">
        <f>IF($X126="","",O126+R126+M126)</f>
        <v/>
      </c>
      <c r="W126" s="7">
        <f>IF($X126="","",V126-T126-K126)</f>
        <v/>
      </c>
      <c r="X126" s="13">
        <f>IF(ROWS($X$2:$X126)&lt;=MAX('Per Line'!$AL$2:$AL$1501),MATCH(ROWS($X$2:$X126),'Per Line'!$AL$2:$AL$1501,0),"")</f>
        <v/>
      </c>
    </row>
    <row r="127">
      <c r="A127">
        <f>IF($X127="","",INDEX('Per Line'!$C$2:$C$1501,$X127)&amp;"")</f>
        <v/>
      </c>
      <c r="B127" s="12" t="n"/>
      <c r="C127">
        <f>IF($X127="","",INDEX('Per Line'!$D$2:$D$1501,$X127)&amp;"")</f>
        <v/>
      </c>
      <c r="D127">
        <f>IF($X127="","",INDEX('Per Line'!$A$2:$A$1501,$X127))</f>
        <v/>
      </c>
      <c r="E127">
        <f>IF($X127="","",INDEX('Per Line'!$G$2:$G$1501,$X127)&amp;"")</f>
        <v/>
      </c>
      <c r="F127" s="11">
        <f>IF($X127="","",INDEX('Per Line'!$F$2:$F$1501,$X127))</f>
        <v/>
      </c>
      <c r="G127">
        <f>IF($X127="","",INDEX('Per Line'!$I$2:$I$1501,$X127)&amp;"")</f>
        <v/>
      </c>
      <c r="H127">
        <f>IF($X127="","",INDEX('Per Line'!$J$2:$J$1501,$X127)&amp;"")</f>
        <v/>
      </c>
      <c r="I127">
        <f>IF($X127="","",INDEX('Per Line'!$K$2:$K$1501,$X127)&amp;"")</f>
        <v/>
      </c>
      <c r="J127">
        <f>IF($X127="","",INDEX('Per Line'!$M$2:$M$1501,$X127))</f>
        <v/>
      </c>
      <c r="K127" s="7">
        <f>IF($X127="","",J127*V127/100)</f>
        <v/>
      </c>
      <c r="L127">
        <f>IF($X127="","",INDEX('Per Line'!$Y$2:$Y$1501,$X127)&amp;"")</f>
        <v/>
      </c>
      <c r="M127" s="7">
        <f>IF($X127="","",SUMIFS('Per Line'!$U$2:$U$1501,'Per Line'!$AJ$2:$AJ$1501,$A127&amp;"|"&amp;$C127,'Per Line'!$AN$2:$AN$1501,1))</f>
        <v/>
      </c>
      <c r="N127">
        <f>IF($X127="","",Settings!$C$7)</f>
        <v/>
      </c>
      <c r="O127" s="7">
        <f>IF($X127="","",SUMIFS('Per Line'!$U$2:$U$1501,'Per Line'!$AJ$2:$AJ$1501,$A127&amp;"|"&amp;$C127,'Per Line'!$AM$2:$AM$1501,0,'Per Line'!$AN$2:$AN$1501,0))</f>
        <v/>
      </c>
      <c r="P127" s="7">
        <f>IF($X127="","",O127*N127)</f>
        <v/>
      </c>
      <c r="Q127">
        <f>IF($X127="","",Settings!$C$6)</f>
        <v/>
      </c>
      <c r="R127" s="7">
        <f>IF($X127="","",SUMIFS('Per Line'!$U$2:$U$1501,'Per Line'!$AJ$2:$AJ$1501,$A127&amp;"|"&amp;$C127,'Per Line'!$AM$2:$AM$1501,1,'Per Line'!$AN$2:$AN$1501,0))</f>
        <v/>
      </c>
      <c r="S127" s="7">
        <f>IF($X127="","",R127*Q127)</f>
        <v/>
      </c>
      <c r="T127" s="7">
        <f>IF($X127="","",S127+P127)</f>
        <v/>
      </c>
      <c r="U127" s="7">
        <f>IF($X127="","",V127-T127)</f>
        <v/>
      </c>
      <c r="V127" s="7">
        <f>IF($X127="","",O127+R127+M127)</f>
        <v/>
      </c>
      <c r="W127" s="7">
        <f>IF($X127="","",V127-T127-K127)</f>
        <v/>
      </c>
      <c r="X127" s="13">
        <f>IF(ROWS($X$2:$X127)&lt;=MAX('Per Line'!$AL$2:$AL$1501),MATCH(ROWS($X$2:$X127),'Per Line'!$AL$2:$AL$1501,0),"")</f>
        <v/>
      </c>
    </row>
    <row r="128">
      <c r="A128">
        <f>IF($X128="","",INDEX('Per Line'!$C$2:$C$1501,$X128)&amp;"")</f>
        <v/>
      </c>
      <c r="B128" s="12" t="n"/>
      <c r="C128">
        <f>IF($X128="","",INDEX('Per Line'!$D$2:$D$1501,$X128)&amp;"")</f>
        <v/>
      </c>
      <c r="D128">
        <f>IF($X128="","",INDEX('Per Line'!$A$2:$A$1501,$X128))</f>
        <v/>
      </c>
      <c r="E128">
        <f>IF($X128="","",INDEX('Per Line'!$G$2:$G$1501,$X128)&amp;"")</f>
        <v/>
      </c>
      <c r="F128" s="11">
        <f>IF($X128="","",INDEX('Per Line'!$F$2:$F$1501,$X128))</f>
        <v/>
      </c>
      <c r="G128">
        <f>IF($X128="","",INDEX('Per Line'!$I$2:$I$1501,$X128)&amp;"")</f>
        <v/>
      </c>
      <c r="H128">
        <f>IF($X128="","",INDEX('Per Line'!$J$2:$J$1501,$X128)&amp;"")</f>
        <v/>
      </c>
      <c r="I128">
        <f>IF($X128="","",INDEX('Per Line'!$K$2:$K$1501,$X128)&amp;"")</f>
        <v/>
      </c>
      <c r="J128">
        <f>IF($X128="","",INDEX('Per Line'!$M$2:$M$1501,$X128))</f>
        <v/>
      </c>
      <c r="K128" s="7">
        <f>IF($X128="","",J128*V128/100)</f>
        <v/>
      </c>
      <c r="L128">
        <f>IF($X128="","",INDEX('Per Line'!$Y$2:$Y$1501,$X128)&amp;"")</f>
        <v/>
      </c>
      <c r="M128" s="7">
        <f>IF($X128="","",SUMIFS('Per Line'!$U$2:$U$1501,'Per Line'!$AJ$2:$AJ$1501,$A128&amp;"|"&amp;$C128,'Per Line'!$AN$2:$AN$1501,1))</f>
        <v/>
      </c>
      <c r="N128">
        <f>IF($X128="","",Settings!$C$7)</f>
        <v/>
      </c>
      <c r="O128" s="7">
        <f>IF($X128="","",SUMIFS('Per Line'!$U$2:$U$1501,'Per Line'!$AJ$2:$AJ$1501,$A128&amp;"|"&amp;$C128,'Per Line'!$AM$2:$AM$1501,0,'Per Line'!$AN$2:$AN$1501,0))</f>
        <v/>
      </c>
      <c r="P128" s="7">
        <f>IF($X128="","",O128*N128)</f>
        <v/>
      </c>
      <c r="Q128">
        <f>IF($X128="","",Settings!$C$6)</f>
        <v/>
      </c>
      <c r="R128" s="7">
        <f>IF($X128="","",SUMIFS('Per Line'!$U$2:$U$1501,'Per Line'!$AJ$2:$AJ$1501,$A128&amp;"|"&amp;$C128,'Per Line'!$AM$2:$AM$1501,1,'Per Line'!$AN$2:$AN$1501,0))</f>
        <v/>
      </c>
      <c r="S128" s="7">
        <f>IF($X128="","",R128*Q128)</f>
        <v/>
      </c>
      <c r="T128" s="7">
        <f>IF($X128="","",S128+P128)</f>
        <v/>
      </c>
      <c r="U128" s="7">
        <f>IF($X128="","",V128-T128)</f>
        <v/>
      </c>
      <c r="V128" s="7">
        <f>IF($X128="","",O128+R128+M128)</f>
        <v/>
      </c>
      <c r="W128" s="7">
        <f>IF($X128="","",V128-T128-K128)</f>
        <v/>
      </c>
      <c r="X128" s="13">
        <f>IF(ROWS($X$2:$X128)&lt;=MAX('Per Line'!$AL$2:$AL$1501),MATCH(ROWS($X$2:$X128),'Per Line'!$AL$2:$AL$1501,0),"")</f>
        <v/>
      </c>
    </row>
    <row r="129">
      <c r="A129">
        <f>IF($X129="","",INDEX('Per Line'!$C$2:$C$1501,$X129)&amp;"")</f>
        <v/>
      </c>
      <c r="B129" s="12" t="n"/>
      <c r="C129">
        <f>IF($X129="","",INDEX('Per Line'!$D$2:$D$1501,$X129)&amp;"")</f>
        <v/>
      </c>
      <c r="D129">
        <f>IF($X129="","",INDEX('Per Line'!$A$2:$A$1501,$X129))</f>
        <v/>
      </c>
      <c r="E129">
        <f>IF($X129="","",INDEX('Per Line'!$G$2:$G$1501,$X129)&amp;"")</f>
        <v/>
      </c>
      <c r="F129" s="11">
        <f>IF($X129="","",INDEX('Per Line'!$F$2:$F$1501,$X129))</f>
        <v/>
      </c>
      <c r="G129">
        <f>IF($X129="","",INDEX('Per Line'!$I$2:$I$1501,$X129)&amp;"")</f>
        <v/>
      </c>
      <c r="H129">
        <f>IF($X129="","",INDEX('Per Line'!$J$2:$J$1501,$X129)&amp;"")</f>
        <v/>
      </c>
      <c r="I129">
        <f>IF($X129="","",INDEX('Per Line'!$K$2:$K$1501,$X129)&amp;"")</f>
        <v/>
      </c>
      <c r="J129">
        <f>IF($X129="","",INDEX('Per Line'!$M$2:$M$1501,$X129))</f>
        <v/>
      </c>
      <c r="K129" s="7">
        <f>IF($X129="","",J129*V129/100)</f>
        <v/>
      </c>
      <c r="L129">
        <f>IF($X129="","",INDEX('Per Line'!$Y$2:$Y$1501,$X129)&amp;"")</f>
        <v/>
      </c>
      <c r="M129" s="7">
        <f>IF($X129="","",SUMIFS('Per Line'!$U$2:$U$1501,'Per Line'!$AJ$2:$AJ$1501,$A129&amp;"|"&amp;$C129,'Per Line'!$AN$2:$AN$1501,1))</f>
        <v/>
      </c>
      <c r="N129">
        <f>IF($X129="","",Settings!$C$7)</f>
        <v/>
      </c>
      <c r="O129" s="7">
        <f>IF($X129="","",SUMIFS('Per Line'!$U$2:$U$1501,'Per Line'!$AJ$2:$AJ$1501,$A129&amp;"|"&amp;$C129,'Per Line'!$AM$2:$AM$1501,0,'Per Line'!$AN$2:$AN$1501,0))</f>
        <v/>
      </c>
      <c r="P129" s="7">
        <f>IF($X129="","",O129*N129)</f>
        <v/>
      </c>
      <c r="Q129">
        <f>IF($X129="","",Settings!$C$6)</f>
        <v/>
      </c>
      <c r="R129" s="7">
        <f>IF($X129="","",SUMIFS('Per Line'!$U$2:$U$1501,'Per Line'!$AJ$2:$AJ$1501,$A129&amp;"|"&amp;$C129,'Per Line'!$AM$2:$AM$1501,1,'Per Line'!$AN$2:$AN$1501,0))</f>
        <v/>
      </c>
      <c r="S129" s="7">
        <f>IF($X129="","",R129*Q129)</f>
        <v/>
      </c>
      <c r="T129" s="7">
        <f>IF($X129="","",S129+P129)</f>
        <v/>
      </c>
      <c r="U129" s="7">
        <f>IF($X129="","",V129-T129)</f>
        <v/>
      </c>
      <c r="V129" s="7">
        <f>IF($X129="","",O129+R129+M129)</f>
        <v/>
      </c>
      <c r="W129" s="7">
        <f>IF($X129="","",V129-T129-K129)</f>
        <v/>
      </c>
      <c r="X129" s="13">
        <f>IF(ROWS($X$2:$X129)&lt;=MAX('Per Line'!$AL$2:$AL$1501),MATCH(ROWS($X$2:$X129),'Per Line'!$AL$2:$AL$1501,0),"")</f>
        <v/>
      </c>
    </row>
    <row r="130">
      <c r="A130">
        <f>IF($X130="","",INDEX('Per Line'!$C$2:$C$1501,$X130)&amp;"")</f>
        <v/>
      </c>
      <c r="B130" s="12" t="n"/>
      <c r="C130">
        <f>IF($X130="","",INDEX('Per Line'!$D$2:$D$1501,$X130)&amp;"")</f>
        <v/>
      </c>
      <c r="D130">
        <f>IF($X130="","",INDEX('Per Line'!$A$2:$A$1501,$X130))</f>
        <v/>
      </c>
      <c r="E130">
        <f>IF($X130="","",INDEX('Per Line'!$G$2:$G$1501,$X130)&amp;"")</f>
        <v/>
      </c>
      <c r="F130" s="11">
        <f>IF($X130="","",INDEX('Per Line'!$F$2:$F$1501,$X130))</f>
        <v/>
      </c>
      <c r="G130">
        <f>IF($X130="","",INDEX('Per Line'!$I$2:$I$1501,$X130)&amp;"")</f>
        <v/>
      </c>
      <c r="H130">
        <f>IF($X130="","",INDEX('Per Line'!$J$2:$J$1501,$X130)&amp;"")</f>
        <v/>
      </c>
      <c r="I130">
        <f>IF($X130="","",INDEX('Per Line'!$K$2:$K$1501,$X130)&amp;"")</f>
        <v/>
      </c>
      <c r="J130">
        <f>IF($X130="","",INDEX('Per Line'!$M$2:$M$1501,$X130))</f>
        <v/>
      </c>
      <c r="K130" s="7">
        <f>IF($X130="","",J130*V130/100)</f>
        <v/>
      </c>
      <c r="L130">
        <f>IF($X130="","",INDEX('Per Line'!$Y$2:$Y$1501,$X130)&amp;"")</f>
        <v/>
      </c>
      <c r="M130" s="7">
        <f>IF($X130="","",SUMIFS('Per Line'!$U$2:$U$1501,'Per Line'!$AJ$2:$AJ$1501,$A130&amp;"|"&amp;$C130,'Per Line'!$AN$2:$AN$1501,1))</f>
        <v/>
      </c>
      <c r="N130">
        <f>IF($X130="","",Settings!$C$7)</f>
        <v/>
      </c>
      <c r="O130" s="7">
        <f>IF($X130="","",SUMIFS('Per Line'!$U$2:$U$1501,'Per Line'!$AJ$2:$AJ$1501,$A130&amp;"|"&amp;$C130,'Per Line'!$AM$2:$AM$1501,0,'Per Line'!$AN$2:$AN$1501,0))</f>
        <v/>
      </c>
      <c r="P130" s="7">
        <f>IF($X130="","",O130*N130)</f>
        <v/>
      </c>
      <c r="Q130">
        <f>IF($X130="","",Settings!$C$6)</f>
        <v/>
      </c>
      <c r="R130" s="7">
        <f>IF($X130="","",SUMIFS('Per Line'!$U$2:$U$1501,'Per Line'!$AJ$2:$AJ$1501,$A130&amp;"|"&amp;$C130,'Per Line'!$AM$2:$AM$1501,1,'Per Line'!$AN$2:$AN$1501,0))</f>
        <v/>
      </c>
      <c r="S130" s="7">
        <f>IF($X130="","",R130*Q130)</f>
        <v/>
      </c>
      <c r="T130" s="7">
        <f>IF($X130="","",S130+P130)</f>
        <v/>
      </c>
      <c r="U130" s="7">
        <f>IF($X130="","",V130-T130)</f>
        <v/>
      </c>
      <c r="V130" s="7">
        <f>IF($X130="","",O130+R130+M130)</f>
        <v/>
      </c>
      <c r="W130" s="7">
        <f>IF($X130="","",V130-T130-K130)</f>
        <v/>
      </c>
      <c r="X130" s="13">
        <f>IF(ROWS($X$2:$X130)&lt;=MAX('Per Line'!$AL$2:$AL$1501),MATCH(ROWS($X$2:$X130),'Per Line'!$AL$2:$AL$1501,0),"")</f>
        <v/>
      </c>
    </row>
    <row r="131">
      <c r="A131">
        <f>IF($X131="","",INDEX('Per Line'!$C$2:$C$1501,$X131)&amp;"")</f>
        <v/>
      </c>
      <c r="B131" s="12" t="n"/>
      <c r="C131">
        <f>IF($X131="","",INDEX('Per Line'!$D$2:$D$1501,$X131)&amp;"")</f>
        <v/>
      </c>
      <c r="D131">
        <f>IF($X131="","",INDEX('Per Line'!$A$2:$A$1501,$X131))</f>
        <v/>
      </c>
      <c r="E131">
        <f>IF($X131="","",INDEX('Per Line'!$G$2:$G$1501,$X131)&amp;"")</f>
        <v/>
      </c>
      <c r="F131" s="11">
        <f>IF($X131="","",INDEX('Per Line'!$F$2:$F$1501,$X131))</f>
        <v/>
      </c>
      <c r="G131">
        <f>IF($X131="","",INDEX('Per Line'!$I$2:$I$1501,$X131)&amp;"")</f>
        <v/>
      </c>
      <c r="H131">
        <f>IF($X131="","",INDEX('Per Line'!$J$2:$J$1501,$X131)&amp;"")</f>
        <v/>
      </c>
      <c r="I131">
        <f>IF($X131="","",INDEX('Per Line'!$K$2:$K$1501,$X131)&amp;"")</f>
        <v/>
      </c>
      <c r="J131">
        <f>IF($X131="","",INDEX('Per Line'!$M$2:$M$1501,$X131))</f>
        <v/>
      </c>
      <c r="K131" s="7">
        <f>IF($X131="","",J131*V131/100)</f>
        <v/>
      </c>
      <c r="L131">
        <f>IF($X131="","",INDEX('Per Line'!$Y$2:$Y$1501,$X131)&amp;"")</f>
        <v/>
      </c>
      <c r="M131" s="7">
        <f>IF($X131="","",SUMIFS('Per Line'!$U$2:$U$1501,'Per Line'!$AJ$2:$AJ$1501,$A131&amp;"|"&amp;$C131,'Per Line'!$AN$2:$AN$1501,1))</f>
        <v/>
      </c>
      <c r="N131">
        <f>IF($X131="","",Settings!$C$7)</f>
        <v/>
      </c>
      <c r="O131" s="7">
        <f>IF($X131="","",SUMIFS('Per Line'!$U$2:$U$1501,'Per Line'!$AJ$2:$AJ$1501,$A131&amp;"|"&amp;$C131,'Per Line'!$AM$2:$AM$1501,0,'Per Line'!$AN$2:$AN$1501,0))</f>
        <v/>
      </c>
      <c r="P131" s="7">
        <f>IF($X131="","",O131*N131)</f>
        <v/>
      </c>
      <c r="Q131">
        <f>IF($X131="","",Settings!$C$6)</f>
        <v/>
      </c>
      <c r="R131" s="7">
        <f>IF($X131="","",SUMIFS('Per Line'!$U$2:$U$1501,'Per Line'!$AJ$2:$AJ$1501,$A131&amp;"|"&amp;$C131,'Per Line'!$AM$2:$AM$1501,1,'Per Line'!$AN$2:$AN$1501,0))</f>
        <v/>
      </c>
      <c r="S131" s="7">
        <f>IF($X131="","",R131*Q131)</f>
        <v/>
      </c>
      <c r="T131" s="7">
        <f>IF($X131="","",S131+P131)</f>
        <v/>
      </c>
      <c r="U131" s="7">
        <f>IF($X131="","",V131-T131)</f>
        <v/>
      </c>
      <c r="V131" s="7">
        <f>IF($X131="","",O131+R131+M131)</f>
        <v/>
      </c>
      <c r="W131" s="7">
        <f>IF($X131="","",V131-T131-K131)</f>
        <v/>
      </c>
      <c r="X131" s="13">
        <f>IF(ROWS($X$2:$X131)&lt;=MAX('Per Line'!$AL$2:$AL$1501),MATCH(ROWS($X$2:$X131),'Per Line'!$AL$2:$AL$1501,0),"")</f>
        <v/>
      </c>
    </row>
    <row r="132">
      <c r="A132">
        <f>IF($X132="","",INDEX('Per Line'!$C$2:$C$1501,$X132)&amp;"")</f>
        <v/>
      </c>
      <c r="B132" s="12" t="n"/>
      <c r="C132">
        <f>IF($X132="","",INDEX('Per Line'!$D$2:$D$1501,$X132)&amp;"")</f>
        <v/>
      </c>
      <c r="D132">
        <f>IF($X132="","",INDEX('Per Line'!$A$2:$A$1501,$X132))</f>
        <v/>
      </c>
      <c r="E132">
        <f>IF($X132="","",INDEX('Per Line'!$G$2:$G$1501,$X132)&amp;"")</f>
        <v/>
      </c>
      <c r="F132" s="11">
        <f>IF($X132="","",INDEX('Per Line'!$F$2:$F$1501,$X132))</f>
        <v/>
      </c>
      <c r="G132">
        <f>IF($X132="","",INDEX('Per Line'!$I$2:$I$1501,$X132)&amp;"")</f>
        <v/>
      </c>
      <c r="H132">
        <f>IF($X132="","",INDEX('Per Line'!$J$2:$J$1501,$X132)&amp;"")</f>
        <v/>
      </c>
      <c r="I132">
        <f>IF($X132="","",INDEX('Per Line'!$K$2:$K$1501,$X132)&amp;"")</f>
        <v/>
      </c>
      <c r="J132">
        <f>IF($X132="","",INDEX('Per Line'!$M$2:$M$1501,$X132))</f>
        <v/>
      </c>
      <c r="K132" s="7">
        <f>IF($X132="","",J132*V132/100)</f>
        <v/>
      </c>
      <c r="L132">
        <f>IF($X132="","",INDEX('Per Line'!$Y$2:$Y$1501,$X132)&amp;"")</f>
        <v/>
      </c>
      <c r="M132" s="7">
        <f>IF($X132="","",SUMIFS('Per Line'!$U$2:$U$1501,'Per Line'!$AJ$2:$AJ$1501,$A132&amp;"|"&amp;$C132,'Per Line'!$AN$2:$AN$1501,1))</f>
        <v/>
      </c>
      <c r="N132">
        <f>IF($X132="","",Settings!$C$7)</f>
        <v/>
      </c>
      <c r="O132" s="7">
        <f>IF($X132="","",SUMIFS('Per Line'!$U$2:$U$1501,'Per Line'!$AJ$2:$AJ$1501,$A132&amp;"|"&amp;$C132,'Per Line'!$AM$2:$AM$1501,0,'Per Line'!$AN$2:$AN$1501,0))</f>
        <v/>
      </c>
      <c r="P132" s="7">
        <f>IF($X132="","",O132*N132)</f>
        <v/>
      </c>
      <c r="Q132">
        <f>IF($X132="","",Settings!$C$6)</f>
        <v/>
      </c>
      <c r="R132" s="7">
        <f>IF($X132="","",SUMIFS('Per Line'!$U$2:$U$1501,'Per Line'!$AJ$2:$AJ$1501,$A132&amp;"|"&amp;$C132,'Per Line'!$AM$2:$AM$1501,1,'Per Line'!$AN$2:$AN$1501,0))</f>
        <v/>
      </c>
      <c r="S132" s="7">
        <f>IF($X132="","",R132*Q132)</f>
        <v/>
      </c>
      <c r="T132" s="7">
        <f>IF($X132="","",S132+P132)</f>
        <v/>
      </c>
      <c r="U132" s="7">
        <f>IF($X132="","",V132-T132)</f>
        <v/>
      </c>
      <c r="V132" s="7">
        <f>IF($X132="","",O132+R132+M132)</f>
        <v/>
      </c>
      <c r="W132" s="7">
        <f>IF($X132="","",V132-T132-K132)</f>
        <v/>
      </c>
      <c r="X132" s="13">
        <f>IF(ROWS($X$2:$X132)&lt;=MAX('Per Line'!$AL$2:$AL$1501),MATCH(ROWS($X$2:$X132),'Per Line'!$AL$2:$AL$1501,0),"")</f>
        <v/>
      </c>
    </row>
    <row r="133">
      <c r="A133">
        <f>IF($X133="","",INDEX('Per Line'!$C$2:$C$1501,$X133)&amp;"")</f>
        <v/>
      </c>
      <c r="B133" s="12" t="n"/>
      <c r="C133">
        <f>IF($X133="","",INDEX('Per Line'!$D$2:$D$1501,$X133)&amp;"")</f>
        <v/>
      </c>
      <c r="D133">
        <f>IF($X133="","",INDEX('Per Line'!$A$2:$A$1501,$X133))</f>
        <v/>
      </c>
      <c r="E133">
        <f>IF($X133="","",INDEX('Per Line'!$G$2:$G$1501,$X133)&amp;"")</f>
        <v/>
      </c>
      <c r="F133" s="11">
        <f>IF($X133="","",INDEX('Per Line'!$F$2:$F$1501,$X133))</f>
        <v/>
      </c>
      <c r="G133">
        <f>IF($X133="","",INDEX('Per Line'!$I$2:$I$1501,$X133)&amp;"")</f>
        <v/>
      </c>
      <c r="H133">
        <f>IF($X133="","",INDEX('Per Line'!$J$2:$J$1501,$X133)&amp;"")</f>
        <v/>
      </c>
      <c r="I133">
        <f>IF($X133="","",INDEX('Per Line'!$K$2:$K$1501,$X133)&amp;"")</f>
        <v/>
      </c>
      <c r="J133">
        <f>IF($X133="","",INDEX('Per Line'!$M$2:$M$1501,$X133))</f>
        <v/>
      </c>
      <c r="K133" s="7">
        <f>IF($X133="","",J133*V133/100)</f>
        <v/>
      </c>
      <c r="L133">
        <f>IF($X133="","",INDEX('Per Line'!$Y$2:$Y$1501,$X133)&amp;"")</f>
        <v/>
      </c>
      <c r="M133" s="7">
        <f>IF($X133="","",SUMIFS('Per Line'!$U$2:$U$1501,'Per Line'!$AJ$2:$AJ$1501,$A133&amp;"|"&amp;$C133,'Per Line'!$AN$2:$AN$1501,1))</f>
        <v/>
      </c>
      <c r="N133">
        <f>IF($X133="","",Settings!$C$7)</f>
        <v/>
      </c>
      <c r="O133" s="7">
        <f>IF($X133="","",SUMIFS('Per Line'!$U$2:$U$1501,'Per Line'!$AJ$2:$AJ$1501,$A133&amp;"|"&amp;$C133,'Per Line'!$AM$2:$AM$1501,0,'Per Line'!$AN$2:$AN$1501,0))</f>
        <v/>
      </c>
      <c r="P133" s="7">
        <f>IF($X133="","",O133*N133)</f>
        <v/>
      </c>
      <c r="Q133">
        <f>IF($X133="","",Settings!$C$6)</f>
        <v/>
      </c>
      <c r="R133" s="7">
        <f>IF($X133="","",SUMIFS('Per Line'!$U$2:$U$1501,'Per Line'!$AJ$2:$AJ$1501,$A133&amp;"|"&amp;$C133,'Per Line'!$AM$2:$AM$1501,1,'Per Line'!$AN$2:$AN$1501,0))</f>
        <v/>
      </c>
      <c r="S133" s="7">
        <f>IF($X133="","",R133*Q133)</f>
        <v/>
      </c>
      <c r="T133" s="7">
        <f>IF($X133="","",S133+P133)</f>
        <v/>
      </c>
      <c r="U133" s="7">
        <f>IF($X133="","",V133-T133)</f>
        <v/>
      </c>
      <c r="V133" s="7">
        <f>IF($X133="","",O133+R133+M133)</f>
        <v/>
      </c>
      <c r="W133" s="7">
        <f>IF($X133="","",V133-T133-K133)</f>
        <v/>
      </c>
      <c r="X133" s="13">
        <f>IF(ROWS($X$2:$X133)&lt;=MAX('Per Line'!$AL$2:$AL$1501),MATCH(ROWS($X$2:$X133),'Per Line'!$AL$2:$AL$1501,0),"")</f>
        <v/>
      </c>
    </row>
    <row r="134">
      <c r="A134">
        <f>IF($X134="","",INDEX('Per Line'!$C$2:$C$1501,$X134)&amp;"")</f>
        <v/>
      </c>
      <c r="B134" s="12" t="n"/>
      <c r="C134">
        <f>IF($X134="","",INDEX('Per Line'!$D$2:$D$1501,$X134)&amp;"")</f>
        <v/>
      </c>
      <c r="D134">
        <f>IF($X134="","",INDEX('Per Line'!$A$2:$A$1501,$X134))</f>
        <v/>
      </c>
      <c r="E134">
        <f>IF($X134="","",INDEX('Per Line'!$G$2:$G$1501,$X134)&amp;"")</f>
        <v/>
      </c>
      <c r="F134" s="11">
        <f>IF($X134="","",INDEX('Per Line'!$F$2:$F$1501,$X134))</f>
        <v/>
      </c>
      <c r="G134">
        <f>IF($X134="","",INDEX('Per Line'!$I$2:$I$1501,$X134)&amp;"")</f>
        <v/>
      </c>
      <c r="H134">
        <f>IF($X134="","",INDEX('Per Line'!$J$2:$J$1501,$X134)&amp;"")</f>
        <v/>
      </c>
      <c r="I134">
        <f>IF($X134="","",INDEX('Per Line'!$K$2:$K$1501,$X134)&amp;"")</f>
        <v/>
      </c>
      <c r="J134">
        <f>IF($X134="","",INDEX('Per Line'!$M$2:$M$1501,$X134))</f>
        <v/>
      </c>
      <c r="K134" s="7">
        <f>IF($X134="","",J134*V134/100)</f>
        <v/>
      </c>
      <c r="L134">
        <f>IF($X134="","",INDEX('Per Line'!$Y$2:$Y$1501,$X134)&amp;"")</f>
        <v/>
      </c>
      <c r="M134" s="7">
        <f>IF($X134="","",SUMIFS('Per Line'!$U$2:$U$1501,'Per Line'!$AJ$2:$AJ$1501,$A134&amp;"|"&amp;$C134,'Per Line'!$AN$2:$AN$1501,1))</f>
        <v/>
      </c>
      <c r="N134">
        <f>IF($X134="","",Settings!$C$7)</f>
        <v/>
      </c>
      <c r="O134" s="7">
        <f>IF($X134="","",SUMIFS('Per Line'!$U$2:$U$1501,'Per Line'!$AJ$2:$AJ$1501,$A134&amp;"|"&amp;$C134,'Per Line'!$AM$2:$AM$1501,0,'Per Line'!$AN$2:$AN$1501,0))</f>
        <v/>
      </c>
      <c r="P134" s="7">
        <f>IF($X134="","",O134*N134)</f>
        <v/>
      </c>
      <c r="Q134">
        <f>IF($X134="","",Settings!$C$6)</f>
        <v/>
      </c>
      <c r="R134" s="7">
        <f>IF($X134="","",SUMIFS('Per Line'!$U$2:$U$1501,'Per Line'!$AJ$2:$AJ$1501,$A134&amp;"|"&amp;$C134,'Per Line'!$AM$2:$AM$1501,1,'Per Line'!$AN$2:$AN$1501,0))</f>
        <v/>
      </c>
      <c r="S134" s="7">
        <f>IF($X134="","",R134*Q134)</f>
        <v/>
      </c>
      <c r="T134" s="7">
        <f>IF($X134="","",S134+P134)</f>
        <v/>
      </c>
      <c r="U134" s="7">
        <f>IF($X134="","",V134-T134)</f>
        <v/>
      </c>
      <c r="V134" s="7">
        <f>IF($X134="","",O134+R134+M134)</f>
        <v/>
      </c>
      <c r="W134" s="7">
        <f>IF($X134="","",V134-T134-K134)</f>
        <v/>
      </c>
      <c r="X134" s="13">
        <f>IF(ROWS($X$2:$X134)&lt;=MAX('Per Line'!$AL$2:$AL$1501),MATCH(ROWS($X$2:$X134),'Per Line'!$AL$2:$AL$1501,0),"")</f>
        <v/>
      </c>
    </row>
    <row r="135">
      <c r="A135">
        <f>IF($X135="","",INDEX('Per Line'!$C$2:$C$1501,$X135)&amp;"")</f>
        <v/>
      </c>
      <c r="B135" s="12" t="n"/>
      <c r="C135">
        <f>IF($X135="","",INDEX('Per Line'!$D$2:$D$1501,$X135)&amp;"")</f>
        <v/>
      </c>
      <c r="D135">
        <f>IF($X135="","",INDEX('Per Line'!$A$2:$A$1501,$X135))</f>
        <v/>
      </c>
      <c r="E135">
        <f>IF($X135="","",INDEX('Per Line'!$G$2:$G$1501,$X135)&amp;"")</f>
        <v/>
      </c>
      <c r="F135" s="11">
        <f>IF($X135="","",INDEX('Per Line'!$F$2:$F$1501,$X135))</f>
        <v/>
      </c>
      <c r="G135">
        <f>IF($X135="","",INDEX('Per Line'!$I$2:$I$1501,$X135)&amp;"")</f>
        <v/>
      </c>
      <c r="H135">
        <f>IF($X135="","",INDEX('Per Line'!$J$2:$J$1501,$X135)&amp;"")</f>
        <v/>
      </c>
      <c r="I135">
        <f>IF($X135="","",INDEX('Per Line'!$K$2:$K$1501,$X135)&amp;"")</f>
        <v/>
      </c>
      <c r="J135">
        <f>IF($X135="","",INDEX('Per Line'!$M$2:$M$1501,$X135))</f>
        <v/>
      </c>
      <c r="K135" s="7">
        <f>IF($X135="","",J135*V135/100)</f>
        <v/>
      </c>
      <c r="L135">
        <f>IF($X135="","",INDEX('Per Line'!$Y$2:$Y$1501,$X135)&amp;"")</f>
        <v/>
      </c>
      <c r="M135" s="7">
        <f>IF($X135="","",SUMIFS('Per Line'!$U$2:$U$1501,'Per Line'!$AJ$2:$AJ$1501,$A135&amp;"|"&amp;$C135,'Per Line'!$AN$2:$AN$1501,1))</f>
        <v/>
      </c>
      <c r="N135">
        <f>IF($X135="","",Settings!$C$7)</f>
        <v/>
      </c>
      <c r="O135" s="7">
        <f>IF($X135="","",SUMIFS('Per Line'!$U$2:$U$1501,'Per Line'!$AJ$2:$AJ$1501,$A135&amp;"|"&amp;$C135,'Per Line'!$AM$2:$AM$1501,0,'Per Line'!$AN$2:$AN$1501,0))</f>
        <v/>
      </c>
      <c r="P135" s="7">
        <f>IF($X135="","",O135*N135)</f>
        <v/>
      </c>
      <c r="Q135">
        <f>IF($X135="","",Settings!$C$6)</f>
        <v/>
      </c>
      <c r="R135" s="7">
        <f>IF($X135="","",SUMIFS('Per Line'!$U$2:$U$1501,'Per Line'!$AJ$2:$AJ$1501,$A135&amp;"|"&amp;$C135,'Per Line'!$AM$2:$AM$1501,1,'Per Line'!$AN$2:$AN$1501,0))</f>
        <v/>
      </c>
      <c r="S135" s="7">
        <f>IF($X135="","",R135*Q135)</f>
        <v/>
      </c>
      <c r="T135" s="7">
        <f>IF($X135="","",S135+P135)</f>
        <v/>
      </c>
      <c r="U135" s="7">
        <f>IF($X135="","",V135-T135)</f>
        <v/>
      </c>
      <c r="V135" s="7">
        <f>IF($X135="","",O135+R135+M135)</f>
        <v/>
      </c>
      <c r="W135" s="7">
        <f>IF($X135="","",V135-T135-K135)</f>
        <v/>
      </c>
      <c r="X135" s="13">
        <f>IF(ROWS($X$2:$X135)&lt;=MAX('Per Line'!$AL$2:$AL$1501),MATCH(ROWS($X$2:$X135),'Per Line'!$AL$2:$AL$1501,0),"")</f>
        <v/>
      </c>
    </row>
    <row r="136">
      <c r="A136">
        <f>IF($X136="","",INDEX('Per Line'!$C$2:$C$1501,$X136)&amp;"")</f>
        <v/>
      </c>
      <c r="B136" s="12" t="n"/>
      <c r="C136">
        <f>IF($X136="","",INDEX('Per Line'!$D$2:$D$1501,$X136)&amp;"")</f>
        <v/>
      </c>
      <c r="D136">
        <f>IF($X136="","",INDEX('Per Line'!$A$2:$A$1501,$X136))</f>
        <v/>
      </c>
      <c r="E136">
        <f>IF($X136="","",INDEX('Per Line'!$G$2:$G$1501,$X136)&amp;"")</f>
        <v/>
      </c>
      <c r="F136" s="11">
        <f>IF($X136="","",INDEX('Per Line'!$F$2:$F$1501,$X136))</f>
        <v/>
      </c>
      <c r="G136">
        <f>IF($X136="","",INDEX('Per Line'!$I$2:$I$1501,$X136)&amp;"")</f>
        <v/>
      </c>
      <c r="H136">
        <f>IF($X136="","",INDEX('Per Line'!$J$2:$J$1501,$X136)&amp;"")</f>
        <v/>
      </c>
      <c r="I136">
        <f>IF($X136="","",INDEX('Per Line'!$K$2:$K$1501,$X136)&amp;"")</f>
        <v/>
      </c>
      <c r="J136">
        <f>IF($X136="","",INDEX('Per Line'!$M$2:$M$1501,$X136))</f>
        <v/>
      </c>
      <c r="K136" s="7">
        <f>IF($X136="","",J136*V136/100)</f>
        <v/>
      </c>
      <c r="L136">
        <f>IF($X136="","",INDEX('Per Line'!$Y$2:$Y$1501,$X136)&amp;"")</f>
        <v/>
      </c>
      <c r="M136" s="7">
        <f>IF($X136="","",SUMIFS('Per Line'!$U$2:$U$1501,'Per Line'!$AJ$2:$AJ$1501,$A136&amp;"|"&amp;$C136,'Per Line'!$AN$2:$AN$1501,1))</f>
        <v/>
      </c>
      <c r="N136">
        <f>IF($X136="","",Settings!$C$7)</f>
        <v/>
      </c>
      <c r="O136" s="7">
        <f>IF($X136="","",SUMIFS('Per Line'!$U$2:$U$1501,'Per Line'!$AJ$2:$AJ$1501,$A136&amp;"|"&amp;$C136,'Per Line'!$AM$2:$AM$1501,0,'Per Line'!$AN$2:$AN$1501,0))</f>
        <v/>
      </c>
      <c r="P136" s="7">
        <f>IF($X136="","",O136*N136)</f>
        <v/>
      </c>
      <c r="Q136">
        <f>IF($X136="","",Settings!$C$6)</f>
        <v/>
      </c>
      <c r="R136" s="7">
        <f>IF($X136="","",SUMIFS('Per Line'!$U$2:$U$1501,'Per Line'!$AJ$2:$AJ$1501,$A136&amp;"|"&amp;$C136,'Per Line'!$AM$2:$AM$1501,1,'Per Line'!$AN$2:$AN$1501,0))</f>
        <v/>
      </c>
      <c r="S136" s="7">
        <f>IF($X136="","",R136*Q136)</f>
        <v/>
      </c>
      <c r="T136" s="7">
        <f>IF($X136="","",S136+P136)</f>
        <v/>
      </c>
      <c r="U136" s="7">
        <f>IF($X136="","",V136-T136)</f>
        <v/>
      </c>
      <c r="V136" s="7">
        <f>IF($X136="","",O136+R136+M136)</f>
        <v/>
      </c>
      <c r="W136" s="7">
        <f>IF($X136="","",V136-T136-K136)</f>
        <v/>
      </c>
      <c r="X136" s="13">
        <f>IF(ROWS($X$2:$X136)&lt;=MAX('Per Line'!$AL$2:$AL$1501),MATCH(ROWS($X$2:$X136),'Per Line'!$AL$2:$AL$1501,0),"")</f>
        <v/>
      </c>
    </row>
    <row r="137">
      <c r="A137">
        <f>IF($X137="","",INDEX('Per Line'!$C$2:$C$1501,$X137)&amp;"")</f>
        <v/>
      </c>
      <c r="B137" s="12" t="n"/>
      <c r="C137">
        <f>IF($X137="","",INDEX('Per Line'!$D$2:$D$1501,$X137)&amp;"")</f>
        <v/>
      </c>
      <c r="D137">
        <f>IF($X137="","",INDEX('Per Line'!$A$2:$A$1501,$X137))</f>
        <v/>
      </c>
      <c r="E137">
        <f>IF($X137="","",INDEX('Per Line'!$G$2:$G$1501,$X137)&amp;"")</f>
        <v/>
      </c>
      <c r="F137" s="11">
        <f>IF($X137="","",INDEX('Per Line'!$F$2:$F$1501,$X137))</f>
        <v/>
      </c>
      <c r="G137">
        <f>IF($X137="","",INDEX('Per Line'!$I$2:$I$1501,$X137)&amp;"")</f>
        <v/>
      </c>
      <c r="H137">
        <f>IF($X137="","",INDEX('Per Line'!$J$2:$J$1501,$X137)&amp;"")</f>
        <v/>
      </c>
      <c r="I137">
        <f>IF($X137="","",INDEX('Per Line'!$K$2:$K$1501,$X137)&amp;"")</f>
        <v/>
      </c>
      <c r="J137">
        <f>IF($X137="","",INDEX('Per Line'!$M$2:$M$1501,$X137))</f>
        <v/>
      </c>
      <c r="K137" s="7">
        <f>IF($X137="","",J137*V137/100)</f>
        <v/>
      </c>
      <c r="L137">
        <f>IF($X137="","",INDEX('Per Line'!$Y$2:$Y$1501,$X137)&amp;"")</f>
        <v/>
      </c>
      <c r="M137" s="7">
        <f>IF($X137="","",SUMIFS('Per Line'!$U$2:$U$1501,'Per Line'!$AJ$2:$AJ$1501,$A137&amp;"|"&amp;$C137,'Per Line'!$AN$2:$AN$1501,1))</f>
        <v/>
      </c>
      <c r="N137">
        <f>IF($X137="","",Settings!$C$7)</f>
        <v/>
      </c>
      <c r="O137" s="7">
        <f>IF($X137="","",SUMIFS('Per Line'!$U$2:$U$1501,'Per Line'!$AJ$2:$AJ$1501,$A137&amp;"|"&amp;$C137,'Per Line'!$AM$2:$AM$1501,0,'Per Line'!$AN$2:$AN$1501,0))</f>
        <v/>
      </c>
      <c r="P137" s="7">
        <f>IF($X137="","",O137*N137)</f>
        <v/>
      </c>
      <c r="Q137">
        <f>IF($X137="","",Settings!$C$6)</f>
        <v/>
      </c>
      <c r="R137" s="7">
        <f>IF($X137="","",SUMIFS('Per Line'!$U$2:$U$1501,'Per Line'!$AJ$2:$AJ$1501,$A137&amp;"|"&amp;$C137,'Per Line'!$AM$2:$AM$1501,1,'Per Line'!$AN$2:$AN$1501,0))</f>
        <v/>
      </c>
      <c r="S137" s="7">
        <f>IF($X137="","",R137*Q137)</f>
        <v/>
      </c>
      <c r="T137" s="7">
        <f>IF($X137="","",S137+P137)</f>
        <v/>
      </c>
      <c r="U137" s="7">
        <f>IF($X137="","",V137-T137)</f>
        <v/>
      </c>
      <c r="V137" s="7">
        <f>IF($X137="","",O137+R137+M137)</f>
        <v/>
      </c>
      <c r="W137" s="7">
        <f>IF($X137="","",V137-T137-K137)</f>
        <v/>
      </c>
      <c r="X137" s="13">
        <f>IF(ROWS($X$2:$X137)&lt;=MAX('Per Line'!$AL$2:$AL$1501),MATCH(ROWS($X$2:$X137),'Per Line'!$AL$2:$AL$1501,0),"")</f>
        <v/>
      </c>
    </row>
    <row r="138">
      <c r="A138">
        <f>IF($X138="","",INDEX('Per Line'!$C$2:$C$1501,$X138)&amp;"")</f>
        <v/>
      </c>
      <c r="B138" s="12" t="n"/>
      <c r="C138">
        <f>IF($X138="","",INDEX('Per Line'!$D$2:$D$1501,$X138)&amp;"")</f>
        <v/>
      </c>
      <c r="D138">
        <f>IF($X138="","",INDEX('Per Line'!$A$2:$A$1501,$X138))</f>
        <v/>
      </c>
      <c r="E138">
        <f>IF($X138="","",INDEX('Per Line'!$G$2:$G$1501,$X138)&amp;"")</f>
        <v/>
      </c>
      <c r="F138" s="11">
        <f>IF($X138="","",INDEX('Per Line'!$F$2:$F$1501,$X138))</f>
        <v/>
      </c>
      <c r="G138">
        <f>IF($X138="","",INDEX('Per Line'!$I$2:$I$1501,$X138)&amp;"")</f>
        <v/>
      </c>
      <c r="H138">
        <f>IF($X138="","",INDEX('Per Line'!$J$2:$J$1501,$X138)&amp;"")</f>
        <v/>
      </c>
      <c r="I138">
        <f>IF($X138="","",INDEX('Per Line'!$K$2:$K$1501,$X138)&amp;"")</f>
        <v/>
      </c>
      <c r="J138">
        <f>IF($X138="","",INDEX('Per Line'!$M$2:$M$1501,$X138))</f>
        <v/>
      </c>
      <c r="K138" s="7">
        <f>IF($X138="","",J138*V138/100)</f>
        <v/>
      </c>
      <c r="L138">
        <f>IF($X138="","",INDEX('Per Line'!$Y$2:$Y$1501,$X138)&amp;"")</f>
        <v/>
      </c>
      <c r="M138" s="7">
        <f>IF($X138="","",SUMIFS('Per Line'!$U$2:$U$1501,'Per Line'!$AJ$2:$AJ$1501,$A138&amp;"|"&amp;$C138,'Per Line'!$AN$2:$AN$1501,1))</f>
        <v/>
      </c>
      <c r="N138">
        <f>IF($X138="","",Settings!$C$7)</f>
        <v/>
      </c>
      <c r="O138" s="7">
        <f>IF($X138="","",SUMIFS('Per Line'!$U$2:$U$1501,'Per Line'!$AJ$2:$AJ$1501,$A138&amp;"|"&amp;$C138,'Per Line'!$AM$2:$AM$1501,0,'Per Line'!$AN$2:$AN$1501,0))</f>
        <v/>
      </c>
      <c r="P138" s="7">
        <f>IF($X138="","",O138*N138)</f>
        <v/>
      </c>
      <c r="Q138">
        <f>IF($X138="","",Settings!$C$6)</f>
        <v/>
      </c>
      <c r="R138" s="7">
        <f>IF($X138="","",SUMIFS('Per Line'!$U$2:$U$1501,'Per Line'!$AJ$2:$AJ$1501,$A138&amp;"|"&amp;$C138,'Per Line'!$AM$2:$AM$1501,1,'Per Line'!$AN$2:$AN$1501,0))</f>
        <v/>
      </c>
      <c r="S138" s="7">
        <f>IF($X138="","",R138*Q138)</f>
        <v/>
      </c>
      <c r="T138" s="7">
        <f>IF($X138="","",S138+P138)</f>
        <v/>
      </c>
      <c r="U138" s="7">
        <f>IF($X138="","",V138-T138)</f>
        <v/>
      </c>
      <c r="V138" s="7">
        <f>IF($X138="","",O138+R138+M138)</f>
        <v/>
      </c>
      <c r="W138" s="7">
        <f>IF($X138="","",V138-T138-K138)</f>
        <v/>
      </c>
      <c r="X138" s="13">
        <f>IF(ROWS($X$2:$X138)&lt;=MAX('Per Line'!$AL$2:$AL$1501),MATCH(ROWS($X$2:$X138),'Per Line'!$AL$2:$AL$1501,0),"")</f>
        <v/>
      </c>
    </row>
    <row r="139">
      <c r="A139">
        <f>IF($X139="","",INDEX('Per Line'!$C$2:$C$1501,$X139)&amp;"")</f>
        <v/>
      </c>
      <c r="B139" s="12" t="n"/>
      <c r="C139">
        <f>IF($X139="","",INDEX('Per Line'!$D$2:$D$1501,$X139)&amp;"")</f>
        <v/>
      </c>
      <c r="D139">
        <f>IF($X139="","",INDEX('Per Line'!$A$2:$A$1501,$X139))</f>
        <v/>
      </c>
      <c r="E139">
        <f>IF($X139="","",INDEX('Per Line'!$G$2:$G$1501,$X139)&amp;"")</f>
        <v/>
      </c>
      <c r="F139" s="11">
        <f>IF($X139="","",INDEX('Per Line'!$F$2:$F$1501,$X139))</f>
        <v/>
      </c>
      <c r="G139">
        <f>IF($X139="","",INDEX('Per Line'!$I$2:$I$1501,$X139)&amp;"")</f>
        <v/>
      </c>
      <c r="H139">
        <f>IF($X139="","",INDEX('Per Line'!$J$2:$J$1501,$X139)&amp;"")</f>
        <v/>
      </c>
      <c r="I139">
        <f>IF($X139="","",INDEX('Per Line'!$K$2:$K$1501,$X139)&amp;"")</f>
        <v/>
      </c>
      <c r="J139">
        <f>IF($X139="","",INDEX('Per Line'!$M$2:$M$1501,$X139))</f>
        <v/>
      </c>
      <c r="K139" s="7">
        <f>IF($X139="","",J139*V139/100)</f>
        <v/>
      </c>
      <c r="L139">
        <f>IF($X139="","",INDEX('Per Line'!$Y$2:$Y$1501,$X139)&amp;"")</f>
        <v/>
      </c>
      <c r="M139" s="7">
        <f>IF($X139="","",SUMIFS('Per Line'!$U$2:$U$1501,'Per Line'!$AJ$2:$AJ$1501,$A139&amp;"|"&amp;$C139,'Per Line'!$AN$2:$AN$1501,1))</f>
        <v/>
      </c>
      <c r="N139">
        <f>IF($X139="","",Settings!$C$7)</f>
        <v/>
      </c>
      <c r="O139" s="7">
        <f>IF($X139="","",SUMIFS('Per Line'!$U$2:$U$1501,'Per Line'!$AJ$2:$AJ$1501,$A139&amp;"|"&amp;$C139,'Per Line'!$AM$2:$AM$1501,0,'Per Line'!$AN$2:$AN$1501,0))</f>
        <v/>
      </c>
      <c r="P139" s="7">
        <f>IF($X139="","",O139*N139)</f>
        <v/>
      </c>
      <c r="Q139">
        <f>IF($X139="","",Settings!$C$6)</f>
        <v/>
      </c>
      <c r="R139" s="7">
        <f>IF($X139="","",SUMIFS('Per Line'!$U$2:$U$1501,'Per Line'!$AJ$2:$AJ$1501,$A139&amp;"|"&amp;$C139,'Per Line'!$AM$2:$AM$1501,1,'Per Line'!$AN$2:$AN$1501,0))</f>
        <v/>
      </c>
      <c r="S139" s="7">
        <f>IF($X139="","",R139*Q139)</f>
        <v/>
      </c>
      <c r="T139" s="7">
        <f>IF($X139="","",S139+P139)</f>
        <v/>
      </c>
      <c r="U139" s="7">
        <f>IF($X139="","",V139-T139)</f>
        <v/>
      </c>
      <c r="V139" s="7">
        <f>IF($X139="","",O139+R139+M139)</f>
        <v/>
      </c>
      <c r="W139" s="7">
        <f>IF($X139="","",V139-T139-K139)</f>
        <v/>
      </c>
      <c r="X139" s="13">
        <f>IF(ROWS($X$2:$X139)&lt;=MAX('Per Line'!$AL$2:$AL$1501),MATCH(ROWS($X$2:$X139),'Per Line'!$AL$2:$AL$1501,0),"")</f>
        <v/>
      </c>
    </row>
    <row r="140">
      <c r="A140">
        <f>IF($X140="","",INDEX('Per Line'!$C$2:$C$1501,$X140)&amp;"")</f>
        <v/>
      </c>
      <c r="B140" s="12" t="n"/>
      <c r="C140">
        <f>IF($X140="","",INDEX('Per Line'!$D$2:$D$1501,$X140)&amp;"")</f>
        <v/>
      </c>
      <c r="D140">
        <f>IF($X140="","",INDEX('Per Line'!$A$2:$A$1501,$X140))</f>
        <v/>
      </c>
      <c r="E140">
        <f>IF($X140="","",INDEX('Per Line'!$G$2:$G$1501,$X140)&amp;"")</f>
        <v/>
      </c>
      <c r="F140" s="11">
        <f>IF($X140="","",INDEX('Per Line'!$F$2:$F$1501,$X140))</f>
        <v/>
      </c>
      <c r="G140">
        <f>IF($X140="","",INDEX('Per Line'!$I$2:$I$1501,$X140)&amp;"")</f>
        <v/>
      </c>
      <c r="H140">
        <f>IF($X140="","",INDEX('Per Line'!$J$2:$J$1501,$X140)&amp;"")</f>
        <v/>
      </c>
      <c r="I140">
        <f>IF($X140="","",INDEX('Per Line'!$K$2:$K$1501,$X140)&amp;"")</f>
        <v/>
      </c>
      <c r="J140">
        <f>IF($X140="","",INDEX('Per Line'!$M$2:$M$1501,$X140))</f>
        <v/>
      </c>
      <c r="K140" s="7">
        <f>IF($X140="","",J140*V140/100)</f>
        <v/>
      </c>
      <c r="L140">
        <f>IF($X140="","",INDEX('Per Line'!$Y$2:$Y$1501,$X140)&amp;"")</f>
        <v/>
      </c>
      <c r="M140" s="7">
        <f>IF($X140="","",SUMIFS('Per Line'!$U$2:$U$1501,'Per Line'!$AJ$2:$AJ$1501,$A140&amp;"|"&amp;$C140,'Per Line'!$AN$2:$AN$1501,1))</f>
        <v/>
      </c>
      <c r="N140">
        <f>IF($X140="","",Settings!$C$7)</f>
        <v/>
      </c>
      <c r="O140" s="7">
        <f>IF($X140="","",SUMIFS('Per Line'!$U$2:$U$1501,'Per Line'!$AJ$2:$AJ$1501,$A140&amp;"|"&amp;$C140,'Per Line'!$AM$2:$AM$1501,0,'Per Line'!$AN$2:$AN$1501,0))</f>
        <v/>
      </c>
      <c r="P140" s="7">
        <f>IF($X140="","",O140*N140)</f>
        <v/>
      </c>
      <c r="Q140">
        <f>IF($X140="","",Settings!$C$6)</f>
        <v/>
      </c>
      <c r="R140" s="7">
        <f>IF($X140="","",SUMIFS('Per Line'!$U$2:$U$1501,'Per Line'!$AJ$2:$AJ$1501,$A140&amp;"|"&amp;$C140,'Per Line'!$AM$2:$AM$1501,1,'Per Line'!$AN$2:$AN$1501,0))</f>
        <v/>
      </c>
      <c r="S140" s="7">
        <f>IF($X140="","",R140*Q140)</f>
        <v/>
      </c>
      <c r="T140" s="7">
        <f>IF($X140="","",S140+P140)</f>
        <v/>
      </c>
      <c r="U140" s="7">
        <f>IF($X140="","",V140-T140)</f>
        <v/>
      </c>
      <c r="V140" s="7">
        <f>IF($X140="","",O140+R140+M140)</f>
        <v/>
      </c>
      <c r="W140" s="7">
        <f>IF($X140="","",V140-T140-K140)</f>
        <v/>
      </c>
      <c r="X140" s="13">
        <f>IF(ROWS($X$2:$X140)&lt;=MAX('Per Line'!$AL$2:$AL$1501),MATCH(ROWS($X$2:$X140),'Per Line'!$AL$2:$AL$1501,0),"")</f>
        <v/>
      </c>
    </row>
    <row r="141">
      <c r="A141">
        <f>IF($X141="","",INDEX('Per Line'!$C$2:$C$1501,$X141)&amp;"")</f>
        <v/>
      </c>
      <c r="B141" s="12" t="n"/>
      <c r="C141">
        <f>IF($X141="","",INDEX('Per Line'!$D$2:$D$1501,$X141)&amp;"")</f>
        <v/>
      </c>
      <c r="D141">
        <f>IF($X141="","",INDEX('Per Line'!$A$2:$A$1501,$X141))</f>
        <v/>
      </c>
      <c r="E141">
        <f>IF($X141="","",INDEX('Per Line'!$G$2:$G$1501,$X141)&amp;"")</f>
        <v/>
      </c>
      <c r="F141" s="11">
        <f>IF($X141="","",INDEX('Per Line'!$F$2:$F$1501,$X141))</f>
        <v/>
      </c>
      <c r="G141">
        <f>IF($X141="","",INDEX('Per Line'!$I$2:$I$1501,$X141)&amp;"")</f>
        <v/>
      </c>
      <c r="H141">
        <f>IF($X141="","",INDEX('Per Line'!$J$2:$J$1501,$X141)&amp;"")</f>
        <v/>
      </c>
      <c r="I141">
        <f>IF($X141="","",INDEX('Per Line'!$K$2:$K$1501,$X141)&amp;"")</f>
        <v/>
      </c>
      <c r="J141">
        <f>IF($X141="","",INDEX('Per Line'!$M$2:$M$1501,$X141))</f>
        <v/>
      </c>
      <c r="K141" s="7">
        <f>IF($X141="","",J141*V141/100)</f>
        <v/>
      </c>
      <c r="L141">
        <f>IF($X141="","",INDEX('Per Line'!$Y$2:$Y$1501,$X141)&amp;"")</f>
        <v/>
      </c>
      <c r="M141" s="7">
        <f>IF($X141="","",SUMIFS('Per Line'!$U$2:$U$1501,'Per Line'!$AJ$2:$AJ$1501,$A141&amp;"|"&amp;$C141,'Per Line'!$AN$2:$AN$1501,1))</f>
        <v/>
      </c>
      <c r="N141">
        <f>IF($X141="","",Settings!$C$7)</f>
        <v/>
      </c>
      <c r="O141" s="7">
        <f>IF($X141="","",SUMIFS('Per Line'!$U$2:$U$1501,'Per Line'!$AJ$2:$AJ$1501,$A141&amp;"|"&amp;$C141,'Per Line'!$AM$2:$AM$1501,0,'Per Line'!$AN$2:$AN$1501,0))</f>
        <v/>
      </c>
      <c r="P141" s="7">
        <f>IF($X141="","",O141*N141)</f>
        <v/>
      </c>
      <c r="Q141">
        <f>IF($X141="","",Settings!$C$6)</f>
        <v/>
      </c>
      <c r="R141" s="7">
        <f>IF($X141="","",SUMIFS('Per Line'!$U$2:$U$1501,'Per Line'!$AJ$2:$AJ$1501,$A141&amp;"|"&amp;$C141,'Per Line'!$AM$2:$AM$1501,1,'Per Line'!$AN$2:$AN$1501,0))</f>
        <v/>
      </c>
      <c r="S141" s="7">
        <f>IF($X141="","",R141*Q141)</f>
        <v/>
      </c>
      <c r="T141" s="7">
        <f>IF($X141="","",S141+P141)</f>
        <v/>
      </c>
      <c r="U141" s="7">
        <f>IF($X141="","",V141-T141)</f>
        <v/>
      </c>
      <c r="V141" s="7">
        <f>IF($X141="","",O141+R141+M141)</f>
        <v/>
      </c>
      <c r="W141" s="7">
        <f>IF($X141="","",V141-T141-K141)</f>
        <v/>
      </c>
      <c r="X141" s="13">
        <f>IF(ROWS($X$2:$X141)&lt;=MAX('Per Line'!$AL$2:$AL$1501),MATCH(ROWS($X$2:$X141),'Per Line'!$AL$2:$AL$1501,0),"")</f>
        <v/>
      </c>
    </row>
    <row r="142">
      <c r="A142">
        <f>IF($X142="","",INDEX('Per Line'!$C$2:$C$1501,$X142)&amp;"")</f>
        <v/>
      </c>
      <c r="B142" s="12" t="n"/>
      <c r="C142">
        <f>IF($X142="","",INDEX('Per Line'!$D$2:$D$1501,$X142)&amp;"")</f>
        <v/>
      </c>
      <c r="D142">
        <f>IF($X142="","",INDEX('Per Line'!$A$2:$A$1501,$X142))</f>
        <v/>
      </c>
      <c r="E142">
        <f>IF($X142="","",INDEX('Per Line'!$G$2:$G$1501,$X142)&amp;"")</f>
        <v/>
      </c>
      <c r="F142" s="11">
        <f>IF($X142="","",INDEX('Per Line'!$F$2:$F$1501,$X142))</f>
        <v/>
      </c>
      <c r="G142">
        <f>IF($X142="","",INDEX('Per Line'!$I$2:$I$1501,$X142)&amp;"")</f>
        <v/>
      </c>
      <c r="H142">
        <f>IF($X142="","",INDEX('Per Line'!$J$2:$J$1501,$X142)&amp;"")</f>
        <v/>
      </c>
      <c r="I142">
        <f>IF($X142="","",INDEX('Per Line'!$K$2:$K$1501,$X142)&amp;"")</f>
        <v/>
      </c>
      <c r="J142">
        <f>IF($X142="","",INDEX('Per Line'!$M$2:$M$1501,$X142))</f>
        <v/>
      </c>
      <c r="K142" s="7">
        <f>IF($X142="","",J142*V142/100)</f>
        <v/>
      </c>
      <c r="L142">
        <f>IF($X142="","",INDEX('Per Line'!$Y$2:$Y$1501,$X142)&amp;"")</f>
        <v/>
      </c>
      <c r="M142" s="7">
        <f>IF($X142="","",SUMIFS('Per Line'!$U$2:$U$1501,'Per Line'!$AJ$2:$AJ$1501,$A142&amp;"|"&amp;$C142,'Per Line'!$AN$2:$AN$1501,1))</f>
        <v/>
      </c>
      <c r="N142">
        <f>IF($X142="","",Settings!$C$7)</f>
        <v/>
      </c>
      <c r="O142" s="7">
        <f>IF($X142="","",SUMIFS('Per Line'!$U$2:$U$1501,'Per Line'!$AJ$2:$AJ$1501,$A142&amp;"|"&amp;$C142,'Per Line'!$AM$2:$AM$1501,0,'Per Line'!$AN$2:$AN$1501,0))</f>
        <v/>
      </c>
      <c r="P142" s="7">
        <f>IF($X142="","",O142*N142)</f>
        <v/>
      </c>
      <c r="Q142">
        <f>IF($X142="","",Settings!$C$6)</f>
        <v/>
      </c>
      <c r="R142" s="7">
        <f>IF($X142="","",SUMIFS('Per Line'!$U$2:$U$1501,'Per Line'!$AJ$2:$AJ$1501,$A142&amp;"|"&amp;$C142,'Per Line'!$AM$2:$AM$1501,1,'Per Line'!$AN$2:$AN$1501,0))</f>
        <v/>
      </c>
      <c r="S142" s="7">
        <f>IF($X142="","",R142*Q142)</f>
        <v/>
      </c>
      <c r="T142" s="7">
        <f>IF($X142="","",S142+P142)</f>
        <v/>
      </c>
      <c r="U142" s="7">
        <f>IF($X142="","",V142-T142)</f>
        <v/>
      </c>
      <c r="V142" s="7">
        <f>IF($X142="","",O142+R142+M142)</f>
        <v/>
      </c>
      <c r="W142" s="7">
        <f>IF($X142="","",V142-T142-K142)</f>
        <v/>
      </c>
      <c r="X142" s="13">
        <f>IF(ROWS($X$2:$X142)&lt;=MAX('Per Line'!$AL$2:$AL$1501),MATCH(ROWS($X$2:$X142),'Per Line'!$AL$2:$AL$1501,0),"")</f>
        <v/>
      </c>
    </row>
    <row r="143">
      <c r="A143">
        <f>IF($X143="","",INDEX('Per Line'!$C$2:$C$1501,$X143)&amp;"")</f>
        <v/>
      </c>
      <c r="B143" s="12" t="n"/>
      <c r="C143">
        <f>IF($X143="","",INDEX('Per Line'!$D$2:$D$1501,$X143)&amp;"")</f>
        <v/>
      </c>
      <c r="D143">
        <f>IF($X143="","",INDEX('Per Line'!$A$2:$A$1501,$X143))</f>
        <v/>
      </c>
      <c r="E143">
        <f>IF($X143="","",INDEX('Per Line'!$G$2:$G$1501,$X143)&amp;"")</f>
        <v/>
      </c>
      <c r="F143" s="11">
        <f>IF($X143="","",INDEX('Per Line'!$F$2:$F$1501,$X143))</f>
        <v/>
      </c>
      <c r="G143">
        <f>IF($X143="","",INDEX('Per Line'!$I$2:$I$1501,$X143)&amp;"")</f>
        <v/>
      </c>
      <c r="H143">
        <f>IF($X143="","",INDEX('Per Line'!$J$2:$J$1501,$X143)&amp;"")</f>
        <v/>
      </c>
      <c r="I143">
        <f>IF($X143="","",INDEX('Per Line'!$K$2:$K$1501,$X143)&amp;"")</f>
        <v/>
      </c>
      <c r="J143">
        <f>IF($X143="","",INDEX('Per Line'!$M$2:$M$1501,$X143))</f>
        <v/>
      </c>
      <c r="K143" s="7">
        <f>IF($X143="","",J143*V143/100)</f>
        <v/>
      </c>
      <c r="L143">
        <f>IF($X143="","",INDEX('Per Line'!$Y$2:$Y$1501,$X143)&amp;"")</f>
        <v/>
      </c>
      <c r="M143" s="7">
        <f>IF($X143="","",SUMIFS('Per Line'!$U$2:$U$1501,'Per Line'!$AJ$2:$AJ$1501,$A143&amp;"|"&amp;$C143,'Per Line'!$AN$2:$AN$1501,1))</f>
        <v/>
      </c>
      <c r="N143">
        <f>IF($X143="","",Settings!$C$7)</f>
        <v/>
      </c>
      <c r="O143" s="7">
        <f>IF($X143="","",SUMIFS('Per Line'!$U$2:$U$1501,'Per Line'!$AJ$2:$AJ$1501,$A143&amp;"|"&amp;$C143,'Per Line'!$AM$2:$AM$1501,0,'Per Line'!$AN$2:$AN$1501,0))</f>
        <v/>
      </c>
      <c r="P143" s="7">
        <f>IF($X143="","",O143*N143)</f>
        <v/>
      </c>
      <c r="Q143">
        <f>IF($X143="","",Settings!$C$6)</f>
        <v/>
      </c>
      <c r="R143" s="7">
        <f>IF($X143="","",SUMIFS('Per Line'!$U$2:$U$1501,'Per Line'!$AJ$2:$AJ$1501,$A143&amp;"|"&amp;$C143,'Per Line'!$AM$2:$AM$1501,1,'Per Line'!$AN$2:$AN$1501,0))</f>
        <v/>
      </c>
      <c r="S143" s="7">
        <f>IF($X143="","",R143*Q143)</f>
        <v/>
      </c>
      <c r="T143" s="7">
        <f>IF($X143="","",S143+P143)</f>
        <v/>
      </c>
      <c r="U143" s="7">
        <f>IF($X143="","",V143-T143)</f>
        <v/>
      </c>
      <c r="V143" s="7">
        <f>IF($X143="","",O143+R143+M143)</f>
        <v/>
      </c>
      <c r="W143" s="7">
        <f>IF($X143="","",V143-T143-K143)</f>
        <v/>
      </c>
      <c r="X143" s="13">
        <f>IF(ROWS($X$2:$X143)&lt;=MAX('Per Line'!$AL$2:$AL$1501),MATCH(ROWS($X$2:$X143),'Per Line'!$AL$2:$AL$1501,0),"")</f>
        <v/>
      </c>
    </row>
    <row r="144">
      <c r="A144">
        <f>IF($X144="","",INDEX('Per Line'!$C$2:$C$1501,$X144)&amp;"")</f>
        <v/>
      </c>
      <c r="B144" s="12" t="n"/>
      <c r="C144">
        <f>IF($X144="","",INDEX('Per Line'!$D$2:$D$1501,$X144)&amp;"")</f>
        <v/>
      </c>
      <c r="D144">
        <f>IF($X144="","",INDEX('Per Line'!$A$2:$A$1501,$X144))</f>
        <v/>
      </c>
      <c r="E144">
        <f>IF($X144="","",INDEX('Per Line'!$G$2:$G$1501,$X144)&amp;"")</f>
        <v/>
      </c>
      <c r="F144" s="11">
        <f>IF($X144="","",INDEX('Per Line'!$F$2:$F$1501,$X144))</f>
        <v/>
      </c>
      <c r="G144">
        <f>IF($X144="","",INDEX('Per Line'!$I$2:$I$1501,$X144)&amp;"")</f>
        <v/>
      </c>
      <c r="H144">
        <f>IF($X144="","",INDEX('Per Line'!$J$2:$J$1501,$X144)&amp;"")</f>
        <v/>
      </c>
      <c r="I144">
        <f>IF($X144="","",INDEX('Per Line'!$K$2:$K$1501,$X144)&amp;"")</f>
        <v/>
      </c>
      <c r="J144">
        <f>IF($X144="","",INDEX('Per Line'!$M$2:$M$1501,$X144))</f>
        <v/>
      </c>
      <c r="K144" s="7">
        <f>IF($X144="","",J144*V144/100)</f>
        <v/>
      </c>
      <c r="L144">
        <f>IF($X144="","",INDEX('Per Line'!$Y$2:$Y$1501,$X144)&amp;"")</f>
        <v/>
      </c>
      <c r="M144" s="7">
        <f>IF($X144="","",SUMIFS('Per Line'!$U$2:$U$1501,'Per Line'!$AJ$2:$AJ$1501,$A144&amp;"|"&amp;$C144,'Per Line'!$AN$2:$AN$1501,1))</f>
        <v/>
      </c>
      <c r="N144">
        <f>IF($X144="","",Settings!$C$7)</f>
        <v/>
      </c>
      <c r="O144" s="7">
        <f>IF($X144="","",SUMIFS('Per Line'!$U$2:$U$1501,'Per Line'!$AJ$2:$AJ$1501,$A144&amp;"|"&amp;$C144,'Per Line'!$AM$2:$AM$1501,0,'Per Line'!$AN$2:$AN$1501,0))</f>
        <v/>
      </c>
      <c r="P144" s="7">
        <f>IF($X144="","",O144*N144)</f>
        <v/>
      </c>
      <c r="Q144">
        <f>IF($X144="","",Settings!$C$6)</f>
        <v/>
      </c>
      <c r="R144" s="7">
        <f>IF($X144="","",SUMIFS('Per Line'!$U$2:$U$1501,'Per Line'!$AJ$2:$AJ$1501,$A144&amp;"|"&amp;$C144,'Per Line'!$AM$2:$AM$1501,1,'Per Line'!$AN$2:$AN$1501,0))</f>
        <v/>
      </c>
      <c r="S144" s="7">
        <f>IF($X144="","",R144*Q144)</f>
        <v/>
      </c>
      <c r="T144" s="7">
        <f>IF($X144="","",S144+P144)</f>
        <v/>
      </c>
      <c r="U144" s="7">
        <f>IF($X144="","",V144-T144)</f>
        <v/>
      </c>
      <c r="V144" s="7">
        <f>IF($X144="","",O144+R144+M144)</f>
        <v/>
      </c>
      <c r="W144" s="7">
        <f>IF($X144="","",V144-T144-K144)</f>
        <v/>
      </c>
      <c r="X144" s="13">
        <f>IF(ROWS($X$2:$X144)&lt;=MAX('Per Line'!$AL$2:$AL$1501),MATCH(ROWS($X$2:$X144),'Per Line'!$AL$2:$AL$1501,0),"")</f>
        <v/>
      </c>
    </row>
    <row r="145">
      <c r="A145">
        <f>IF($X145="","",INDEX('Per Line'!$C$2:$C$1501,$X145)&amp;"")</f>
        <v/>
      </c>
      <c r="B145" s="12" t="n"/>
      <c r="C145">
        <f>IF($X145="","",INDEX('Per Line'!$D$2:$D$1501,$X145)&amp;"")</f>
        <v/>
      </c>
      <c r="D145">
        <f>IF($X145="","",INDEX('Per Line'!$A$2:$A$1501,$X145))</f>
        <v/>
      </c>
      <c r="E145">
        <f>IF($X145="","",INDEX('Per Line'!$G$2:$G$1501,$X145)&amp;"")</f>
        <v/>
      </c>
      <c r="F145" s="11">
        <f>IF($X145="","",INDEX('Per Line'!$F$2:$F$1501,$X145))</f>
        <v/>
      </c>
      <c r="G145">
        <f>IF($X145="","",INDEX('Per Line'!$I$2:$I$1501,$X145)&amp;"")</f>
        <v/>
      </c>
      <c r="H145">
        <f>IF($X145="","",INDEX('Per Line'!$J$2:$J$1501,$X145)&amp;"")</f>
        <v/>
      </c>
      <c r="I145">
        <f>IF($X145="","",INDEX('Per Line'!$K$2:$K$1501,$X145)&amp;"")</f>
        <v/>
      </c>
      <c r="J145">
        <f>IF($X145="","",INDEX('Per Line'!$M$2:$M$1501,$X145))</f>
        <v/>
      </c>
      <c r="K145" s="7">
        <f>IF($X145="","",J145*V145/100)</f>
        <v/>
      </c>
      <c r="L145">
        <f>IF($X145="","",INDEX('Per Line'!$Y$2:$Y$1501,$X145)&amp;"")</f>
        <v/>
      </c>
      <c r="M145" s="7">
        <f>IF($X145="","",SUMIFS('Per Line'!$U$2:$U$1501,'Per Line'!$AJ$2:$AJ$1501,$A145&amp;"|"&amp;$C145,'Per Line'!$AN$2:$AN$1501,1))</f>
        <v/>
      </c>
      <c r="N145">
        <f>IF($X145="","",Settings!$C$7)</f>
        <v/>
      </c>
      <c r="O145" s="7">
        <f>IF($X145="","",SUMIFS('Per Line'!$U$2:$U$1501,'Per Line'!$AJ$2:$AJ$1501,$A145&amp;"|"&amp;$C145,'Per Line'!$AM$2:$AM$1501,0,'Per Line'!$AN$2:$AN$1501,0))</f>
        <v/>
      </c>
      <c r="P145" s="7">
        <f>IF($X145="","",O145*N145)</f>
        <v/>
      </c>
      <c r="Q145">
        <f>IF($X145="","",Settings!$C$6)</f>
        <v/>
      </c>
      <c r="R145" s="7">
        <f>IF($X145="","",SUMIFS('Per Line'!$U$2:$U$1501,'Per Line'!$AJ$2:$AJ$1501,$A145&amp;"|"&amp;$C145,'Per Line'!$AM$2:$AM$1501,1,'Per Line'!$AN$2:$AN$1501,0))</f>
        <v/>
      </c>
      <c r="S145" s="7">
        <f>IF($X145="","",R145*Q145)</f>
        <v/>
      </c>
      <c r="T145" s="7">
        <f>IF($X145="","",S145+P145)</f>
        <v/>
      </c>
      <c r="U145" s="7">
        <f>IF($X145="","",V145-T145)</f>
        <v/>
      </c>
      <c r="V145" s="7">
        <f>IF($X145="","",O145+R145+M145)</f>
        <v/>
      </c>
      <c r="W145" s="7">
        <f>IF($X145="","",V145-T145-K145)</f>
        <v/>
      </c>
      <c r="X145" s="13">
        <f>IF(ROWS($X$2:$X145)&lt;=MAX('Per Line'!$AL$2:$AL$1501),MATCH(ROWS($X$2:$X145),'Per Line'!$AL$2:$AL$1501,0),"")</f>
        <v/>
      </c>
    </row>
    <row r="146">
      <c r="A146">
        <f>IF($X146="","",INDEX('Per Line'!$C$2:$C$1501,$X146)&amp;"")</f>
        <v/>
      </c>
      <c r="B146" s="12" t="n"/>
      <c r="C146">
        <f>IF($X146="","",INDEX('Per Line'!$D$2:$D$1501,$X146)&amp;"")</f>
        <v/>
      </c>
      <c r="D146">
        <f>IF($X146="","",INDEX('Per Line'!$A$2:$A$1501,$X146))</f>
        <v/>
      </c>
      <c r="E146">
        <f>IF($X146="","",INDEX('Per Line'!$G$2:$G$1501,$X146)&amp;"")</f>
        <v/>
      </c>
      <c r="F146" s="11">
        <f>IF($X146="","",INDEX('Per Line'!$F$2:$F$1501,$X146))</f>
        <v/>
      </c>
      <c r="G146">
        <f>IF($X146="","",INDEX('Per Line'!$I$2:$I$1501,$X146)&amp;"")</f>
        <v/>
      </c>
      <c r="H146">
        <f>IF($X146="","",INDEX('Per Line'!$J$2:$J$1501,$X146)&amp;"")</f>
        <v/>
      </c>
      <c r="I146">
        <f>IF($X146="","",INDEX('Per Line'!$K$2:$K$1501,$X146)&amp;"")</f>
        <v/>
      </c>
      <c r="J146">
        <f>IF($X146="","",INDEX('Per Line'!$M$2:$M$1501,$X146))</f>
        <v/>
      </c>
      <c r="K146" s="7">
        <f>IF($X146="","",J146*V146/100)</f>
        <v/>
      </c>
      <c r="L146">
        <f>IF($X146="","",INDEX('Per Line'!$Y$2:$Y$1501,$X146)&amp;"")</f>
        <v/>
      </c>
      <c r="M146" s="7">
        <f>IF($X146="","",SUMIFS('Per Line'!$U$2:$U$1501,'Per Line'!$AJ$2:$AJ$1501,$A146&amp;"|"&amp;$C146,'Per Line'!$AN$2:$AN$1501,1))</f>
        <v/>
      </c>
      <c r="N146">
        <f>IF($X146="","",Settings!$C$7)</f>
        <v/>
      </c>
      <c r="O146" s="7">
        <f>IF($X146="","",SUMIFS('Per Line'!$U$2:$U$1501,'Per Line'!$AJ$2:$AJ$1501,$A146&amp;"|"&amp;$C146,'Per Line'!$AM$2:$AM$1501,0,'Per Line'!$AN$2:$AN$1501,0))</f>
        <v/>
      </c>
      <c r="P146" s="7">
        <f>IF($X146="","",O146*N146)</f>
        <v/>
      </c>
      <c r="Q146">
        <f>IF($X146="","",Settings!$C$6)</f>
        <v/>
      </c>
      <c r="R146" s="7">
        <f>IF($X146="","",SUMIFS('Per Line'!$U$2:$U$1501,'Per Line'!$AJ$2:$AJ$1501,$A146&amp;"|"&amp;$C146,'Per Line'!$AM$2:$AM$1501,1,'Per Line'!$AN$2:$AN$1501,0))</f>
        <v/>
      </c>
      <c r="S146" s="7">
        <f>IF($X146="","",R146*Q146)</f>
        <v/>
      </c>
      <c r="T146" s="7">
        <f>IF($X146="","",S146+P146)</f>
        <v/>
      </c>
      <c r="U146" s="7">
        <f>IF($X146="","",V146-T146)</f>
        <v/>
      </c>
      <c r="V146" s="7">
        <f>IF($X146="","",O146+R146+M146)</f>
        <v/>
      </c>
      <c r="W146" s="7">
        <f>IF($X146="","",V146-T146-K146)</f>
        <v/>
      </c>
      <c r="X146" s="13">
        <f>IF(ROWS($X$2:$X146)&lt;=MAX('Per Line'!$AL$2:$AL$1501),MATCH(ROWS($X$2:$X146),'Per Line'!$AL$2:$AL$1501,0),"")</f>
        <v/>
      </c>
    </row>
    <row r="147">
      <c r="A147">
        <f>IF($X147="","",INDEX('Per Line'!$C$2:$C$1501,$X147)&amp;"")</f>
        <v/>
      </c>
      <c r="B147" s="12" t="n"/>
      <c r="C147">
        <f>IF($X147="","",INDEX('Per Line'!$D$2:$D$1501,$X147)&amp;"")</f>
        <v/>
      </c>
      <c r="D147">
        <f>IF($X147="","",INDEX('Per Line'!$A$2:$A$1501,$X147))</f>
        <v/>
      </c>
      <c r="E147">
        <f>IF($X147="","",INDEX('Per Line'!$G$2:$G$1501,$X147)&amp;"")</f>
        <v/>
      </c>
      <c r="F147" s="11">
        <f>IF($X147="","",INDEX('Per Line'!$F$2:$F$1501,$X147))</f>
        <v/>
      </c>
      <c r="G147">
        <f>IF($X147="","",INDEX('Per Line'!$I$2:$I$1501,$X147)&amp;"")</f>
        <v/>
      </c>
      <c r="H147">
        <f>IF($X147="","",INDEX('Per Line'!$J$2:$J$1501,$X147)&amp;"")</f>
        <v/>
      </c>
      <c r="I147">
        <f>IF($X147="","",INDEX('Per Line'!$K$2:$K$1501,$X147)&amp;"")</f>
        <v/>
      </c>
      <c r="J147">
        <f>IF($X147="","",INDEX('Per Line'!$M$2:$M$1501,$X147))</f>
        <v/>
      </c>
      <c r="K147" s="7">
        <f>IF($X147="","",J147*V147/100)</f>
        <v/>
      </c>
      <c r="L147">
        <f>IF($X147="","",INDEX('Per Line'!$Y$2:$Y$1501,$X147)&amp;"")</f>
        <v/>
      </c>
      <c r="M147" s="7">
        <f>IF($X147="","",SUMIFS('Per Line'!$U$2:$U$1501,'Per Line'!$AJ$2:$AJ$1501,$A147&amp;"|"&amp;$C147,'Per Line'!$AN$2:$AN$1501,1))</f>
        <v/>
      </c>
      <c r="N147">
        <f>IF($X147="","",Settings!$C$7)</f>
        <v/>
      </c>
      <c r="O147" s="7">
        <f>IF($X147="","",SUMIFS('Per Line'!$U$2:$U$1501,'Per Line'!$AJ$2:$AJ$1501,$A147&amp;"|"&amp;$C147,'Per Line'!$AM$2:$AM$1501,0,'Per Line'!$AN$2:$AN$1501,0))</f>
        <v/>
      </c>
      <c r="P147" s="7">
        <f>IF($X147="","",O147*N147)</f>
        <v/>
      </c>
      <c r="Q147">
        <f>IF($X147="","",Settings!$C$6)</f>
        <v/>
      </c>
      <c r="R147" s="7">
        <f>IF($X147="","",SUMIFS('Per Line'!$U$2:$U$1501,'Per Line'!$AJ$2:$AJ$1501,$A147&amp;"|"&amp;$C147,'Per Line'!$AM$2:$AM$1501,1,'Per Line'!$AN$2:$AN$1501,0))</f>
        <v/>
      </c>
      <c r="S147" s="7">
        <f>IF($X147="","",R147*Q147)</f>
        <v/>
      </c>
      <c r="T147" s="7">
        <f>IF($X147="","",S147+P147)</f>
        <v/>
      </c>
      <c r="U147" s="7">
        <f>IF($X147="","",V147-T147)</f>
        <v/>
      </c>
      <c r="V147" s="7">
        <f>IF($X147="","",O147+R147+M147)</f>
        <v/>
      </c>
      <c r="W147" s="7">
        <f>IF($X147="","",V147-T147-K147)</f>
        <v/>
      </c>
      <c r="X147" s="13">
        <f>IF(ROWS($X$2:$X147)&lt;=MAX('Per Line'!$AL$2:$AL$1501),MATCH(ROWS($X$2:$X147),'Per Line'!$AL$2:$AL$1501,0),"")</f>
        <v/>
      </c>
    </row>
    <row r="148">
      <c r="A148">
        <f>IF($X148="","",INDEX('Per Line'!$C$2:$C$1501,$X148)&amp;"")</f>
        <v/>
      </c>
      <c r="B148" s="12" t="n"/>
      <c r="C148">
        <f>IF($X148="","",INDEX('Per Line'!$D$2:$D$1501,$X148)&amp;"")</f>
        <v/>
      </c>
      <c r="D148">
        <f>IF($X148="","",INDEX('Per Line'!$A$2:$A$1501,$X148))</f>
        <v/>
      </c>
      <c r="E148">
        <f>IF($X148="","",INDEX('Per Line'!$G$2:$G$1501,$X148)&amp;"")</f>
        <v/>
      </c>
      <c r="F148" s="11">
        <f>IF($X148="","",INDEX('Per Line'!$F$2:$F$1501,$X148))</f>
        <v/>
      </c>
      <c r="G148">
        <f>IF($X148="","",INDEX('Per Line'!$I$2:$I$1501,$X148)&amp;"")</f>
        <v/>
      </c>
      <c r="H148">
        <f>IF($X148="","",INDEX('Per Line'!$J$2:$J$1501,$X148)&amp;"")</f>
        <v/>
      </c>
      <c r="I148">
        <f>IF($X148="","",INDEX('Per Line'!$K$2:$K$1501,$X148)&amp;"")</f>
        <v/>
      </c>
      <c r="J148">
        <f>IF($X148="","",INDEX('Per Line'!$M$2:$M$1501,$X148))</f>
        <v/>
      </c>
      <c r="K148" s="7">
        <f>IF($X148="","",J148*V148/100)</f>
        <v/>
      </c>
      <c r="L148">
        <f>IF($X148="","",INDEX('Per Line'!$Y$2:$Y$1501,$X148)&amp;"")</f>
        <v/>
      </c>
      <c r="M148" s="7">
        <f>IF($X148="","",SUMIFS('Per Line'!$U$2:$U$1501,'Per Line'!$AJ$2:$AJ$1501,$A148&amp;"|"&amp;$C148,'Per Line'!$AN$2:$AN$1501,1))</f>
        <v/>
      </c>
      <c r="N148">
        <f>IF($X148="","",Settings!$C$7)</f>
        <v/>
      </c>
      <c r="O148" s="7">
        <f>IF($X148="","",SUMIFS('Per Line'!$U$2:$U$1501,'Per Line'!$AJ$2:$AJ$1501,$A148&amp;"|"&amp;$C148,'Per Line'!$AM$2:$AM$1501,0,'Per Line'!$AN$2:$AN$1501,0))</f>
        <v/>
      </c>
      <c r="P148" s="7">
        <f>IF($X148="","",O148*N148)</f>
        <v/>
      </c>
      <c r="Q148">
        <f>IF($X148="","",Settings!$C$6)</f>
        <v/>
      </c>
      <c r="R148" s="7">
        <f>IF($X148="","",SUMIFS('Per Line'!$U$2:$U$1501,'Per Line'!$AJ$2:$AJ$1501,$A148&amp;"|"&amp;$C148,'Per Line'!$AM$2:$AM$1501,1,'Per Line'!$AN$2:$AN$1501,0))</f>
        <v/>
      </c>
      <c r="S148" s="7">
        <f>IF($X148="","",R148*Q148)</f>
        <v/>
      </c>
      <c r="T148" s="7">
        <f>IF($X148="","",S148+P148)</f>
        <v/>
      </c>
      <c r="U148" s="7">
        <f>IF($X148="","",V148-T148)</f>
        <v/>
      </c>
      <c r="V148" s="7">
        <f>IF($X148="","",O148+R148+M148)</f>
        <v/>
      </c>
      <c r="W148" s="7">
        <f>IF($X148="","",V148-T148-K148)</f>
        <v/>
      </c>
      <c r="X148" s="13">
        <f>IF(ROWS($X$2:$X148)&lt;=MAX('Per Line'!$AL$2:$AL$1501),MATCH(ROWS($X$2:$X148),'Per Line'!$AL$2:$AL$1501,0),"")</f>
        <v/>
      </c>
    </row>
    <row r="149">
      <c r="A149">
        <f>IF($X149="","",INDEX('Per Line'!$C$2:$C$1501,$X149)&amp;"")</f>
        <v/>
      </c>
      <c r="B149" s="12" t="n"/>
      <c r="C149">
        <f>IF($X149="","",INDEX('Per Line'!$D$2:$D$1501,$X149)&amp;"")</f>
        <v/>
      </c>
      <c r="D149">
        <f>IF($X149="","",INDEX('Per Line'!$A$2:$A$1501,$X149))</f>
        <v/>
      </c>
      <c r="E149">
        <f>IF($X149="","",INDEX('Per Line'!$G$2:$G$1501,$X149)&amp;"")</f>
        <v/>
      </c>
      <c r="F149" s="11">
        <f>IF($X149="","",INDEX('Per Line'!$F$2:$F$1501,$X149))</f>
        <v/>
      </c>
      <c r="G149">
        <f>IF($X149="","",INDEX('Per Line'!$I$2:$I$1501,$X149)&amp;"")</f>
        <v/>
      </c>
      <c r="H149">
        <f>IF($X149="","",INDEX('Per Line'!$J$2:$J$1501,$X149)&amp;"")</f>
        <v/>
      </c>
      <c r="I149">
        <f>IF($X149="","",INDEX('Per Line'!$K$2:$K$1501,$X149)&amp;"")</f>
        <v/>
      </c>
      <c r="J149">
        <f>IF($X149="","",INDEX('Per Line'!$M$2:$M$1501,$X149))</f>
        <v/>
      </c>
      <c r="K149" s="7">
        <f>IF($X149="","",J149*V149/100)</f>
        <v/>
      </c>
      <c r="L149">
        <f>IF($X149="","",INDEX('Per Line'!$Y$2:$Y$1501,$X149)&amp;"")</f>
        <v/>
      </c>
      <c r="M149" s="7">
        <f>IF($X149="","",SUMIFS('Per Line'!$U$2:$U$1501,'Per Line'!$AJ$2:$AJ$1501,$A149&amp;"|"&amp;$C149,'Per Line'!$AN$2:$AN$1501,1))</f>
        <v/>
      </c>
      <c r="N149">
        <f>IF($X149="","",Settings!$C$7)</f>
        <v/>
      </c>
      <c r="O149" s="7">
        <f>IF($X149="","",SUMIFS('Per Line'!$U$2:$U$1501,'Per Line'!$AJ$2:$AJ$1501,$A149&amp;"|"&amp;$C149,'Per Line'!$AM$2:$AM$1501,0,'Per Line'!$AN$2:$AN$1501,0))</f>
        <v/>
      </c>
      <c r="P149" s="7">
        <f>IF($X149="","",O149*N149)</f>
        <v/>
      </c>
      <c r="Q149">
        <f>IF($X149="","",Settings!$C$6)</f>
        <v/>
      </c>
      <c r="R149" s="7">
        <f>IF($X149="","",SUMIFS('Per Line'!$U$2:$U$1501,'Per Line'!$AJ$2:$AJ$1501,$A149&amp;"|"&amp;$C149,'Per Line'!$AM$2:$AM$1501,1,'Per Line'!$AN$2:$AN$1501,0))</f>
        <v/>
      </c>
      <c r="S149" s="7">
        <f>IF($X149="","",R149*Q149)</f>
        <v/>
      </c>
      <c r="T149" s="7">
        <f>IF($X149="","",S149+P149)</f>
        <v/>
      </c>
      <c r="U149" s="7">
        <f>IF($X149="","",V149-T149)</f>
        <v/>
      </c>
      <c r="V149" s="7">
        <f>IF($X149="","",O149+R149+M149)</f>
        <v/>
      </c>
      <c r="W149" s="7">
        <f>IF($X149="","",V149-T149-K149)</f>
        <v/>
      </c>
      <c r="X149" s="13">
        <f>IF(ROWS($X$2:$X149)&lt;=MAX('Per Line'!$AL$2:$AL$1501),MATCH(ROWS($X$2:$X149),'Per Line'!$AL$2:$AL$1501,0),"")</f>
        <v/>
      </c>
    </row>
    <row r="150">
      <c r="A150">
        <f>IF($X150="","",INDEX('Per Line'!$C$2:$C$1501,$X150)&amp;"")</f>
        <v/>
      </c>
      <c r="B150" s="12" t="n"/>
      <c r="C150">
        <f>IF($X150="","",INDEX('Per Line'!$D$2:$D$1501,$X150)&amp;"")</f>
        <v/>
      </c>
      <c r="D150">
        <f>IF($X150="","",INDEX('Per Line'!$A$2:$A$1501,$X150))</f>
        <v/>
      </c>
      <c r="E150">
        <f>IF($X150="","",INDEX('Per Line'!$G$2:$G$1501,$X150)&amp;"")</f>
        <v/>
      </c>
      <c r="F150" s="11">
        <f>IF($X150="","",INDEX('Per Line'!$F$2:$F$1501,$X150))</f>
        <v/>
      </c>
      <c r="G150">
        <f>IF($X150="","",INDEX('Per Line'!$I$2:$I$1501,$X150)&amp;"")</f>
        <v/>
      </c>
      <c r="H150">
        <f>IF($X150="","",INDEX('Per Line'!$J$2:$J$1501,$X150)&amp;"")</f>
        <v/>
      </c>
      <c r="I150">
        <f>IF($X150="","",INDEX('Per Line'!$K$2:$K$1501,$X150)&amp;"")</f>
        <v/>
      </c>
      <c r="J150">
        <f>IF($X150="","",INDEX('Per Line'!$M$2:$M$1501,$X150))</f>
        <v/>
      </c>
      <c r="K150" s="7">
        <f>IF($X150="","",J150*V150/100)</f>
        <v/>
      </c>
      <c r="L150">
        <f>IF($X150="","",INDEX('Per Line'!$Y$2:$Y$1501,$X150)&amp;"")</f>
        <v/>
      </c>
      <c r="M150" s="7">
        <f>IF($X150="","",SUMIFS('Per Line'!$U$2:$U$1501,'Per Line'!$AJ$2:$AJ$1501,$A150&amp;"|"&amp;$C150,'Per Line'!$AN$2:$AN$1501,1))</f>
        <v/>
      </c>
      <c r="N150">
        <f>IF($X150="","",Settings!$C$7)</f>
        <v/>
      </c>
      <c r="O150" s="7">
        <f>IF($X150="","",SUMIFS('Per Line'!$U$2:$U$1501,'Per Line'!$AJ$2:$AJ$1501,$A150&amp;"|"&amp;$C150,'Per Line'!$AM$2:$AM$1501,0,'Per Line'!$AN$2:$AN$1501,0))</f>
        <v/>
      </c>
      <c r="P150" s="7">
        <f>IF($X150="","",O150*N150)</f>
        <v/>
      </c>
      <c r="Q150">
        <f>IF($X150="","",Settings!$C$6)</f>
        <v/>
      </c>
      <c r="R150" s="7">
        <f>IF($X150="","",SUMIFS('Per Line'!$U$2:$U$1501,'Per Line'!$AJ$2:$AJ$1501,$A150&amp;"|"&amp;$C150,'Per Line'!$AM$2:$AM$1501,1,'Per Line'!$AN$2:$AN$1501,0))</f>
        <v/>
      </c>
      <c r="S150" s="7">
        <f>IF($X150="","",R150*Q150)</f>
        <v/>
      </c>
      <c r="T150" s="7">
        <f>IF($X150="","",S150+P150)</f>
        <v/>
      </c>
      <c r="U150" s="7">
        <f>IF($X150="","",V150-T150)</f>
        <v/>
      </c>
      <c r="V150" s="7">
        <f>IF($X150="","",O150+R150+M150)</f>
        <v/>
      </c>
      <c r="W150" s="7">
        <f>IF($X150="","",V150-T150-K150)</f>
        <v/>
      </c>
      <c r="X150" s="13">
        <f>IF(ROWS($X$2:$X150)&lt;=MAX('Per Line'!$AL$2:$AL$1501),MATCH(ROWS($X$2:$X150),'Per Line'!$AL$2:$AL$1501,0),"")</f>
        <v/>
      </c>
    </row>
    <row r="151">
      <c r="A151">
        <f>IF($X151="","",INDEX('Per Line'!$C$2:$C$1501,$X151)&amp;"")</f>
        <v/>
      </c>
      <c r="B151" s="12" t="n"/>
      <c r="C151">
        <f>IF($X151="","",INDEX('Per Line'!$D$2:$D$1501,$X151)&amp;"")</f>
        <v/>
      </c>
      <c r="D151">
        <f>IF($X151="","",INDEX('Per Line'!$A$2:$A$1501,$X151))</f>
        <v/>
      </c>
      <c r="E151">
        <f>IF($X151="","",INDEX('Per Line'!$G$2:$G$1501,$X151)&amp;"")</f>
        <v/>
      </c>
      <c r="F151" s="11">
        <f>IF($X151="","",INDEX('Per Line'!$F$2:$F$1501,$X151))</f>
        <v/>
      </c>
      <c r="G151">
        <f>IF($X151="","",INDEX('Per Line'!$I$2:$I$1501,$X151)&amp;"")</f>
        <v/>
      </c>
      <c r="H151">
        <f>IF($X151="","",INDEX('Per Line'!$J$2:$J$1501,$X151)&amp;"")</f>
        <v/>
      </c>
      <c r="I151">
        <f>IF($X151="","",INDEX('Per Line'!$K$2:$K$1501,$X151)&amp;"")</f>
        <v/>
      </c>
      <c r="J151">
        <f>IF($X151="","",INDEX('Per Line'!$M$2:$M$1501,$X151))</f>
        <v/>
      </c>
      <c r="K151" s="7">
        <f>IF($X151="","",J151*V151/100)</f>
        <v/>
      </c>
      <c r="L151">
        <f>IF($X151="","",INDEX('Per Line'!$Y$2:$Y$1501,$X151)&amp;"")</f>
        <v/>
      </c>
      <c r="M151" s="7">
        <f>IF($X151="","",SUMIFS('Per Line'!$U$2:$U$1501,'Per Line'!$AJ$2:$AJ$1501,$A151&amp;"|"&amp;$C151,'Per Line'!$AN$2:$AN$1501,1))</f>
        <v/>
      </c>
      <c r="N151">
        <f>IF($X151="","",Settings!$C$7)</f>
        <v/>
      </c>
      <c r="O151" s="7">
        <f>IF($X151="","",SUMIFS('Per Line'!$U$2:$U$1501,'Per Line'!$AJ$2:$AJ$1501,$A151&amp;"|"&amp;$C151,'Per Line'!$AM$2:$AM$1501,0,'Per Line'!$AN$2:$AN$1501,0))</f>
        <v/>
      </c>
      <c r="P151" s="7">
        <f>IF($X151="","",O151*N151)</f>
        <v/>
      </c>
      <c r="Q151">
        <f>IF($X151="","",Settings!$C$6)</f>
        <v/>
      </c>
      <c r="R151" s="7">
        <f>IF($X151="","",SUMIFS('Per Line'!$U$2:$U$1501,'Per Line'!$AJ$2:$AJ$1501,$A151&amp;"|"&amp;$C151,'Per Line'!$AM$2:$AM$1501,1,'Per Line'!$AN$2:$AN$1501,0))</f>
        <v/>
      </c>
      <c r="S151" s="7">
        <f>IF($X151="","",R151*Q151)</f>
        <v/>
      </c>
      <c r="T151" s="7">
        <f>IF($X151="","",S151+P151)</f>
        <v/>
      </c>
      <c r="U151" s="7">
        <f>IF($X151="","",V151-T151)</f>
        <v/>
      </c>
      <c r="V151" s="7">
        <f>IF($X151="","",O151+R151+M151)</f>
        <v/>
      </c>
      <c r="W151" s="7">
        <f>IF($X151="","",V151-T151-K151)</f>
        <v/>
      </c>
      <c r="X151" s="13">
        <f>IF(ROWS($X$2:$X151)&lt;=MAX('Per Line'!$AL$2:$AL$1501),MATCH(ROWS($X$2:$X151),'Per Line'!$AL$2:$AL$1501,0),"")</f>
        <v/>
      </c>
    </row>
    <row r="152">
      <c r="A152">
        <f>IF($X152="","",INDEX('Per Line'!$C$2:$C$1501,$X152)&amp;"")</f>
        <v/>
      </c>
      <c r="B152" s="12" t="n"/>
      <c r="C152">
        <f>IF($X152="","",INDEX('Per Line'!$D$2:$D$1501,$X152)&amp;"")</f>
        <v/>
      </c>
      <c r="D152">
        <f>IF($X152="","",INDEX('Per Line'!$A$2:$A$1501,$X152))</f>
        <v/>
      </c>
      <c r="E152">
        <f>IF($X152="","",INDEX('Per Line'!$G$2:$G$1501,$X152)&amp;"")</f>
        <v/>
      </c>
      <c r="F152" s="11">
        <f>IF($X152="","",INDEX('Per Line'!$F$2:$F$1501,$X152))</f>
        <v/>
      </c>
      <c r="G152">
        <f>IF($X152="","",INDEX('Per Line'!$I$2:$I$1501,$X152)&amp;"")</f>
        <v/>
      </c>
      <c r="H152">
        <f>IF($X152="","",INDEX('Per Line'!$J$2:$J$1501,$X152)&amp;"")</f>
        <v/>
      </c>
      <c r="I152">
        <f>IF($X152="","",INDEX('Per Line'!$K$2:$K$1501,$X152)&amp;"")</f>
        <v/>
      </c>
      <c r="J152">
        <f>IF($X152="","",INDEX('Per Line'!$M$2:$M$1501,$X152))</f>
        <v/>
      </c>
      <c r="K152" s="7">
        <f>IF($X152="","",J152*V152/100)</f>
        <v/>
      </c>
      <c r="L152">
        <f>IF($X152="","",INDEX('Per Line'!$Y$2:$Y$1501,$X152)&amp;"")</f>
        <v/>
      </c>
      <c r="M152" s="7">
        <f>IF($X152="","",SUMIFS('Per Line'!$U$2:$U$1501,'Per Line'!$AJ$2:$AJ$1501,$A152&amp;"|"&amp;$C152,'Per Line'!$AN$2:$AN$1501,1))</f>
        <v/>
      </c>
      <c r="N152">
        <f>IF($X152="","",Settings!$C$7)</f>
        <v/>
      </c>
      <c r="O152" s="7">
        <f>IF($X152="","",SUMIFS('Per Line'!$U$2:$U$1501,'Per Line'!$AJ$2:$AJ$1501,$A152&amp;"|"&amp;$C152,'Per Line'!$AM$2:$AM$1501,0,'Per Line'!$AN$2:$AN$1501,0))</f>
        <v/>
      </c>
      <c r="P152" s="7">
        <f>IF($X152="","",O152*N152)</f>
        <v/>
      </c>
      <c r="Q152">
        <f>IF($X152="","",Settings!$C$6)</f>
        <v/>
      </c>
      <c r="R152" s="7">
        <f>IF($X152="","",SUMIFS('Per Line'!$U$2:$U$1501,'Per Line'!$AJ$2:$AJ$1501,$A152&amp;"|"&amp;$C152,'Per Line'!$AM$2:$AM$1501,1,'Per Line'!$AN$2:$AN$1501,0))</f>
        <v/>
      </c>
      <c r="S152" s="7">
        <f>IF($X152="","",R152*Q152)</f>
        <v/>
      </c>
      <c r="T152" s="7">
        <f>IF($X152="","",S152+P152)</f>
        <v/>
      </c>
      <c r="U152" s="7">
        <f>IF($X152="","",V152-T152)</f>
        <v/>
      </c>
      <c r="V152" s="7">
        <f>IF($X152="","",O152+R152+M152)</f>
        <v/>
      </c>
      <c r="W152" s="7">
        <f>IF($X152="","",V152-T152-K152)</f>
        <v/>
      </c>
      <c r="X152" s="13">
        <f>IF(ROWS($X$2:$X152)&lt;=MAX('Per Line'!$AL$2:$AL$1501),MATCH(ROWS($X$2:$X152),'Per Line'!$AL$2:$AL$1501,0),"")</f>
        <v/>
      </c>
    </row>
    <row r="153">
      <c r="A153">
        <f>IF($X153="","",INDEX('Per Line'!$C$2:$C$1501,$X153)&amp;"")</f>
        <v/>
      </c>
      <c r="B153" s="12" t="n"/>
      <c r="C153">
        <f>IF($X153="","",INDEX('Per Line'!$D$2:$D$1501,$X153)&amp;"")</f>
        <v/>
      </c>
      <c r="D153">
        <f>IF($X153="","",INDEX('Per Line'!$A$2:$A$1501,$X153))</f>
        <v/>
      </c>
      <c r="E153">
        <f>IF($X153="","",INDEX('Per Line'!$G$2:$G$1501,$X153)&amp;"")</f>
        <v/>
      </c>
      <c r="F153" s="11">
        <f>IF($X153="","",INDEX('Per Line'!$F$2:$F$1501,$X153))</f>
        <v/>
      </c>
      <c r="G153">
        <f>IF($X153="","",INDEX('Per Line'!$I$2:$I$1501,$X153)&amp;"")</f>
        <v/>
      </c>
      <c r="H153">
        <f>IF($X153="","",INDEX('Per Line'!$J$2:$J$1501,$X153)&amp;"")</f>
        <v/>
      </c>
      <c r="I153">
        <f>IF($X153="","",INDEX('Per Line'!$K$2:$K$1501,$X153)&amp;"")</f>
        <v/>
      </c>
      <c r="J153">
        <f>IF($X153="","",INDEX('Per Line'!$M$2:$M$1501,$X153))</f>
        <v/>
      </c>
      <c r="K153" s="7">
        <f>IF($X153="","",J153*V153/100)</f>
        <v/>
      </c>
      <c r="L153">
        <f>IF($X153="","",INDEX('Per Line'!$Y$2:$Y$1501,$X153)&amp;"")</f>
        <v/>
      </c>
      <c r="M153" s="7">
        <f>IF($X153="","",SUMIFS('Per Line'!$U$2:$U$1501,'Per Line'!$AJ$2:$AJ$1501,$A153&amp;"|"&amp;$C153,'Per Line'!$AN$2:$AN$1501,1))</f>
        <v/>
      </c>
      <c r="N153">
        <f>IF($X153="","",Settings!$C$7)</f>
        <v/>
      </c>
      <c r="O153" s="7">
        <f>IF($X153="","",SUMIFS('Per Line'!$U$2:$U$1501,'Per Line'!$AJ$2:$AJ$1501,$A153&amp;"|"&amp;$C153,'Per Line'!$AM$2:$AM$1501,0,'Per Line'!$AN$2:$AN$1501,0))</f>
        <v/>
      </c>
      <c r="P153" s="7">
        <f>IF($X153="","",O153*N153)</f>
        <v/>
      </c>
      <c r="Q153">
        <f>IF($X153="","",Settings!$C$6)</f>
        <v/>
      </c>
      <c r="R153" s="7">
        <f>IF($X153="","",SUMIFS('Per Line'!$U$2:$U$1501,'Per Line'!$AJ$2:$AJ$1501,$A153&amp;"|"&amp;$C153,'Per Line'!$AM$2:$AM$1501,1,'Per Line'!$AN$2:$AN$1501,0))</f>
        <v/>
      </c>
      <c r="S153" s="7">
        <f>IF($X153="","",R153*Q153)</f>
        <v/>
      </c>
      <c r="T153" s="7">
        <f>IF($X153="","",S153+P153)</f>
        <v/>
      </c>
      <c r="U153" s="7">
        <f>IF($X153="","",V153-T153)</f>
        <v/>
      </c>
      <c r="V153" s="7">
        <f>IF($X153="","",O153+R153+M153)</f>
        <v/>
      </c>
      <c r="W153" s="7">
        <f>IF($X153="","",V153-T153-K153)</f>
        <v/>
      </c>
      <c r="X153" s="13">
        <f>IF(ROWS($X$2:$X153)&lt;=MAX('Per Line'!$AL$2:$AL$1501),MATCH(ROWS($X$2:$X153),'Per Line'!$AL$2:$AL$1501,0),"")</f>
        <v/>
      </c>
    </row>
    <row r="154">
      <c r="A154">
        <f>IF($X154="","",INDEX('Per Line'!$C$2:$C$1501,$X154)&amp;"")</f>
        <v/>
      </c>
      <c r="B154" s="12" t="n"/>
      <c r="C154">
        <f>IF($X154="","",INDEX('Per Line'!$D$2:$D$1501,$X154)&amp;"")</f>
        <v/>
      </c>
      <c r="D154">
        <f>IF($X154="","",INDEX('Per Line'!$A$2:$A$1501,$X154))</f>
        <v/>
      </c>
      <c r="E154">
        <f>IF($X154="","",INDEX('Per Line'!$G$2:$G$1501,$X154)&amp;"")</f>
        <v/>
      </c>
      <c r="F154" s="11">
        <f>IF($X154="","",INDEX('Per Line'!$F$2:$F$1501,$X154))</f>
        <v/>
      </c>
      <c r="G154">
        <f>IF($X154="","",INDEX('Per Line'!$I$2:$I$1501,$X154)&amp;"")</f>
        <v/>
      </c>
      <c r="H154">
        <f>IF($X154="","",INDEX('Per Line'!$J$2:$J$1501,$X154)&amp;"")</f>
        <v/>
      </c>
      <c r="I154">
        <f>IF($X154="","",INDEX('Per Line'!$K$2:$K$1501,$X154)&amp;"")</f>
        <v/>
      </c>
      <c r="J154">
        <f>IF($X154="","",INDEX('Per Line'!$M$2:$M$1501,$X154))</f>
        <v/>
      </c>
      <c r="K154" s="7">
        <f>IF($X154="","",J154*V154/100)</f>
        <v/>
      </c>
      <c r="L154">
        <f>IF($X154="","",INDEX('Per Line'!$Y$2:$Y$1501,$X154)&amp;"")</f>
        <v/>
      </c>
      <c r="M154" s="7">
        <f>IF($X154="","",SUMIFS('Per Line'!$U$2:$U$1501,'Per Line'!$AJ$2:$AJ$1501,$A154&amp;"|"&amp;$C154,'Per Line'!$AN$2:$AN$1501,1))</f>
        <v/>
      </c>
      <c r="N154">
        <f>IF($X154="","",Settings!$C$7)</f>
        <v/>
      </c>
      <c r="O154" s="7">
        <f>IF($X154="","",SUMIFS('Per Line'!$U$2:$U$1501,'Per Line'!$AJ$2:$AJ$1501,$A154&amp;"|"&amp;$C154,'Per Line'!$AM$2:$AM$1501,0,'Per Line'!$AN$2:$AN$1501,0))</f>
        <v/>
      </c>
      <c r="P154" s="7">
        <f>IF($X154="","",O154*N154)</f>
        <v/>
      </c>
      <c r="Q154">
        <f>IF($X154="","",Settings!$C$6)</f>
        <v/>
      </c>
      <c r="R154" s="7">
        <f>IF($X154="","",SUMIFS('Per Line'!$U$2:$U$1501,'Per Line'!$AJ$2:$AJ$1501,$A154&amp;"|"&amp;$C154,'Per Line'!$AM$2:$AM$1501,1,'Per Line'!$AN$2:$AN$1501,0))</f>
        <v/>
      </c>
      <c r="S154" s="7">
        <f>IF($X154="","",R154*Q154)</f>
        <v/>
      </c>
      <c r="T154" s="7">
        <f>IF($X154="","",S154+P154)</f>
        <v/>
      </c>
      <c r="U154" s="7">
        <f>IF($X154="","",V154-T154)</f>
        <v/>
      </c>
      <c r="V154" s="7">
        <f>IF($X154="","",O154+R154+M154)</f>
        <v/>
      </c>
      <c r="W154" s="7">
        <f>IF($X154="","",V154-T154-K154)</f>
        <v/>
      </c>
      <c r="X154" s="13">
        <f>IF(ROWS($X$2:$X154)&lt;=MAX('Per Line'!$AL$2:$AL$1501),MATCH(ROWS($X$2:$X154),'Per Line'!$AL$2:$AL$1501,0),"")</f>
        <v/>
      </c>
    </row>
    <row r="155">
      <c r="A155">
        <f>IF($X155="","",INDEX('Per Line'!$C$2:$C$1501,$X155)&amp;"")</f>
        <v/>
      </c>
      <c r="B155" s="12" t="n"/>
      <c r="C155">
        <f>IF($X155="","",INDEX('Per Line'!$D$2:$D$1501,$X155)&amp;"")</f>
        <v/>
      </c>
      <c r="D155">
        <f>IF($X155="","",INDEX('Per Line'!$A$2:$A$1501,$X155))</f>
        <v/>
      </c>
      <c r="E155">
        <f>IF($X155="","",INDEX('Per Line'!$G$2:$G$1501,$X155)&amp;"")</f>
        <v/>
      </c>
      <c r="F155" s="11">
        <f>IF($X155="","",INDEX('Per Line'!$F$2:$F$1501,$X155))</f>
        <v/>
      </c>
      <c r="G155">
        <f>IF($X155="","",INDEX('Per Line'!$I$2:$I$1501,$X155)&amp;"")</f>
        <v/>
      </c>
      <c r="H155">
        <f>IF($X155="","",INDEX('Per Line'!$J$2:$J$1501,$X155)&amp;"")</f>
        <v/>
      </c>
      <c r="I155">
        <f>IF($X155="","",INDEX('Per Line'!$K$2:$K$1501,$X155)&amp;"")</f>
        <v/>
      </c>
      <c r="J155">
        <f>IF($X155="","",INDEX('Per Line'!$M$2:$M$1501,$X155))</f>
        <v/>
      </c>
      <c r="K155" s="7">
        <f>IF($X155="","",J155*V155/100)</f>
        <v/>
      </c>
      <c r="L155">
        <f>IF($X155="","",INDEX('Per Line'!$Y$2:$Y$1501,$X155)&amp;"")</f>
        <v/>
      </c>
      <c r="M155" s="7">
        <f>IF($X155="","",SUMIFS('Per Line'!$U$2:$U$1501,'Per Line'!$AJ$2:$AJ$1501,$A155&amp;"|"&amp;$C155,'Per Line'!$AN$2:$AN$1501,1))</f>
        <v/>
      </c>
      <c r="N155">
        <f>IF($X155="","",Settings!$C$7)</f>
        <v/>
      </c>
      <c r="O155" s="7">
        <f>IF($X155="","",SUMIFS('Per Line'!$U$2:$U$1501,'Per Line'!$AJ$2:$AJ$1501,$A155&amp;"|"&amp;$C155,'Per Line'!$AM$2:$AM$1501,0,'Per Line'!$AN$2:$AN$1501,0))</f>
        <v/>
      </c>
      <c r="P155" s="7">
        <f>IF($X155="","",O155*N155)</f>
        <v/>
      </c>
      <c r="Q155">
        <f>IF($X155="","",Settings!$C$6)</f>
        <v/>
      </c>
      <c r="R155" s="7">
        <f>IF($X155="","",SUMIFS('Per Line'!$U$2:$U$1501,'Per Line'!$AJ$2:$AJ$1501,$A155&amp;"|"&amp;$C155,'Per Line'!$AM$2:$AM$1501,1,'Per Line'!$AN$2:$AN$1501,0))</f>
        <v/>
      </c>
      <c r="S155" s="7">
        <f>IF($X155="","",R155*Q155)</f>
        <v/>
      </c>
      <c r="T155" s="7">
        <f>IF($X155="","",S155+P155)</f>
        <v/>
      </c>
      <c r="U155" s="7">
        <f>IF($X155="","",V155-T155)</f>
        <v/>
      </c>
      <c r="V155" s="7">
        <f>IF($X155="","",O155+R155+M155)</f>
        <v/>
      </c>
      <c r="W155" s="7">
        <f>IF($X155="","",V155-T155-K155)</f>
        <v/>
      </c>
      <c r="X155" s="13">
        <f>IF(ROWS($X$2:$X155)&lt;=MAX('Per Line'!$AL$2:$AL$1501),MATCH(ROWS($X$2:$X155),'Per Line'!$AL$2:$AL$1501,0),"")</f>
        <v/>
      </c>
    </row>
    <row r="156">
      <c r="A156">
        <f>IF($X156="","",INDEX('Per Line'!$C$2:$C$1501,$X156)&amp;"")</f>
        <v/>
      </c>
      <c r="B156" s="12" t="n"/>
      <c r="C156">
        <f>IF($X156="","",INDEX('Per Line'!$D$2:$D$1501,$X156)&amp;"")</f>
        <v/>
      </c>
      <c r="D156">
        <f>IF($X156="","",INDEX('Per Line'!$A$2:$A$1501,$X156))</f>
        <v/>
      </c>
      <c r="E156">
        <f>IF($X156="","",INDEX('Per Line'!$G$2:$G$1501,$X156)&amp;"")</f>
        <v/>
      </c>
      <c r="F156" s="11">
        <f>IF($X156="","",INDEX('Per Line'!$F$2:$F$1501,$X156))</f>
        <v/>
      </c>
      <c r="G156">
        <f>IF($X156="","",INDEX('Per Line'!$I$2:$I$1501,$X156)&amp;"")</f>
        <v/>
      </c>
      <c r="H156">
        <f>IF($X156="","",INDEX('Per Line'!$J$2:$J$1501,$X156)&amp;"")</f>
        <v/>
      </c>
      <c r="I156">
        <f>IF($X156="","",INDEX('Per Line'!$K$2:$K$1501,$X156)&amp;"")</f>
        <v/>
      </c>
      <c r="J156">
        <f>IF($X156="","",INDEX('Per Line'!$M$2:$M$1501,$X156))</f>
        <v/>
      </c>
      <c r="K156" s="7">
        <f>IF($X156="","",J156*V156/100)</f>
        <v/>
      </c>
      <c r="L156">
        <f>IF($X156="","",INDEX('Per Line'!$Y$2:$Y$1501,$X156)&amp;"")</f>
        <v/>
      </c>
      <c r="M156" s="7">
        <f>IF($X156="","",SUMIFS('Per Line'!$U$2:$U$1501,'Per Line'!$AJ$2:$AJ$1501,$A156&amp;"|"&amp;$C156,'Per Line'!$AN$2:$AN$1501,1))</f>
        <v/>
      </c>
      <c r="N156">
        <f>IF($X156="","",Settings!$C$7)</f>
        <v/>
      </c>
      <c r="O156" s="7">
        <f>IF($X156="","",SUMIFS('Per Line'!$U$2:$U$1501,'Per Line'!$AJ$2:$AJ$1501,$A156&amp;"|"&amp;$C156,'Per Line'!$AM$2:$AM$1501,0,'Per Line'!$AN$2:$AN$1501,0))</f>
        <v/>
      </c>
      <c r="P156" s="7">
        <f>IF($X156="","",O156*N156)</f>
        <v/>
      </c>
      <c r="Q156">
        <f>IF($X156="","",Settings!$C$6)</f>
        <v/>
      </c>
      <c r="R156" s="7">
        <f>IF($X156="","",SUMIFS('Per Line'!$U$2:$U$1501,'Per Line'!$AJ$2:$AJ$1501,$A156&amp;"|"&amp;$C156,'Per Line'!$AM$2:$AM$1501,1,'Per Line'!$AN$2:$AN$1501,0))</f>
        <v/>
      </c>
      <c r="S156" s="7">
        <f>IF($X156="","",R156*Q156)</f>
        <v/>
      </c>
      <c r="T156" s="7">
        <f>IF($X156="","",S156+P156)</f>
        <v/>
      </c>
      <c r="U156" s="7">
        <f>IF($X156="","",V156-T156)</f>
        <v/>
      </c>
      <c r="V156" s="7">
        <f>IF($X156="","",O156+R156+M156)</f>
        <v/>
      </c>
      <c r="W156" s="7">
        <f>IF($X156="","",V156-T156-K156)</f>
        <v/>
      </c>
      <c r="X156" s="13">
        <f>IF(ROWS($X$2:$X156)&lt;=MAX('Per Line'!$AL$2:$AL$1501),MATCH(ROWS($X$2:$X156),'Per Line'!$AL$2:$AL$1501,0),"")</f>
        <v/>
      </c>
    </row>
    <row r="157">
      <c r="A157">
        <f>IF($X157="","",INDEX('Per Line'!$C$2:$C$1501,$X157)&amp;"")</f>
        <v/>
      </c>
      <c r="B157" s="12" t="n"/>
      <c r="C157">
        <f>IF($X157="","",INDEX('Per Line'!$D$2:$D$1501,$X157)&amp;"")</f>
        <v/>
      </c>
      <c r="D157">
        <f>IF($X157="","",INDEX('Per Line'!$A$2:$A$1501,$X157))</f>
        <v/>
      </c>
      <c r="E157">
        <f>IF($X157="","",INDEX('Per Line'!$G$2:$G$1501,$X157)&amp;"")</f>
        <v/>
      </c>
      <c r="F157" s="11">
        <f>IF($X157="","",INDEX('Per Line'!$F$2:$F$1501,$X157))</f>
        <v/>
      </c>
      <c r="G157">
        <f>IF($X157="","",INDEX('Per Line'!$I$2:$I$1501,$X157)&amp;"")</f>
        <v/>
      </c>
      <c r="H157">
        <f>IF($X157="","",INDEX('Per Line'!$J$2:$J$1501,$X157)&amp;"")</f>
        <v/>
      </c>
      <c r="I157">
        <f>IF($X157="","",INDEX('Per Line'!$K$2:$K$1501,$X157)&amp;"")</f>
        <v/>
      </c>
      <c r="J157">
        <f>IF($X157="","",INDEX('Per Line'!$M$2:$M$1501,$X157))</f>
        <v/>
      </c>
      <c r="K157" s="7">
        <f>IF($X157="","",J157*V157/100)</f>
        <v/>
      </c>
      <c r="L157">
        <f>IF($X157="","",INDEX('Per Line'!$Y$2:$Y$1501,$X157)&amp;"")</f>
        <v/>
      </c>
      <c r="M157" s="7">
        <f>IF($X157="","",SUMIFS('Per Line'!$U$2:$U$1501,'Per Line'!$AJ$2:$AJ$1501,$A157&amp;"|"&amp;$C157,'Per Line'!$AN$2:$AN$1501,1))</f>
        <v/>
      </c>
      <c r="N157">
        <f>IF($X157="","",Settings!$C$7)</f>
        <v/>
      </c>
      <c r="O157" s="7">
        <f>IF($X157="","",SUMIFS('Per Line'!$U$2:$U$1501,'Per Line'!$AJ$2:$AJ$1501,$A157&amp;"|"&amp;$C157,'Per Line'!$AM$2:$AM$1501,0,'Per Line'!$AN$2:$AN$1501,0))</f>
        <v/>
      </c>
      <c r="P157" s="7">
        <f>IF($X157="","",O157*N157)</f>
        <v/>
      </c>
      <c r="Q157">
        <f>IF($X157="","",Settings!$C$6)</f>
        <v/>
      </c>
      <c r="R157" s="7">
        <f>IF($X157="","",SUMIFS('Per Line'!$U$2:$U$1501,'Per Line'!$AJ$2:$AJ$1501,$A157&amp;"|"&amp;$C157,'Per Line'!$AM$2:$AM$1501,1,'Per Line'!$AN$2:$AN$1501,0))</f>
        <v/>
      </c>
      <c r="S157" s="7">
        <f>IF($X157="","",R157*Q157)</f>
        <v/>
      </c>
      <c r="T157" s="7">
        <f>IF($X157="","",S157+P157)</f>
        <v/>
      </c>
      <c r="U157" s="7">
        <f>IF($X157="","",V157-T157)</f>
        <v/>
      </c>
      <c r="V157" s="7">
        <f>IF($X157="","",O157+R157+M157)</f>
        <v/>
      </c>
      <c r="W157" s="7">
        <f>IF($X157="","",V157-T157-K157)</f>
        <v/>
      </c>
      <c r="X157" s="13">
        <f>IF(ROWS($X$2:$X157)&lt;=MAX('Per Line'!$AL$2:$AL$1501),MATCH(ROWS($X$2:$X157),'Per Line'!$AL$2:$AL$1501,0),"")</f>
        <v/>
      </c>
    </row>
    <row r="158">
      <c r="A158">
        <f>IF($X158="","",INDEX('Per Line'!$C$2:$C$1501,$X158)&amp;"")</f>
        <v/>
      </c>
      <c r="B158" s="12" t="n"/>
      <c r="C158">
        <f>IF($X158="","",INDEX('Per Line'!$D$2:$D$1501,$X158)&amp;"")</f>
        <v/>
      </c>
      <c r="D158">
        <f>IF($X158="","",INDEX('Per Line'!$A$2:$A$1501,$X158))</f>
        <v/>
      </c>
      <c r="E158">
        <f>IF($X158="","",INDEX('Per Line'!$G$2:$G$1501,$X158)&amp;"")</f>
        <v/>
      </c>
      <c r="F158" s="11">
        <f>IF($X158="","",INDEX('Per Line'!$F$2:$F$1501,$X158))</f>
        <v/>
      </c>
      <c r="G158">
        <f>IF($X158="","",INDEX('Per Line'!$I$2:$I$1501,$X158)&amp;"")</f>
        <v/>
      </c>
      <c r="H158">
        <f>IF($X158="","",INDEX('Per Line'!$J$2:$J$1501,$X158)&amp;"")</f>
        <v/>
      </c>
      <c r="I158">
        <f>IF($X158="","",INDEX('Per Line'!$K$2:$K$1501,$X158)&amp;"")</f>
        <v/>
      </c>
      <c r="J158">
        <f>IF($X158="","",INDEX('Per Line'!$M$2:$M$1501,$X158))</f>
        <v/>
      </c>
      <c r="K158" s="7">
        <f>IF($X158="","",J158*V158/100)</f>
        <v/>
      </c>
      <c r="L158">
        <f>IF($X158="","",INDEX('Per Line'!$Y$2:$Y$1501,$X158)&amp;"")</f>
        <v/>
      </c>
      <c r="M158" s="7">
        <f>IF($X158="","",SUMIFS('Per Line'!$U$2:$U$1501,'Per Line'!$AJ$2:$AJ$1501,$A158&amp;"|"&amp;$C158,'Per Line'!$AN$2:$AN$1501,1))</f>
        <v/>
      </c>
      <c r="N158">
        <f>IF($X158="","",Settings!$C$7)</f>
        <v/>
      </c>
      <c r="O158" s="7">
        <f>IF($X158="","",SUMIFS('Per Line'!$U$2:$U$1501,'Per Line'!$AJ$2:$AJ$1501,$A158&amp;"|"&amp;$C158,'Per Line'!$AM$2:$AM$1501,0,'Per Line'!$AN$2:$AN$1501,0))</f>
        <v/>
      </c>
      <c r="P158" s="7">
        <f>IF($X158="","",O158*N158)</f>
        <v/>
      </c>
      <c r="Q158">
        <f>IF($X158="","",Settings!$C$6)</f>
        <v/>
      </c>
      <c r="R158" s="7">
        <f>IF($X158="","",SUMIFS('Per Line'!$U$2:$U$1501,'Per Line'!$AJ$2:$AJ$1501,$A158&amp;"|"&amp;$C158,'Per Line'!$AM$2:$AM$1501,1,'Per Line'!$AN$2:$AN$1501,0))</f>
        <v/>
      </c>
      <c r="S158" s="7">
        <f>IF($X158="","",R158*Q158)</f>
        <v/>
      </c>
      <c r="T158" s="7">
        <f>IF($X158="","",S158+P158)</f>
        <v/>
      </c>
      <c r="U158" s="7">
        <f>IF($X158="","",V158-T158)</f>
        <v/>
      </c>
      <c r="V158" s="7">
        <f>IF($X158="","",O158+R158+M158)</f>
        <v/>
      </c>
      <c r="W158" s="7">
        <f>IF($X158="","",V158-T158-K158)</f>
        <v/>
      </c>
      <c r="X158" s="13">
        <f>IF(ROWS($X$2:$X158)&lt;=MAX('Per Line'!$AL$2:$AL$1501),MATCH(ROWS($X$2:$X158),'Per Line'!$AL$2:$AL$1501,0),"")</f>
        <v/>
      </c>
    </row>
    <row r="159">
      <c r="A159">
        <f>IF($X159="","",INDEX('Per Line'!$C$2:$C$1501,$X159)&amp;"")</f>
        <v/>
      </c>
      <c r="B159" s="12" t="n"/>
      <c r="C159">
        <f>IF($X159="","",INDEX('Per Line'!$D$2:$D$1501,$X159)&amp;"")</f>
        <v/>
      </c>
      <c r="D159">
        <f>IF($X159="","",INDEX('Per Line'!$A$2:$A$1501,$X159))</f>
        <v/>
      </c>
      <c r="E159">
        <f>IF($X159="","",INDEX('Per Line'!$G$2:$G$1501,$X159)&amp;"")</f>
        <v/>
      </c>
      <c r="F159" s="11">
        <f>IF($X159="","",INDEX('Per Line'!$F$2:$F$1501,$X159))</f>
        <v/>
      </c>
      <c r="G159">
        <f>IF($X159="","",INDEX('Per Line'!$I$2:$I$1501,$X159)&amp;"")</f>
        <v/>
      </c>
      <c r="H159">
        <f>IF($X159="","",INDEX('Per Line'!$J$2:$J$1501,$X159)&amp;"")</f>
        <v/>
      </c>
      <c r="I159">
        <f>IF($X159="","",INDEX('Per Line'!$K$2:$K$1501,$X159)&amp;"")</f>
        <v/>
      </c>
      <c r="J159">
        <f>IF($X159="","",INDEX('Per Line'!$M$2:$M$1501,$X159))</f>
        <v/>
      </c>
      <c r="K159" s="7">
        <f>IF($X159="","",J159*V159/100)</f>
        <v/>
      </c>
      <c r="L159">
        <f>IF($X159="","",INDEX('Per Line'!$Y$2:$Y$1501,$X159)&amp;"")</f>
        <v/>
      </c>
      <c r="M159" s="7">
        <f>IF($X159="","",SUMIFS('Per Line'!$U$2:$U$1501,'Per Line'!$AJ$2:$AJ$1501,$A159&amp;"|"&amp;$C159,'Per Line'!$AN$2:$AN$1501,1))</f>
        <v/>
      </c>
      <c r="N159">
        <f>IF($X159="","",Settings!$C$7)</f>
        <v/>
      </c>
      <c r="O159" s="7">
        <f>IF($X159="","",SUMIFS('Per Line'!$U$2:$U$1501,'Per Line'!$AJ$2:$AJ$1501,$A159&amp;"|"&amp;$C159,'Per Line'!$AM$2:$AM$1501,0,'Per Line'!$AN$2:$AN$1501,0))</f>
        <v/>
      </c>
      <c r="P159" s="7">
        <f>IF($X159="","",O159*N159)</f>
        <v/>
      </c>
      <c r="Q159">
        <f>IF($X159="","",Settings!$C$6)</f>
        <v/>
      </c>
      <c r="R159" s="7">
        <f>IF($X159="","",SUMIFS('Per Line'!$U$2:$U$1501,'Per Line'!$AJ$2:$AJ$1501,$A159&amp;"|"&amp;$C159,'Per Line'!$AM$2:$AM$1501,1,'Per Line'!$AN$2:$AN$1501,0))</f>
        <v/>
      </c>
      <c r="S159" s="7">
        <f>IF($X159="","",R159*Q159)</f>
        <v/>
      </c>
      <c r="T159" s="7">
        <f>IF($X159="","",S159+P159)</f>
        <v/>
      </c>
      <c r="U159" s="7">
        <f>IF($X159="","",V159-T159)</f>
        <v/>
      </c>
      <c r="V159" s="7">
        <f>IF($X159="","",O159+R159+M159)</f>
        <v/>
      </c>
      <c r="W159" s="7">
        <f>IF($X159="","",V159-T159-K159)</f>
        <v/>
      </c>
      <c r="X159" s="13">
        <f>IF(ROWS($X$2:$X159)&lt;=MAX('Per Line'!$AL$2:$AL$1501),MATCH(ROWS($X$2:$X159),'Per Line'!$AL$2:$AL$1501,0),"")</f>
        <v/>
      </c>
    </row>
    <row r="160">
      <c r="A160">
        <f>IF($X160="","",INDEX('Per Line'!$C$2:$C$1501,$X160)&amp;"")</f>
        <v/>
      </c>
      <c r="B160" s="12" t="n"/>
      <c r="C160">
        <f>IF($X160="","",INDEX('Per Line'!$D$2:$D$1501,$X160)&amp;"")</f>
        <v/>
      </c>
      <c r="D160">
        <f>IF($X160="","",INDEX('Per Line'!$A$2:$A$1501,$X160))</f>
        <v/>
      </c>
      <c r="E160">
        <f>IF($X160="","",INDEX('Per Line'!$G$2:$G$1501,$X160)&amp;"")</f>
        <v/>
      </c>
      <c r="F160" s="11">
        <f>IF($X160="","",INDEX('Per Line'!$F$2:$F$1501,$X160))</f>
        <v/>
      </c>
      <c r="G160">
        <f>IF($X160="","",INDEX('Per Line'!$I$2:$I$1501,$X160)&amp;"")</f>
        <v/>
      </c>
      <c r="H160">
        <f>IF($X160="","",INDEX('Per Line'!$J$2:$J$1501,$X160)&amp;"")</f>
        <v/>
      </c>
      <c r="I160">
        <f>IF($X160="","",INDEX('Per Line'!$K$2:$K$1501,$X160)&amp;"")</f>
        <v/>
      </c>
      <c r="J160">
        <f>IF($X160="","",INDEX('Per Line'!$M$2:$M$1501,$X160))</f>
        <v/>
      </c>
      <c r="K160" s="7">
        <f>IF($X160="","",J160*V160/100)</f>
        <v/>
      </c>
      <c r="L160">
        <f>IF($X160="","",INDEX('Per Line'!$Y$2:$Y$1501,$X160)&amp;"")</f>
        <v/>
      </c>
      <c r="M160" s="7">
        <f>IF($X160="","",SUMIFS('Per Line'!$U$2:$U$1501,'Per Line'!$AJ$2:$AJ$1501,$A160&amp;"|"&amp;$C160,'Per Line'!$AN$2:$AN$1501,1))</f>
        <v/>
      </c>
      <c r="N160">
        <f>IF($X160="","",Settings!$C$7)</f>
        <v/>
      </c>
      <c r="O160" s="7">
        <f>IF($X160="","",SUMIFS('Per Line'!$U$2:$U$1501,'Per Line'!$AJ$2:$AJ$1501,$A160&amp;"|"&amp;$C160,'Per Line'!$AM$2:$AM$1501,0,'Per Line'!$AN$2:$AN$1501,0))</f>
        <v/>
      </c>
      <c r="P160" s="7">
        <f>IF($X160="","",O160*N160)</f>
        <v/>
      </c>
      <c r="Q160">
        <f>IF($X160="","",Settings!$C$6)</f>
        <v/>
      </c>
      <c r="R160" s="7">
        <f>IF($X160="","",SUMIFS('Per Line'!$U$2:$U$1501,'Per Line'!$AJ$2:$AJ$1501,$A160&amp;"|"&amp;$C160,'Per Line'!$AM$2:$AM$1501,1,'Per Line'!$AN$2:$AN$1501,0))</f>
        <v/>
      </c>
      <c r="S160" s="7">
        <f>IF($X160="","",R160*Q160)</f>
        <v/>
      </c>
      <c r="T160" s="7">
        <f>IF($X160="","",S160+P160)</f>
        <v/>
      </c>
      <c r="U160" s="7">
        <f>IF($X160="","",V160-T160)</f>
        <v/>
      </c>
      <c r="V160" s="7">
        <f>IF($X160="","",O160+R160+M160)</f>
        <v/>
      </c>
      <c r="W160" s="7">
        <f>IF($X160="","",V160-T160-K160)</f>
        <v/>
      </c>
      <c r="X160" s="13">
        <f>IF(ROWS($X$2:$X160)&lt;=MAX('Per Line'!$AL$2:$AL$1501),MATCH(ROWS($X$2:$X160),'Per Line'!$AL$2:$AL$1501,0),"")</f>
        <v/>
      </c>
    </row>
    <row r="161">
      <c r="A161">
        <f>IF($X161="","",INDEX('Per Line'!$C$2:$C$1501,$X161)&amp;"")</f>
        <v/>
      </c>
      <c r="B161" s="12" t="n"/>
      <c r="C161">
        <f>IF($X161="","",INDEX('Per Line'!$D$2:$D$1501,$X161)&amp;"")</f>
        <v/>
      </c>
      <c r="D161">
        <f>IF($X161="","",INDEX('Per Line'!$A$2:$A$1501,$X161))</f>
        <v/>
      </c>
      <c r="E161">
        <f>IF($X161="","",INDEX('Per Line'!$G$2:$G$1501,$X161)&amp;"")</f>
        <v/>
      </c>
      <c r="F161" s="11">
        <f>IF($X161="","",INDEX('Per Line'!$F$2:$F$1501,$X161))</f>
        <v/>
      </c>
      <c r="G161">
        <f>IF($X161="","",INDEX('Per Line'!$I$2:$I$1501,$X161)&amp;"")</f>
        <v/>
      </c>
      <c r="H161">
        <f>IF($X161="","",INDEX('Per Line'!$J$2:$J$1501,$X161)&amp;"")</f>
        <v/>
      </c>
      <c r="I161">
        <f>IF($X161="","",INDEX('Per Line'!$K$2:$K$1501,$X161)&amp;"")</f>
        <v/>
      </c>
      <c r="J161">
        <f>IF($X161="","",INDEX('Per Line'!$M$2:$M$1501,$X161))</f>
        <v/>
      </c>
      <c r="K161" s="7">
        <f>IF($X161="","",J161*V161/100)</f>
        <v/>
      </c>
      <c r="L161">
        <f>IF($X161="","",INDEX('Per Line'!$Y$2:$Y$1501,$X161)&amp;"")</f>
        <v/>
      </c>
      <c r="M161" s="7">
        <f>IF($X161="","",SUMIFS('Per Line'!$U$2:$U$1501,'Per Line'!$AJ$2:$AJ$1501,$A161&amp;"|"&amp;$C161,'Per Line'!$AN$2:$AN$1501,1))</f>
        <v/>
      </c>
      <c r="N161">
        <f>IF($X161="","",Settings!$C$7)</f>
        <v/>
      </c>
      <c r="O161" s="7">
        <f>IF($X161="","",SUMIFS('Per Line'!$U$2:$U$1501,'Per Line'!$AJ$2:$AJ$1501,$A161&amp;"|"&amp;$C161,'Per Line'!$AM$2:$AM$1501,0,'Per Line'!$AN$2:$AN$1501,0))</f>
        <v/>
      </c>
      <c r="P161" s="7">
        <f>IF($X161="","",O161*N161)</f>
        <v/>
      </c>
      <c r="Q161">
        <f>IF($X161="","",Settings!$C$6)</f>
        <v/>
      </c>
      <c r="R161" s="7">
        <f>IF($X161="","",SUMIFS('Per Line'!$U$2:$U$1501,'Per Line'!$AJ$2:$AJ$1501,$A161&amp;"|"&amp;$C161,'Per Line'!$AM$2:$AM$1501,1,'Per Line'!$AN$2:$AN$1501,0))</f>
        <v/>
      </c>
      <c r="S161" s="7">
        <f>IF($X161="","",R161*Q161)</f>
        <v/>
      </c>
      <c r="T161" s="7">
        <f>IF($X161="","",S161+P161)</f>
        <v/>
      </c>
      <c r="U161" s="7">
        <f>IF($X161="","",V161-T161)</f>
        <v/>
      </c>
      <c r="V161" s="7">
        <f>IF($X161="","",O161+R161+M161)</f>
        <v/>
      </c>
      <c r="W161" s="7">
        <f>IF($X161="","",V161-T161-K161)</f>
        <v/>
      </c>
      <c r="X161" s="13">
        <f>IF(ROWS($X$2:$X161)&lt;=MAX('Per Line'!$AL$2:$AL$1501),MATCH(ROWS($X$2:$X161),'Per Line'!$AL$2:$AL$1501,0),"")</f>
        <v/>
      </c>
    </row>
    <row r="162">
      <c r="A162">
        <f>IF($X162="","",INDEX('Per Line'!$C$2:$C$1501,$X162)&amp;"")</f>
        <v/>
      </c>
      <c r="B162" s="12" t="n"/>
      <c r="C162">
        <f>IF($X162="","",INDEX('Per Line'!$D$2:$D$1501,$X162)&amp;"")</f>
        <v/>
      </c>
      <c r="D162">
        <f>IF($X162="","",INDEX('Per Line'!$A$2:$A$1501,$X162))</f>
        <v/>
      </c>
      <c r="E162">
        <f>IF($X162="","",INDEX('Per Line'!$G$2:$G$1501,$X162)&amp;"")</f>
        <v/>
      </c>
      <c r="F162" s="11">
        <f>IF($X162="","",INDEX('Per Line'!$F$2:$F$1501,$X162))</f>
        <v/>
      </c>
      <c r="G162">
        <f>IF($X162="","",INDEX('Per Line'!$I$2:$I$1501,$X162)&amp;"")</f>
        <v/>
      </c>
      <c r="H162">
        <f>IF($X162="","",INDEX('Per Line'!$J$2:$J$1501,$X162)&amp;"")</f>
        <v/>
      </c>
      <c r="I162">
        <f>IF($X162="","",INDEX('Per Line'!$K$2:$K$1501,$X162)&amp;"")</f>
        <v/>
      </c>
      <c r="J162">
        <f>IF($X162="","",INDEX('Per Line'!$M$2:$M$1501,$X162))</f>
        <v/>
      </c>
      <c r="K162" s="7">
        <f>IF($X162="","",J162*V162/100)</f>
        <v/>
      </c>
      <c r="L162">
        <f>IF($X162="","",INDEX('Per Line'!$Y$2:$Y$1501,$X162)&amp;"")</f>
        <v/>
      </c>
      <c r="M162" s="7">
        <f>IF($X162="","",SUMIFS('Per Line'!$U$2:$U$1501,'Per Line'!$AJ$2:$AJ$1501,$A162&amp;"|"&amp;$C162,'Per Line'!$AN$2:$AN$1501,1))</f>
        <v/>
      </c>
      <c r="N162">
        <f>IF($X162="","",Settings!$C$7)</f>
        <v/>
      </c>
      <c r="O162" s="7">
        <f>IF($X162="","",SUMIFS('Per Line'!$U$2:$U$1501,'Per Line'!$AJ$2:$AJ$1501,$A162&amp;"|"&amp;$C162,'Per Line'!$AM$2:$AM$1501,0,'Per Line'!$AN$2:$AN$1501,0))</f>
        <v/>
      </c>
      <c r="P162" s="7">
        <f>IF($X162="","",O162*N162)</f>
        <v/>
      </c>
      <c r="Q162">
        <f>IF($X162="","",Settings!$C$6)</f>
        <v/>
      </c>
      <c r="R162" s="7">
        <f>IF($X162="","",SUMIFS('Per Line'!$U$2:$U$1501,'Per Line'!$AJ$2:$AJ$1501,$A162&amp;"|"&amp;$C162,'Per Line'!$AM$2:$AM$1501,1,'Per Line'!$AN$2:$AN$1501,0))</f>
        <v/>
      </c>
      <c r="S162" s="7">
        <f>IF($X162="","",R162*Q162)</f>
        <v/>
      </c>
      <c r="T162" s="7">
        <f>IF($X162="","",S162+P162)</f>
        <v/>
      </c>
      <c r="U162" s="7">
        <f>IF($X162="","",V162-T162)</f>
        <v/>
      </c>
      <c r="V162" s="7">
        <f>IF($X162="","",O162+R162+M162)</f>
        <v/>
      </c>
      <c r="W162" s="7">
        <f>IF($X162="","",V162-T162-K162)</f>
        <v/>
      </c>
      <c r="X162" s="13">
        <f>IF(ROWS($X$2:$X162)&lt;=MAX('Per Line'!$AL$2:$AL$1501),MATCH(ROWS($X$2:$X162),'Per Line'!$AL$2:$AL$1501,0),"")</f>
        <v/>
      </c>
    </row>
    <row r="163">
      <c r="A163">
        <f>IF($X163="","",INDEX('Per Line'!$C$2:$C$1501,$X163)&amp;"")</f>
        <v/>
      </c>
      <c r="B163" s="12" t="n"/>
      <c r="C163">
        <f>IF($X163="","",INDEX('Per Line'!$D$2:$D$1501,$X163)&amp;"")</f>
        <v/>
      </c>
      <c r="D163">
        <f>IF($X163="","",INDEX('Per Line'!$A$2:$A$1501,$X163))</f>
        <v/>
      </c>
      <c r="E163">
        <f>IF($X163="","",INDEX('Per Line'!$G$2:$G$1501,$X163)&amp;"")</f>
        <v/>
      </c>
      <c r="F163" s="11">
        <f>IF($X163="","",INDEX('Per Line'!$F$2:$F$1501,$X163))</f>
        <v/>
      </c>
      <c r="G163">
        <f>IF($X163="","",INDEX('Per Line'!$I$2:$I$1501,$X163)&amp;"")</f>
        <v/>
      </c>
      <c r="H163">
        <f>IF($X163="","",INDEX('Per Line'!$J$2:$J$1501,$X163)&amp;"")</f>
        <v/>
      </c>
      <c r="I163">
        <f>IF($X163="","",INDEX('Per Line'!$K$2:$K$1501,$X163)&amp;"")</f>
        <v/>
      </c>
      <c r="J163">
        <f>IF($X163="","",INDEX('Per Line'!$M$2:$M$1501,$X163))</f>
        <v/>
      </c>
      <c r="K163" s="7">
        <f>IF($X163="","",J163*V163/100)</f>
        <v/>
      </c>
      <c r="L163">
        <f>IF($X163="","",INDEX('Per Line'!$Y$2:$Y$1501,$X163)&amp;"")</f>
        <v/>
      </c>
      <c r="M163" s="7">
        <f>IF($X163="","",SUMIFS('Per Line'!$U$2:$U$1501,'Per Line'!$AJ$2:$AJ$1501,$A163&amp;"|"&amp;$C163,'Per Line'!$AN$2:$AN$1501,1))</f>
        <v/>
      </c>
      <c r="N163">
        <f>IF($X163="","",Settings!$C$7)</f>
        <v/>
      </c>
      <c r="O163" s="7">
        <f>IF($X163="","",SUMIFS('Per Line'!$U$2:$U$1501,'Per Line'!$AJ$2:$AJ$1501,$A163&amp;"|"&amp;$C163,'Per Line'!$AM$2:$AM$1501,0,'Per Line'!$AN$2:$AN$1501,0))</f>
        <v/>
      </c>
      <c r="P163" s="7">
        <f>IF($X163="","",O163*N163)</f>
        <v/>
      </c>
      <c r="Q163">
        <f>IF($X163="","",Settings!$C$6)</f>
        <v/>
      </c>
      <c r="R163" s="7">
        <f>IF($X163="","",SUMIFS('Per Line'!$U$2:$U$1501,'Per Line'!$AJ$2:$AJ$1501,$A163&amp;"|"&amp;$C163,'Per Line'!$AM$2:$AM$1501,1,'Per Line'!$AN$2:$AN$1501,0))</f>
        <v/>
      </c>
      <c r="S163" s="7">
        <f>IF($X163="","",R163*Q163)</f>
        <v/>
      </c>
      <c r="T163" s="7">
        <f>IF($X163="","",S163+P163)</f>
        <v/>
      </c>
      <c r="U163" s="7">
        <f>IF($X163="","",V163-T163)</f>
        <v/>
      </c>
      <c r="V163" s="7">
        <f>IF($X163="","",O163+R163+M163)</f>
        <v/>
      </c>
      <c r="W163" s="7">
        <f>IF($X163="","",V163-T163-K163)</f>
        <v/>
      </c>
      <c r="X163" s="13">
        <f>IF(ROWS($X$2:$X163)&lt;=MAX('Per Line'!$AL$2:$AL$1501),MATCH(ROWS($X$2:$X163),'Per Line'!$AL$2:$AL$1501,0),"")</f>
        <v/>
      </c>
    </row>
    <row r="164">
      <c r="A164">
        <f>IF($X164="","",INDEX('Per Line'!$C$2:$C$1501,$X164)&amp;"")</f>
        <v/>
      </c>
      <c r="B164" s="12" t="n"/>
      <c r="C164">
        <f>IF($X164="","",INDEX('Per Line'!$D$2:$D$1501,$X164)&amp;"")</f>
        <v/>
      </c>
      <c r="D164">
        <f>IF($X164="","",INDEX('Per Line'!$A$2:$A$1501,$X164))</f>
        <v/>
      </c>
      <c r="E164">
        <f>IF($X164="","",INDEX('Per Line'!$G$2:$G$1501,$X164)&amp;"")</f>
        <v/>
      </c>
      <c r="F164" s="11">
        <f>IF($X164="","",INDEX('Per Line'!$F$2:$F$1501,$X164))</f>
        <v/>
      </c>
      <c r="G164">
        <f>IF($X164="","",INDEX('Per Line'!$I$2:$I$1501,$X164)&amp;"")</f>
        <v/>
      </c>
      <c r="H164">
        <f>IF($X164="","",INDEX('Per Line'!$J$2:$J$1501,$X164)&amp;"")</f>
        <v/>
      </c>
      <c r="I164">
        <f>IF($X164="","",INDEX('Per Line'!$K$2:$K$1501,$X164)&amp;"")</f>
        <v/>
      </c>
      <c r="J164">
        <f>IF($X164="","",INDEX('Per Line'!$M$2:$M$1501,$X164))</f>
        <v/>
      </c>
      <c r="K164" s="7">
        <f>IF($X164="","",J164*V164/100)</f>
        <v/>
      </c>
      <c r="L164">
        <f>IF($X164="","",INDEX('Per Line'!$Y$2:$Y$1501,$X164)&amp;"")</f>
        <v/>
      </c>
      <c r="M164" s="7">
        <f>IF($X164="","",SUMIFS('Per Line'!$U$2:$U$1501,'Per Line'!$AJ$2:$AJ$1501,$A164&amp;"|"&amp;$C164,'Per Line'!$AN$2:$AN$1501,1))</f>
        <v/>
      </c>
      <c r="N164">
        <f>IF($X164="","",Settings!$C$7)</f>
        <v/>
      </c>
      <c r="O164" s="7">
        <f>IF($X164="","",SUMIFS('Per Line'!$U$2:$U$1501,'Per Line'!$AJ$2:$AJ$1501,$A164&amp;"|"&amp;$C164,'Per Line'!$AM$2:$AM$1501,0,'Per Line'!$AN$2:$AN$1501,0))</f>
        <v/>
      </c>
      <c r="P164" s="7">
        <f>IF($X164="","",O164*N164)</f>
        <v/>
      </c>
      <c r="Q164">
        <f>IF($X164="","",Settings!$C$6)</f>
        <v/>
      </c>
      <c r="R164" s="7">
        <f>IF($X164="","",SUMIFS('Per Line'!$U$2:$U$1501,'Per Line'!$AJ$2:$AJ$1501,$A164&amp;"|"&amp;$C164,'Per Line'!$AM$2:$AM$1501,1,'Per Line'!$AN$2:$AN$1501,0))</f>
        <v/>
      </c>
      <c r="S164" s="7">
        <f>IF($X164="","",R164*Q164)</f>
        <v/>
      </c>
      <c r="T164" s="7">
        <f>IF($X164="","",S164+P164)</f>
        <v/>
      </c>
      <c r="U164" s="7">
        <f>IF($X164="","",V164-T164)</f>
        <v/>
      </c>
      <c r="V164" s="7">
        <f>IF($X164="","",O164+R164+M164)</f>
        <v/>
      </c>
      <c r="W164" s="7">
        <f>IF($X164="","",V164-T164-K164)</f>
        <v/>
      </c>
      <c r="X164" s="13">
        <f>IF(ROWS($X$2:$X164)&lt;=MAX('Per Line'!$AL$2:$AL$1501),MATCH(ROWS($X$2:$X164),'Per Line'!$AL$2:$AL$1501,0),"")</f>
        <v/>
      </c>
    </row>
    <row r="165">
      <c r="A165">
        <f>IF($X165="","",INDEX('Per Line'!$C$2:$C$1501,$X165)&amp;"")</f>
        <v/>
      </c>
      <c r="B165" s="12" t="n"/>
      <c r="C165">
        <f>IF($X165="","",INDEX('Per Line'!$D$2:$D$1501,$X165)&amp;"")</f>
        <v/>
      </c>
      <c r="D165">
        <f>IF($X165="","",INDEX('Per Line'!$A$2:$A$1501,$X165))</f>
        <v/>
      </c>
      <c r="E165">
        <f>IF($X165="","",INDEX('Per Line'!$G$2:$G$1501,$X165)&amp;"")</f>
        <v/>
      </c>
      <c r="F165" s="11">
        <f>IF($X165="","",INDEX('Per Line'!$F$2:$F$1501,$X165))</f>
        <v/>
      </c>
      <c r="G165">
        <f>IF($X165="","",INDEX('Per Line'!$I$2:$I$1501,$X165)&amp;"")</f>
        <v/>
      </c>
      <c r="H165">
        <f>IF($X165="","",INDEX('Per Line'!$J$2:$J$1501,$X165)&amp;"")</f>
        <v/>
      </c>
      <c r="I165">
        <f>IF($X165="","",INDEX('Per Line'!$K$2:$K$1501,$X165)&amp;"")</f>
        <v/>
      </c>
      <c r="J165">
        <f>IF($X165="","",INDEX('Per Line'!$M$2:$M$1501,$X165))</f>
        <v/>
      </c>
      <c r="K165" s="7">
        <f>IF($X165="","",J165*V165/100)</f>
        <v/>
      </c>
      <c r="L165">
        <f>IF($X165="","",INDEX('Per Line'!$Y$2:$Y$1501,$X165)&amp;"")</f>
        <v/>
      </c>
      <c r="M165" s="7">
        <f>IF($X165="","",SUMIFS('Per Line'!$U$2:$U$1501,'Per Line'!$AJ$2:$AJ$1501,$A165&amp;"|"&amp;$C165,'Per Line'!$AN$2:$AN$1501,1))</f>
        <v/>
      </c>
      <c r="N165">
        <f>IF($X165="","",Settings!$C$7)</f>
        <v/>
      </c>
      <c r="O165" s="7">
        <f>IF($X165="","",SUMIFS('Per Line'!$U$2:$U$1501,'Per Line'!$AJ$2:$AJ$1501,$A165&amp;"|"&amp;$C165,'Per Line'!$AM$2:$AM$1501,0,'Per Line'!$AN$2:$AN$1501,0))</f>
        <v/>
      </c>
      <c r="P165" s="7">
        <f>IF($X165="","",O165*N165)</f>
        <v/>
      </c>
      <c r="Q165">
        <f>IF($X165="","",Settings!$C$6)</f>
        <v/>
      </c>
      <c r="R165" s="7">
        <f>IF($X165="","",SUMIFS('Per Line'!$U$2:$U$1501,'Per Line'!$AJ$2:$AJ$1501,$A165&amp;"|"&amp;$C165,'Per Line'!$AM$2:$AM$1501,1,'Per Line'!$AN$2:$AN$1501,0))</f>
        <v/>
      </c>
      <c r="S165" s="7">
        <f>IF($X165="","",R165*Q165)</f>
        <v/>
      </c>
      <c r="T165" s="7">
        <f>IF($X165="","",S165+P165)</f>
        <v/>
      </c>
      <c r="U165" s="7">
        <f>IF($X165="","",V165-T165)</f>
        <v/>
      </c>
      <c r="V165" s="7">
        <f>IF($X165="","",O165+R165+M165)</f>
        <v/>
      </c>
      <c r="W165" s="7">
        <f>IF($X165="","",V165-T165-K165)</f>
        <v/>
      </c>
      <c r="X165" s="13">
        <f>IF(ROWS($X$2:$X165)&lt;=MAX('Per Line'!$AL$2:$AL$1501),MATCH(ROWS($X$2:$X165),'Per Line'!$AL$2:$AL$1501,0),"")</f>
        <v/>
      </c>
    </row>
    <row r="166">
      <c r="A166">
        <f>IF($X166="","",INDEX('Per Line'!$C$2:$C$1501,$X166)&amp;"")</f>
        <v/>
      </c>
      <c r="B166" s="12" t="n"/>
      <c r="C166">
        <f>IF($X166="","",INDEX('Per Line'!$D$2:$D$1501,$X166)&amp;"")</f>
        <v/>
      </c>
      <c r="D166">
        <f>IF($X166="","",INDEX('Per Line'!$A$2:$A$1501,$X166))</f>
        <v/>
      </c>
      <c r="E166">
        <f>IF($X166="","",INDEX('Per Line'!$G$2:$G$1501,$X166)&amp;"")</f>
        <v/>
      </c>
      <c r="F166" s="11">
        <f>IF($X166="","",INDEX('Per Line'!$F$2:$F$1501,$X166))</f>
        <v/>
      </c>
      <c r="G166">
        <f>IF($X166="","",INDEX('Per Line'!$I$2:$I$1501,$X166)&amp;"")</f>
        <v/>
      </c>
      <c r="H166">
        <f>IF($X166="","",INDEX('Per Line'!$J$2:$J$1501,$X166)&amp;"")</f>
        <v/>
      </c>
      <c r="I166">
        <f>IF($X166="","",INDEX('Per Line'!$K$2:$K$1501,$X166)&amp;"")</f>
        <v/>
      </c>
      <c r="J166">
        <f>IF($X166="","",INDEX('Per Line'!$M$2:$M$1501,$X166))</f>
        <v/>
      </c>
      <c r="K166" s="7">
        <f>IF($X166="","",J166*V166/100)</f>
        <v/>
      </c>
      <c r="L166">
        <f>IF($X166="","",INDEX('Per Line'!$Y$2:$Y$1501,$X166)&amp;"")</f>
        <v/>
      </c>
      <c r="M166" s="7">
        <f>IF($X166="","",SUMIFS('Per Line'!$U$2:$U$1501,'Per Line'!$AJ$2:$AJ$1501,$A166&amp;"|"&amp;$C166,'Per Line'!$AN$2:$AN$1501,1))</f>
        <v/>
      </c>
      <c r="N166">
        <f>IF($X166="","",Settings!$C$7)</f>
        <v/>
      </c>
      <c r="O166" s="7">
        <f>IF($X166="","",SUMIFS('Per Line'!$U$2:$U$1501,'Per Line'!$AJ$2:$AJ$1501,$A166&amp;"|"&amp;$C166,'Per Line'!$AM$2:$AM$1501,0,'Per Line'!$AN$2:$AN$1501,0))</f>
        <v/>
      </c>
      <c r="P166" s="7">
        <f>IF($X166="","",O166*N166)</f>
        <v/>
      </c>
      <c r="Q166">
        <f>IF($X166="","",Settings!$C$6)</f>
        <v/>
      </c>
      <c r="R166" s="7">
        <f>IF($X166="","",SUMIFS('Per Line'!$U$2:$U$1501,'Per Line'!$AJ$2:$AJ$1501,$A166&amp;"|"&amp;$C166,'Per Line'!$AM$2:$AM$1501,1,'Per Line'!$AN$2:$AN$1501,0))</f>
        <v/>
      </c>
      <c r="S166" s="7">
        <f>IF($X166="","",R166*Q166)</f>
        <v/>
      </c>
      <c r="T166" s="7">
        <f>IF($X166="","",S166+P166)</f>
        <v/>
      </c>
      <c r="U166" s="7">
        <f>IF($X166="","",V166-T166)</f>
        <v/>
      </c>
      <c r="V166" s="7">
        <f>IF($X166="","",O166+R166+M166)</f>
        <v/>
      </c>
      <c r="W166" s="7">
        <f>IF($X166="","",V166-T166-K166)</f>
        <v/>
      </c>
      <c r="X166" s="13">
        <f>IF(ROWS($X$2:$X166)&lt;=MAX('Per Line'!$AL$2:$AL$1501),MATCH(ROWS($X$2:$X166),'Per Line'!$AL$2:$AL$1501,0),"")</f>
        <v/>
      </c>
    </row>
    <row r="167">
      <c r="A167">
        <f>IF($X167="","",INDEX('Per Line'!$C$2:$C$1501,$X167)&amp;"")</f>
        <v/>
      </c>
      <c r="B167" s="12" t="n"/>
      <c r="C167">
        <f>IF($X167="","",INDEX('Per Line'!$D$2:$D$1501,$X167)&amp;"")</f>
        <v/>
      </c>
      <c r="D167">
        <f>IF($X167="","",INDEX('Per Line'!$A$2:$A$1501,$X167))</f>
        <v/>
      </c>
      <c r="E167">
        <f>IF($X167="","",INDEX('Per Line'!$G$2:$G$1501,$X167)&amp;"")</f>
        <v/>
      </c>
      <c r="F167" s="11">
        <f>IF($X167="","",INDEX('Per Line'!$F$2:$F$1501,$X167))</f>
        <v/>
      </c>
      <c r="G167">
        <f>IF($X167="","",INDEX('Per Line'!$I$2:$I$1501,$X167)&amp;"")</f>
        <v/>
      </c>
      <c r="H167">
        <f>IF($X167="","",INDEX('Per Line'!$J$2:$J$1501,$X167)&amp;"")</f>
        <v/>
      </c>
      <c r="I167">
        <f>IF($X167="","",INDEX('Per Line'!$K$2:$K$1501,$X167)&amp;"")</f>
        <v/>
      </c>
      <c r="J167">
        <f>IF($X167="","",INDEX('Per Line'!$M$2:$M$1501,$X167))</f>
        <v/>
      </c>
      <c r="K167" s="7">
        <f>IF($X167="","",J167*V167/100)</f>
        <v/>
      </c>
      <c r="L167">
        <f>IF($X167="","",INDEX('Per Line'!$Y$2:$Y$1501,$X167)&amp;"")</f>
        <v/>
      </c>
      <c r="M167" s="7">
        <f>IF($X167="","",SUMIFS('Per Line'!$U$2:$U$1501,'Per Line'!$AJ$2:$AJ$1501,$A167&amp;"|"&amp;$C167,'Per Line'!$AN$2:$AN$1501,1))</f>
        <v/>
      </c>
      <c r="N167">
        <f>IF($X167="","",Settings!$C$7)</f>
        <v/>
      </c>
      <c r="O167" s="7">
        <f>IF($X167="","",SUMIFS('Per Line'!$U$2:$U$1501,'Per Line'!$AJ$2:$AJ$1501,$A167&amp;"|"&amp;$C167,'Per Line'!$AM$2:$AM$1501,0,'Per Line'!$AN$2:$AN$1501,0))</f>
        <v/>
      </c>
      <c r="P167" s="7">
        <f>IF($X167="","",O167*N167)</f>
        <v/>
      </c>
      <c r="Q167">
        <f>IF($X167="","",Settings!$C$6)</f>
        <v/>
      </c>
      <c r="R167" s="7">
        <f>IF($X167="","",SUMIFS('Per Line'!$U$2:$U$1501,'Per Line'!$AJ$2:$AJ$1501,$A167&amp;"|"&amp;$C167,'Per Line'!$AM$2:$AM$1501,1,'Per Line'!$AN$2:$AN$1501,0))</f>
        <v/>
      </c>
      <c r="S167" s="7">
        <f>IF($X167="","",R167*Q167)</f>
        <v/>
      </c>
      <c r="T167" s="7">
        <f>IF($X167="","",S167+P167)</f>
        <v/>
      </c>
      <c r="U167" s="7">
        <f>IF($X167="","",V167-T167)</f>
        <v/>
      </c>
      <c r="V167" s="7">
        <f>IF($X167="","",O167+R167+M167)</f>
        <v/>
      </c>
      <c r="W167" s="7">
        <f>IF($X167="","",V167-T167-K167)</f>
        <v/>
      </c>
      <c r="X167" s="13">
        <f>IF(ROWS($X$2:$X167)&lt;=MAX('Per Line'!$AL$2:$AL$1501),MATCH(ROWS($X$2:$X167),'Per Line'!$AL$2:$AL$1501,0),"")</f>
        <v/>
      </c>
    </row>
    <row r="168">
      <c r="A168">
        <f>IF($X168="","",INDEX('Per Line'!$C$2:$C$1501,$X168)&amp;"")</f>
        <v/>
      </c>
      <c r="B168" s="12" t="n"/>
      <c r="C168">
        <f>IF($X168="","",INDEX('Per Line'!$D$2:$D$1501,$X168)&amp;"")</f>
        <v/>
      </c>
      <c r="D168">
        <f>IF($X168="","",INDEX('Per Line'!$A$2:$A$1501,$X168))</f>
        <v/>
      </c>
      <c r="E168">
        <f>IF($X168="","",INDEX('Per Line'!$G$2:$G$1501,$X168)&amp;"")</f>
        <v/>
      </c>
      <c r="F168" s="11">
        <f>IF($X168="","",INDEX('Per Line'!$F$2:$F$1501,$X168))</f>
        <v/>
      </c>
      <c r="G168">
        <f>IF($X168="","",INDEX('Per Line'!$I$2:$I$1501,$X168)&amp;"")</f>
        <v/>
      </c>
      <c r="H168">
        <f>IF($X168="","",INDEX('Per Line'!$J$2:$J$1501,$X168)&amp;"")</f>
        <v/>
      </c>
      <c r="I168">
        <f>IF($X168="","",INDEX('Per Line'!$K$2:$K$1501,$X168)&amp;"")</f>
        <v/>
      </c>
      <c r="J168">
        <f>IF($X168="","",INDEX('Per Line'!$M$2:$M$1501,$X168))</f>
        <v/>
      </c>
      <c r="K168" s="7">
        <f>IF($X168="","",J168*V168/100)</f>
        <v/>
      </c>
      <c r="L168">
        <f>IF($X168="","",INDEX('Per Line'!$Y$2:$Y$1501,$X168)&amp;"")</f>
        <v/>
      </c>
      <c r="M168" s="7">
        <f>IF($X168="","",SUMIFS('Per Line'!$U$2:$U$1501,'Per Line'!$AJ$2:$AJ$1501,$A168&amp;"|"&amp;$C168,'Per Line'!$AN$2:$AN$1501,1))</f>
        <v/>
      </c>
      <c r="N168">
        <f>IF($X168="","",Settings!$C$7)</f>
        <v/>
      </c>
      <c r="O168" s="7">
        <f>IF($X168="","",SUMIFS('Per Line'!$U$2:$U$1501,'Per Line'!$AJ$2:$AJ$1501,$A168&amp;"|"&amp;$C168,'Per Line'!$AM$2:$AM$1501,0,'Per Line'!$AN$2:$AN$1501,0))</f>
        <v/>
      </c>
      <c r="P168" s="7">
        <f>IF($X168="","",O168*N168)</f>
        <v/>
      </c>
      <c r="Q168">
        <f>IF($X168="","",Settings!$C$6)</f>
        <v/>
      </c>
      <c r="R168" s="7">
        <f>IF($X168="","",SUMIFS('Per Line'!$U$2:$U$1501,'Per Line'!$AJ$2:$AJ$1501,$A168&amp;"|"&amp;$C168,'Per Line'!$AM$2:$AM$1501,1,'Per Line'!$AN$2:$AN$1501,0))</f>
        <v/>
      </c>
      <c r="S168" s="7">
        <f>IF($X168="","",R168*Q168)</f>
        <v/>
      </c>
      <c r="T168" s="7">
        <f>IF($X168="","",S168+P168)</f>
        <v/>
      </c>
      <c r="U168" s="7">
        <f>IF($X168="","",V168-T168)</f>
        <v/>
      </c>
      <c r="V168" s="7">
        <f>IF($X168="","",O168+R168+M168)</f>
        <v/>
      </c>
      <c r="W168" s="7">
        <f>IF($X168="","",V168-T168-K168)</f>
        <v/>
      </c>
      <c r="X168" s="13">
        <f>IF(ROWS($X$2:$X168)&lt;=MAX('Per Line'!$AL$2:$AL$1501),MATCH(ROWS($X$2:$X168),'Per Line'!$AL$2:$AL$1501,0),"")</f>
        <v/>
      </c>
    </row>
    <row r="169">
      <c r="A169">
        <f>IF($X169="","",INDEX('Per Line'!$C$2:$C$1501,$X169)&amp;"")</f>
        <v/>
      </c>
      <c r="B169" s="12" t="n"/>
      <c r="C169">
        <f>IF($X169="","",INDEX('Per Line'!$D$2:$D$1501,$X169)&amp;"")</f>
        <v/>
      </c>
      <c r="D169">
        <f>IF($X169="","",INDEX('Per Line'!$A$2:$A$1501,$X169))</f>
        <v/>
      </c>
      <c r="E169">
        <f>IF($X169="","",INDEX('Per Line'!$G$2:$G$1501,$X169)&amp;"")</f>
        <v/>
      </c>
      <c r="F169" s="11">
        <f>IF($X169="","",INDEX('Per Line'!$F$2:$F$1501,$X169))</f>
        <v/>
      </c>
      <c r="G169">
        <f>IF($X169="","",INDEX('Per Line'!$I$2:$I$1501,$X169)&amp;"")</f>
        <v/>
      </c>
      <c r="H169">
        <f>IF($X169="","",INDEX('Per Line'!$J$2:$J$1501,$X169)&amp;"")</f>
        <v/>
      </c>
      <c r="I169">
        <f>IF($X169="","",INDEX('Per Line'!$K$2:$K$1501,$X169)&amp;"")</f>
        <v/>
      </c>
      <c r="J169">
        <f>IF($X169="","",INDEX('Per Line'!$M$2:$M$1501,$X169))</f>
        <v/>
      </c>
      <c r="K169" s="7">
        <f>IF($X169="","",J169*V169/100)</f>
        <v/>
      </c>
      <c r="L169">
        <f>IF($X169="","",INDEX('Per Line'!$Y$2:$Y$1501,$X169)&amp;"")</f>
        <v/>
      </c>
      <c r="M169" s="7">
        <f>IF($X169="","",SUMIFS('Per Line'!$U$2:$U$1501,'Per Line'!$AJ$2:$AJ$1501,$A169&amp;"|"&amp;$C169,'Per Line'!$AN$2:$AN$1501,1))</f>
        <v/>
      </c>
      <c r="N169">
        <f>IF($X169="","",Settings!$C$7)</f>
        <v/>
      </c>
      <c r="O169" s="7">
        <f>IF($X169="","",SUMIFS('Per Line'!$U$2:$U$1501,'Per Line'!$AJ$2:$AJ$1501,$A169&amp;"|"&amp;$C169,'Per Line'!$AM$2:$AM$1501,0,'Per Line'!$AN$2:$AN$1501,0))</f>
        <v/>
      </c>
      <c r="P169" s="7">
        <f>IF($X169="","",O169*N169)</f>
        <v/>
      </c>
      <c r="Q169">
        <f>IF($X169="","",Settings!$C$6)</f>
        <v/>
      </c>
      <c r="R169" s="7">
        <f>IF($X169="","",SUMIFS('Per Line'!$U$2:$U$1501,'Per Line'!$AJ$2:$AJ$1501,$A169&amp;"|"&amp;$C169,'Per Line'!$AM$2:$AM$1501,1,'Per Line'!$AN$2:$AN$1501,0))</f>
        <v/>
      </c>
      <c r="S169" s="7">
        <f>IF($X169="","",R169*Q169)</f>
        <v/>
      </c>
      <c r="T169" s="7">
        <f>IF($X169="","",S169+P169)</f>
        <v/>
      </c>
      <c r="U169" s="7">
        <f>IF($X169="","",V169-T169)</f>
        <v/>
      </c>
      <c r="V169" s="7">
        <f>IF($X169="","",O169+R169+M169)</f>
        <v/>
      </c>
      <c r="W169" s="7">
        <f>IF($X169="","",V169-T169-K169)</f>
        <v/>
      </c>
      <c r="X169" s="13">
        <f>IF(ROWS($X$2:$X169)&lt;=MAX('Per Line'!$AL$2:$AL$1501),MATCH(ROWS($X$2:$X169),'Per Line'!$AL$2:$AL$1501,0),"")</f>
        <v/>
      </c>
    </row>
    <row r="170">
      <c r="A170">
        <f>IF($X170="","",INDEX('Per Line'!$C$2:$C$1501,$X170)&amp;"")</f>
        <v/>
      </c>
      <c r="B170" s="12" t="n"/>
      <c r="C170">
        <f>IF($X170="","",INDEX('Per Line'!$D$2:$D$1501,$X170)&amp;"")</f>
        <v/>
      </c>
      <c r="D170">
        <f>IF($X170="","",INDEX('Per Line'!$A$2:$A$1501,$X170))</f>
        <v/>
      </c>
      <c r="E170">
        <f>IF($X170="","",INDEX('Per Line'!$G$2:$G$1501,$X170)&amp;"")</f>
        <v/>
      </c>
      <c r="F170" s="11">
        <f>IF($X170="","",INDEX('Per Line'!$F$2:$F$1501,$X170))</f>
        <v/>
      </c>
      <c r="G170">
        <f>IF($X170="","",INDEX('Per Line'!$I$2:$I$1501,$X170)&amp;"")</f>
        <v/>
      </c>
      <c r="H170">
        <f>IF($X170="","",INDEX('Per Line'!$J$2:$J$1501,$X170)&amp;"")</f>
        <v/>
      </c>
      <c r="I170">
        <f>IF($X170="","",INDEX('Per Line'!$K$2:$K$1501,$X170)&amp;"")</f>
        <v/>
      </c>
      <c r="J170">
        <f>IF($X170="","",INDEX('Per Line'!$M$2:$M$1501,$X170))</f>
        <v/>
      </c>
      <c r="K170" s="7">
        <f>IF($X170="","",J170*V170/100)</f>
        <v/>
      </c>
      <c r="L170">
        <f>IF($X170="","",INDEX('Per Line'!$Y$2:$Y$1501,$X170)&amp;"")</f>
        <v/>
      </c>
      <c r="M170" s="7">
        <f>IF($X170="","",SUMIFS('Per Line'!$U$2:$U$1501,'Per Line'!$AJ$2:$AJ$1501,$A170&amp;"|"&amp;$C170,'Per Line'!$AN$2:$AN$1501,1))</f>
        <v/>
      </c>
      <c r="N170">
        <f>IF($X170="","",Settings!$C$7)</f>
        <v/>
      </c>
      <c r="O170" s="7">
        <f>IF($X170="","",SUMIFS('Per Line'!$U$2:$U$1501,'Per Line'!$AJ$2:$AJ$1501,$A170&amp;"|"&amp;$C170,'Per Line'!$AM$2:$AM$1501,0,'Per Line'!$AN$2:$AN$1501,0))</f>
        <v/>
      </c>
      <c r="P170" s="7">
        <f>IF($X170="","",O170*N170)</f>
        <v/>
      </c>
      <c r="Q170">
        <f>IF($X170="","",Settings!$C$6)</f>
        <v/>
      </c>
      <c r="R170" s="7">
        <f>IF($X170="","",SUMIFS('Per Line'!$U$2:$U$1501,'Per Line'!$AJ$2:$AJ$1501,$A170&amp;"|"&amp;$C170,'Per Line'!$AM$2:$AM$1501,1,'Per Line'!$AN$2:$AN$1501,0))</f>
        <v/>
      </c>
      <c r="S170" s="7">
        <f>IF($X170="","",R170*Q170)</f>
        <v/>
      </c>
      <c r="T170" s="7">
        <f>IF($X170="","",S170+P170)</f>
        <v/>
      </c>
      <c r="U170" s="7">
        <f>IF($X170="","",V170-T170)</f>
        <v/>
      </c>
      <c r="V170" s="7">
        <f>IF($X170="","",O170+R170+M170)</f>
        <v/>
      </c>
      <c r="W170" s="7">
        <f>IF($X170="","",V170-T170-K170)</f>
        <v/>
      </c>
      <c r="X170" s="13">
        <f>IF(ROWS($X$2:$X170)&lt;=MAX('Per Line'!$AL$2:$AL$1501),MATCH(ROWS($X$2:$X170),'Per Line'!$AL$2:$AL$1501,0),"")</f>
        <v/>
      </c>
    </row>
    <row r="171">
      <c r="A171">
        <f>IF($X171="","",INDEX('Per Line'!$C$2:$C$1501,$X171)&amp;"")</f>
        <v/>
      </c>
      <c r="B171" s="12" t="n"/>
      <c r="C171">
        <f>IF($X171="","",INDEX('Per Line'!$D$2:$D$1501,$X171)&amp;"")</f>
        <v/>
      </c>
      <c r="D171">
        <f>IF($X171="","",INDEX('Per Line'!$A$2:$A$1501,$X171))</f>
        <v/>
      </c>
      <c r="E171">
        <f>IF($X171="","",INDEX('Per Line'!$G$2:$G$1501,$X171)&amp;"")</f>
        <v/>
      </c>
      <c r="F171" s="11">
        <f>IF($X171="","",INDEX('Per Line'!$F$2:$F$1501,$X171))</f>
        <v/>
      </c>
      <c r="G171">
        <f>IF($X171="","",INDEX('Per Line'!$I$2:$I$1501,$X171)&amp;"")</f>
        <v/>
      </c>
      <c r="H171">
        <f>IF($X171="","",INDEX('Per Line'!$J$2:$J$1501,$X171)&amp;"")</f>
        <v/>
      </c>
      <c r="I171">
        <f>IF($X171="","",INDEX('Per Line'!$K$2:$K$1501,$X171)&amp;"")</f>
        <v/>
      </c>
      <c r="J171">
        <f>IF($X171="","",INDEX('Per Line'!$M$2:$M$1501,$X171))</f>
        <v/>
      </c>
      <c r="K171" s="7">
        <f>IF($X171="","",J171*V171/100)</f>
        <v/>
      </c>
      <c r="L171">
        <f>IF($X171="","",INDEX('Per Line'!$Y$2:$Y$1501,$X171)&amp;"")</f>
        <v/>
      </c>
      <c r="M171" s="7">
        <f>IF($X171="","",SUMIFS('Per Line'!$U$2:$U$1501,'Per Line'!$AJ$2:$AJ$1501,$A171&amp;"|"&amp;$C171,'Per Line'!$AN$2:$AN$1501,1))</f>
        <v/>
      </c>
      <c r="N171">
        <f>IF($X171="","",Settings!$C$7)</f>
        <v/>
      </c>
      <c r="O171" s="7">
        <f>IF($X171="","",SUMIFS('Per Line'!$U$2:$U$1501,'Per Line'!$AJ$2:$AJ$1501,$A171&amp;"|"&amp;$C171,'Per Line'!$AM$2:$AM$1501,0,'Per Line'!$AN$2:$AN$1501,0))</f>
        <v/>
      </c>
      <c r="P171" s="7">
        <f>IF($X171="","",O171*N171)</f>
        <v/>
      </c>
      <c r="Q171">
        <f>IF($X171="","",Settings!$C$6)</f>
        <v/>
      </c>
      <c r="R171" s="7">
        <f>IF($X171="","",SUMIFS('Per Line'!$U$2:$U$1501,'Per Line'!$AJ$2:$AJ$1501,$A171&amp;"|"&amp;$C171,'Per Line'!$AM$2:$AM$1501,1,'Per Line'!$AN$2:$AN$1501,0))</f>
        <v/>
      </c>
      <c r="S171" s="7">
        <f>IF($X171="","",R171*Q171)</f>
        <v/>
      </c>
      <c r="T171" s="7">
        <f>IF($X171="","",S171+P171)</f>
        <v/>
      </c>
      <c r="U171" s="7">
        <f>IF($X171="","",V171-T171)</f>
        <v/>
      </c>
      <c r="V171" s="7">
        <f>IF($X171="","",O171+R171+M171)</f>
        <v/>
      </c>
      <c r="W171" s="7">
        <f>IF($X171="","",V171-T171-K171)</f>
        <v/>
      </c>
      <c r="X171" s="13">
        <f>IF(ROWS($X$2:$X171)&lt;=MAX('Per Line'!$AL$2:$AL$1501),MATCH(ROWS($X$2:$X171),'Per Line'!$AL$2:$AL$1501,0),"")</f>
        <v/>
      </c>
    </row>
    <row r="172">
      <c r="A172">
        <f>IF($X172="","",INDEX('Per Line'!$C$2:$C$1501,$X172)&amp;"")</f>
        <v/>
      </c>
      <c r="B172" s="12" t="n"/>
      <c r="C172">
        <f>IF($X172="","",INDEX('Per Line'!$D$2:$D$1501,$X172)&amp;"")</f>
        <v/>
      </c>
      <c r="D172">
        <f>IF($X172="","",INDEX('Per Line'!$A$2:$A$1501,$X172))</f>
        <v/>
      </c>
      <c r="E172">
        <f>IF($X172="","",INDEX('Per Line'!$G$2:$G$1501,$X172)&amp;"")</f>
        <v/>
      </c>
      <c r="F172" s="11">
        <f>IF($X172="","",INDEX('Per Line'!$F$2:$F$1501,$X172))</f>
        <v/>
      </c>
      <c r="G172">
        <f>IF($X172="","",INDEX('Per Line'!$I$2:$I$1501,$X172)&amp;"")</f>
        <v/>
      </c>
      <c r="H172">
        <f>IF($X172="","",INDEX('Per Line'!$J$2:$J$1501,$X172)&amp;"")</f>
        <v/>
      </c>
      <c r="I172">
        <f>IF($X172="","",INDEX('Per Line'!$K$2:$K$1501,$X172)&amp;"")</f>
        <v/>
      </c>
      <c r="J172">
        <f>IF($X172="","",INDEX('Per Line'!$M$2:$M$1501,$X172))</f>
        <v/>
      </c>
      <c r="K172" s="7">
        <f>IF($X172="","",J172*V172/100)</f>
        <v/>
      </c>
      <c r="L172">
        <f>IF($X172="","",INDEX('Per Line'!$Y$2:$Y$1501,$X172)&amp;"")</f>
        <v/>
      </c>
      <c r="M172" s="7">
        <f>IF($X172="","",SUMIFS('Per Line'!$U$2:$U$1501,'Per Line'!$AJ$2:$AJ$1501,$A172&amp;"|"&amp;$C172,'Per Line'!$AN$2:$AN$1501,1))</f>
        <v/>
      </c>
      <c r="N172">
        <f>IF($X172="","",Settings!$C$7)</f>
        <v/>
      </c>
      <c r="O172" s="7">
        <f>IF($X172="","",SUMIFS('Per Line'!$U$2:$U$1501,'Per Line'!$AJ$2:$AJ$1501,$A172&amp;"|"&amp;$C172,'Per Line'!$AM$2:$AM$1501,0,'Per Line'!$AN$2:$AN$1501,0))</f>
        <v/>
      </c>
      <c r="P172" s="7">
        <f>IF($X172="","",O172*N172)</f>
        <v/>
      </c>
      <c r="Q172">
        <f>IF($X172="","",Settings!$C$6)</f>
        <v/>
      </c>
      <c r="R172" s="7">
        <f>IF($X172="","",SUMIFS('Per Line'!$U$2:$U$1501,'Per Line'!$AJ$2:$AJ$1501,$A172&amp;"|"&amp;$C172,'Per Line'!$AM$2:$AM$1501,1,'Per Line'!$AN$2:$AN$1501,0))</f>
        <v/>
      </c>
      <c r="S172" s="7">
        <f>IF($X172="","",R172*Q172)</f>
        <v/>
      </c>
      <c r="T172" s="7">
        <f>IF($X172="","",S172+P172)</f>
        <v/>
      </c>
      <c r="U172" s="7">
        <f>IF($X172="","",V172-T172)</f>
        <v/>
      </c>
      <c r="V172" s="7">
        <f>IF($X172="","",O172+R172+M172)</f>
        <v/>
      </c>
      <c r="W172" s="7">
        <f>IF($X172="","",V172-T172-K172)</f>
        <v/>
      </c>
      <c r="X172" s="13">
        <f>IF(ROWS($X$2:$X172)&lt;=MAX('Per Line'!$AL$2:$AL$1501),MATCH(ROWS($X$2:$X172),'Per Line'!$AL$2:$AL$1501,0),"")</f>
        <v/>
      </c>
    </row>
    <row r="173">
      <c r="A173">
        <f>IF($X173="","",INDEX('Per Line'!$C$2:$C$1501,$X173)&amp;"")</f>
        <v/>
      </c>
      <c r="B173" s="12" t="n"/>
      <c r="C173">
        <f>IF($X173="","",INDEX('Per Line'!$D$2:$D$1501,$X173)&amp;"")</f>
        <v/>
      </c>
      <c r="D173">
        <f>IF($X173="","",INDEX('Per Line'!$A$2:$A$1501,$X173))</f>
        <v/>
      </c>
      <c r="E173">
        <f>IF($X173="","",INDEX('Per Line'!$G$2:$G$1501,$X173)&amp;"")</f>
        <v/>
      </c>
      <c r="F173" s="11">
        <f>IF($X173="","",INDEX('Per Line'!$F$2:$F$1501,$X173))</f>
        <v/>
      </c>
      <c r="G173">
        <f>IF($X173="","",INDEX('Per Line'!$I$2:$I$1501,$X173)&amp;"")</f>
        <v/>
      </c>
      <c r="H173">
        <f>IF($X173="","",INDEX('Per Line'!$J$2:$J$1501,$X173)&amp;"")</f>
        <v/>
      </c>
      <c r="I173">
        <f>IF($X173="","",INDEX('Per Line'!$K$2:$K$1501,$X173)&amp;"")</f>
        <v/>
      </c>
      <c r="J173">
        <f>IF($X173="","",INDEX('Per Line'!$M$2:$M$1501,$X173))</f>
        <v/>
      </c>
      <c r="K173" s="7">
        <f>IF($X173="","",J173*V173/100)</f>
        <v/>
      </c>
      <c r="L173">
        <f>IF($X173="","",INDEX('Per Line'!$Y$2:$Y$1501,$X173)&amp;"")</f>
        <v/>
      </c>
      <c r="M173" s="7">
        <f>IF($X173="","",SUMIFS('Per Line'!$U$2:$U$1501,'Per Line'!$AJ$2:$AJ$1501,$A173&amp;"|"&amp;$C173,'Per Line'!$AN$2:$AN$1501,1))</f>
        <v/>
      </c>
      <c r="N173">
        <f>IF($X173="","",Settings!$C$7)</f>
        <v/>
      </c>
      <c r="O173" s="7">
        <f>IF($X173="","",SUMIFS('Per Line'!$U$2:$U$1501,'Per Line'!$AJ$2:$AJ$1501,$A173&amp;"|"&amp;$C173,'Per Line'!$AM$2:$AM$1501,0,'Per Line'!$AN$2:$AN$1501,0))</f>
        <v/>
      </c>
      <c r="P173" s="7">
        <f>IF($X173="","",O173*N173)</f>
        <v/>
      </c>
      <c r="Q173">
        <f>IF($X173="","",Settings!$C$6)</f>
        <v/>
      </c>
      <c r="R173" s="7">
        <f>IF($X173="","",SUMIFS('Per Line'!$U$2:$U$1501,'Per Line'!$AJ$2:$AJ$1501,$A173&amp;"|"&amp;$C173,'Per Line'!$AM$2:$AM$1501,1,'Per Line'!$AN$2:$AN$1501,0))</f>
        <v/>
      </c>
      <c r="S173" s="7">
        <f>IF($X173="","",R173*Q173)</f>
        <v/>
      </c>
      <c r="T173" s="7">
        <f>IF($X173="","",S173+P173)</f>
        <v/>
      </c>
      <c r="U173" s="7">
        <f>IF($X173="","",V173-T173)</f>
        <v/>
      </c>
      <c r="V173" s="7">
        <f>IF($X173="","",O173+R173+M173)</f>
        <v/>
      </c>
      <c r="W173" s="7">
        <f>IF($X173="","",V173-T173-K173)</f>
        <v/>
      </c>
      <c r="X173" s="13">
        <f>IF(ROWS($X$2:$X173)&lt;=MAX('Per Line'!$AL$2:$AL$1501),MATCH(ROWS($X$2:$X173),'Per Line'!$AL$2:$AL$1501,0),"")</f>
        <v/>
      </c>
    </row>
    <row r="174">
      <c r="A174">
        <f>IF($X174="","",INDEX('Per Line'!$C$2:$C$1501,$X174)&amp;"")</f>
        <v/>
      </c>
      <c r="B174" s="12" t="n"/>
      <c r="C174">
        <f>IF($X174="","",INDEX('Per Line'!$D$2:$D$1501,$X174)&amp;"")</f>
        <v/>
      </c>
      <c r="D174">
        <f>IF($X174="","",INDEX('Per Line'!$A$2:$A$1501,$X174))</f>
        <v/>
      </c>
      <c r="E174">
        <f>IF($X174="","",INDEX('Per Line'!$G$2:$G$1501,$X174)&amp;"")</f>
        <v/>
      </c>
      <c r="F174" s="11">
        <f>IF($X174="","",INDEX('Per Line'!$F$2:$F$1501,$X174))</f>
        <v/>
      </c>
      <c r="G174">
        <f>IF($X174="","",INDEX('Per Line'!$I$2:$I$1501,$X174)&amp;"")</f>
        <v/>
      </c>
      <c r="H174">
        <f>IF($X174="","",INDEX('Per Line'!$J$2:$J$1501,$X174)&amp;"")</f>
        <v/>
      </c>
      <c r="I174">
        <f>IF($X174="","",INDEX('Per Line'!$K$2:$K$1501,$X174)&amp;"")</f>
        <v/>
      </c>
      <c r="J174">
        <f>IF($X174="","",INDEX('Per Line'!$M$2:$M$1501,$X174))</f>
        <v/>
      </c>
      <c r="K174" s="7">
        <f>IF($X174="","",J174*V174/100)</f>
        <v/>
      </c>
      <c r="L174">
        <f>IF($X174="","",INDEX('Per Line'!$Y$2:$Y$1501,$X174)&amp;"")</f>
        <v/>
      </c>
      <c r="M174" s="7">
        <f>IF($X174="","",SUMIFS('Per Line'!$U$2:$U$1501,'Per Line'!$AJ$2:$AJ$1501,$A174&amp;"|"&amp;$C174,'Per Line'!$AN$2:$AN$1501,1))</f>
        <v/>
      </c>
      <c r="N174">
        <f>IF($X174="","",Settings!$C$7)</f>
        <v/>
      </c>
      <c r="O174" s="7">
        <f>IF($X174="","",SUMIFS('Per Line'!$U$2:$U$1501,'Per Line'!$AJ$2:$AJ$1501,$A174&amp;"|"&amp;$C174,'Per Line'!$AM$2:$AM$1501,0,'Per Line'!$AN$2:$AN$1501,0))</f>
        <v/>
      </c>
      <c r="P174" s="7">
        <f>IF($X174="","",O174*N174)</f>
        <v/>
      </c>
      <c r="Q174">
        <f>IF($X174="","",Settings!$C$6)</f>
        <v/>
      </c>
      <c r="R174" s="7">
        <f>IF($X174="","",SUMIFS('Per Line'!$U$2:$U$1501,'Per Line'!$AJ$2:$AJ$1501,$A174&amp;"|"&amp;$C174,'Per Line'!$AM$2:$AM$1501,1,'Per Line'!$AN$2:$AN$1501,0))</f>
        <v/>
      </c>
      <c r="S174" s="7">
        <f>IF($X174="","",R174*Q174)</f>
        <v/>
      </c>
      <c r="T174" s="7">
        <f>IF($X174="","",S174+P174)</f>
        <v/>
      </c>
      <c r="U174" s="7">
        <f>IF($X174="","",V174-T174)</f>
        <v/>
      </c>
      <c r="V174" s="7">
        <f>IF($X174="","",O174+R174+M174)</f>
        <v/>
      </c>
      <c r="W174" s="7">
        <f>IF($X174="","",V174-T174-K174)</f>
        <v/>
      </c>
      <c r="X174" s="13">
        <f>IF(ROWS($X$2:$X174)&lt;=MAX('Per Line'!$AL$2:$AL$1501),MATCH(ROWS($X$2:$X174),'Per Line'!$AL$2:$AL$1501,0),"")</f>
        <v/>
      </c>
    </row>
    <row r="175">
      <c r="A175">
        <f>IF($X175="","",INDEX('Per Line'!$C$2:$C$1501,$X175)&amp;"")</f>
        <v/>
      </c>
      <c r="B175" s="12" t="n"/>
      <c r="C175">
        <f>IF($X175="","",INDEX('Per Line'!$D$2:$D$1501,$X175)&amp;"")</f>
        <v/>
      </c>
      <c r="D175">
        <f>IF($X175="","",INDEX('Per Line'!$A$2:$A$1501,$X175))</f>
        <v/>
      </c>
      <c r="E175">
        <f>IF($X175="","",INDEX('Per Line'!$G$2:$G$1501,$X175)&amp;"")</f>
        <v/>
      </c>
      <c r="F175" s="11">
        <f>IF($X175="","",INDEX('Per Line'!$F$2:$F$1501,$X175))</f>
        <v/>
      </c>
      <c r="G175">
        <f>IF($X175="","",INDEX('Per Line'!$I$2:$I$1501,$X175)&amp;"")</f>
        <v/>
      </c>
      <c r="H175">
        <f>IF($X175="","",INDEX('Per Line'!$J$2:$J$1501,$X175)&amp;"")</f>
        <v/>
      </c>
      <c r="I175">
        <f>IF($X175="","",INDEX('Per Line'!$K$2:$K$1501,$X175)&amp;"")</f>
        <v/>
      </c>
      <c r="J175">
        <f>IF($X175="","",INDEX('Per Line'!$M$2:$M$1501,$X175))</f>
        <v/>
      </c>
      <c r="K175" s="7">
        <f>IF($X175="","",J175*V175/100)</f>
        <v/>
      </c>
      <c r="L175">
        <f>IF($X175="","",INDEX('Per Line'!$Y$2:$Y$1501,$X175)&amp;"")</f>
        <v/>
      </c>
      <c r="M175" s="7">
        <f>IF($X175="","",SUMIFS('Per Line'!$U$2:$U$1501,'Per Line'!$AJ$2:$AJ$1501,$A175&amp;"|"&amp;$C175,'Per Line'!$AN$2:$AN$1501,1))</f>
        <v/>
      </c>
      <c r="N175">
        <f>IF($X175="","",Settings!$C$7)</f>
        <v/>
      </c>
      <c r="O175" s="7">
        <f>IF($X175="","",SUMIFS('Per Line'!$U$2:$U$1501,'Per Line'!$AJ$2:$AJ$1501,$A175&amp;"|"&amp;$C175,'Per Line'!$AM$2:$AM$1501,0,'Per Line'!$AN$2:$AN$1501,0))</f>
        <v/>
      </c>
      <c r="P175" s="7">
        <f>IF($X175="","",O175*N175)</f>
        <v/>
      </c>
      <c r="Q175">
        <f>IF($X175="","",Settings!$C$6)</f>
        <v/>
      </c>
      <c r="R175" s="7">
        <f>IF($X175="","",SUMIFS('Per Line'!$U$2:$U$1501,'Per Line'!$AJ$2:$AJ$1501,$A175&amp;"|"&amp;$C175,'Per Line'!$AM$2:$AM$1501,1,'Per Line'!$AN$2:$AN$1501,0))</f>
        <v/>
      </c>
      <c r="S175" s="7">
        <f>IF($X175="","",R175*Q175)</f>
        <v/>
      </c>
      <c r="T175" s="7">
        <f>IF($X175="","",S175+P175)</f>
        <v/>
      </c>
      <c r="U175" s="7">
        <f>IF($X175="","",V175-T175)</f>
        <v/>
      </c>
      <c r="V175" s="7">
        <f>IF($X175="","",O175+R175+M175)</f>
        <v/>
      </c>
      <c r="W175" s="7">
        <f>IF($X175="","",V175-T175-K175)</f>
        <v/>
      </c>
      <c r="X175" s="13">
        <f>IF(ROWS($X$2:$X175)&lt;=MAX('Per Line'!$AL$2:$AL$1501),MATCH(ROWS($X$2:$X175),'Per Line'!$AL$2:$AL$1501,0),"")</f>
        <v/>
      </c>
    </row>
    <row r="176">
      <c r="A176">
        <f>IF($X176="","",INDEX('Per Line'!$C$2:$C$1501,$X176)&amp;"")</f>
        <v/>
      </c>
      <c r="B176" s="12" t="n"/>
      <c r="C176">
        <f>IF($X176="","",INDEX('Per Line'!$D$2:$D$1501,$X176)&amp;"")</f>
        <v/>
      </c>
      <c r="D176">
        <f>IF($X176="","",INDEX('Per Line'!$A$2:$A$1501,$X176))</f>
        <v/>
      </c>
      <c r="E176">
        <f>IF($X176="","",INDEX('Per Line'!$G$2:$G$1501,$X176)&amp;"")</f>
        <v/>
      </c>
      <c r="F176" s="11">
        <f>IF($X176="","",INDEX('Per Line'!$F$2:$F$1501,$X176))</f>
        <v/>
      </c>
      <c r="G176">
        <f>IF($X176="","",INDEX('Per Line'!$I$2:$I$1501,$X176)&amp;"")</f>
        <v/>
      </c>
      <c r="H176">
        <f>IF($X176="","",INDEX('Per Line'!$J$2:$J$1501,$X176)&amp;"")</f>
        <v/>
      </c>
      <c r="I176">
        <f>IF($X176="","",INDEX('Per Line'!$K$2:$K$1501,$X176)&amp;"")</f>
        <v/>
      </c>
      <c r="J176">
        <f>IF($X176="","",INDEX('Per Line'!$M$2:$M$1501,$X176))</f>
        <v/>
      </c>
      <c r="K176" s="7">
        <f>IF($X176="","",J176*V176/100)</f>
        <v/>
      </c>
      <c r="L176">
        <f>IF($X176="","",INDEX('Per Line'!$Y$2:$Y$1501,$X176)&amp;"")</f>
        <v/>
      </c>
      <c r="M176" s="7">
        <f>IF($X176="","",SUMIFS('Per Line'!$U$2:$U$1501,'Per Line'!$AJ$2:$AJ$1501,$A176&amp;"|"&amp;$C176,'Per Line'!$AN$2:$AN$1501,1))</f>
        <v/>
      </c>
      <c r="N176">
        <f>IF($X176="","",Settings!$C$7)</f>
        <v/>
      </c>
      <c r="O176" s="7">
        <f>IF($X176="","",SUMIFS('Per Line'!$U$2:$U$1501,'Per Line'!$AJ$2:$AJ$1501,$A176&amp;"|"&amp;$C176,'Per Line'!$AM$2:$AM$1501,0,'Per Line'!$AN$2:$AN$1501,0))</f>
        <v/>
      </c>
      <c r="P176" s="7">
        <f>IF($X176="","",O176*N176)</f>
        <v/>
      </c>
      <c r="Q176">
        <f>IF($X176="","",Settings!$C$6)</f>
        <v/>
      </c>
      <c r="R176" s="7">
        <f>IF($X176="","",SUMIFS('Per Line'!$U$2:$U$1501,'Per Line'!$AJ$2:$AJ$1501,$A176&amp;"|"&amp;$C176,'Per Line'!$AM$2:$AM$1501,1,'Per Line'!$AN$2:$AN$1501,0))</f>
        <v/>
      </c>
      <c r="S176" s="7">
        <f>IF($X176="","",R176*Q176)</f>
        <v/>
      </c>
      <c r="T176" s="7">
        <f>IF($X176="","",S176+P176)</f>
        <v/>
      </c>
      <c r="U176" s="7">
        <f>IF($X176="","",V176-T176)</f>
        <v/>
      </c>
      <c r="V176" s="7">
        <f>IF($X176="","",O176+R176+M176)</f>
        <v/>
      </c>
      <c r="W176" s="7">
        <f>IF($X176="","",V176-T176-K176)</f>
        <v/>
      </c>
      <c r="X176" s="13">
        <f>IF(ROWS($X$2:$X176)&lt;=MAX('Per Line'!$AL$2:$AL$1501),MATCH(ROWS($X$2:$X176),'Per Line'!$AL$2:$AL$1501,0),"")</f>
        <v/>
      </c>
    </row>
    <row r="177">
      <c r="A177">
        <f>IF($X177="","",INDEX('Per Line'!$C$2:$C$1501,$X177)&amp;"")</f>
        <v/>
      </c>
      <c r="B177" s="12" t="n"/>
      <c r="C177">
        <f>IF($X177="","",INDEX('Per Line'!$D$2:$D$1501,$X177)&amp;"")</f>
        <v/>
      </c>
      <c r="D177">
        <f>IF($X177="","",INDEX('Per Line'!$A$2:$A$1501,$X177))</f>
        <v/>
      </c>
      <c r="E177">
        <f>IF($X177="","",INDEX('Per Line'!$G$2:$G$1501,$X177)&amp;"")</f>
        <v/>
      </c>
      <c r="F177" s="11">
        <f>IF($X177="","",INDEX('Per Line'!$F$2:$F$1501,$X177))</f>
        <v/>
      </c>
      <c r="G177">
        <f>IF($X177="","",INDEX('Per Line'!$I$2:$I$1501,$X177)&amp;"")</f>
        <v/>
      </c>
      <c r="H177">
        <f>IF($X177="","",INDEX('Per Line'!$J$2:$J$1501,$X177)&amp;"")</f>
        <v/>
      </c>
      <c r="I177">
        <f>IF($X177="","",INDEX('Per Line'!$K$2:$K$1501,$X177)&amp;"")</f>
        <v/>
      </c>
      <c r="J177">
        <f>IF($X177="","",INDEX('Per Line'!$M$2:$M$1501,$X177))</f>
        <v/>
      </c>
      <c r="K177" s="7">
        <f>IF($X177="","",J177*V177/100)</f>
        <v/>
      </c>
      <c r="L177">
        <f>IF($X177="","",INDEX('Per Line'!$Y$2:$Y$1501,$X177)&amp;"")</f>
        <v/>
      </c>
      <c r="M177" s="7">
        <f>IF($X177="","",SUMIFS('Per Line'!$U$2:$U$1501,'Per Line'!$AJ$2:$AJ$1501,$A177&amp;"|"&amp;$C177,'Per Line'!$AN$2:$AN$1501,1))</f>
        <v/>
      </c>
      <c r="N177">
        <f>IF($X177="","",Settings!$C$7)</f>
        <v/>
      </c>
      <c r="O177" s="7">
        <f>IF($X177="","",SUMIFS('Per Line'!$U$2:$U$1501,'Per Line'!$AJ$2:$AJ$1501,$A177&amp;"|"&amp;$C177,'Per Line'!$AM$2:$AM$1501,0,'Per Line'!$AN$2:$AN$1501,0))</f>
        <v/>
      </c>
      <c r="P177" s="7">
        <f>IF($X177="","",O177*N177)</f>
        <v/>
      </c>
      <c r="Q177">
        <f>IF($X177="","",Settings!$C$6)</f>
        <v/>
      </c>
      <c r="R177" s="7">
        <f>IF($X177="","",SUMIFS('Per Line'!$U$2:$U$1501,'Per Line'!$AJ$2:$AJ$1501,$A177&amp;"|"&amp;$C177,'Per Line'!$AM$2:$AM$1501,1,'Per Line'!$AN$2:$AN$1501,0))</f>
        <v/>
      </c>
      <c r="S177" s="7">
        <f>IF($X177="","",R177*Q177)</f>
        <v/>
      </c>
      <c r="T177" s="7">
        <f>IF($X177="","",S177+P177)</f>
        <v/>
      </c>
      <c r="U177" s="7">
        <f>IF($X177="","",V177-T177)</f>
        <v/>
      </c>
      <c r="V177" s="7">
        <f>IF($X177="","",O177+R177+M177)</f>
        <v/>
      </c>
      <c r="W177" s="7">
        <f>IF($X177="","",V177-T177-K177)</f>
        <v/>
      </c>
      <c r="X177" s="13">
        <f>IF(ROWS($X$2:$X177)&lt;=MAX('Per Line'!$AL$2:$AL$1501),MATCH(ROWS($X$2:$X177),'Per Line'!$AL$2:$AL$1501,0),"")</f>
        <v/>
      </c>
    </row>
    <row r="178">
      <c r="A178">
        <f>IF($X178="","",INDEX('Per Line'!$C$2:$C$1501,$X178)&amp;"")</f>
        <v/>
      </c>
      <c r="B178" s="12" t="n"/>
      <c r="C178">
        <f>IF($X178="","",INDEX('Per Line'!$D$2:$D$1501,$X178)&amp;"")</f>
        <v/>
      </c>
      <c r="D178">
        <f>IF($X178="","",INDEX('Per Line'!$A$2:$A$1501,$X178))</f>
        <v/>
      </c>
      <c r="E178">
        <f>IF($X178="","",INDEX('Per Line'!$G$2:$G$1501,$X178)&amp;"")</f>
        <v/>
      </c>
      <c r="F178" s="11">
        <f>IF($X178="","",INDEX('Per Line'!$F$2:$F$1501,$X178))</f>
        <v/>
      </c>
      <c r="G178">
        <f>IF($X178="","",INDEX('Per Line'!$I$2:$I$1501,$X178)&amp;"")</f>
        <v/>
      </c>
      <c r="H178">
        <f>IF($X178="","",INDEX('Per Line'!$J$2:$J$1501,$X178)&amp;"")</f>
        <v/>
      </c>
      <c r="I178">
        <f>IF($X178="","",INDEX('Per Line'!$K$2:$K$1501,$X178)&amp;"")</f>
        <v/>
      </c>
      <c r="J178">
        <f>IF($X178="","",INDEX('Per Line'!$M$2:$M$1501,$X178))</f>
        <v/>
      </c>
      <c r="K178" s="7">
        <f>IF($X178="","",J178*V178/100)</f>
        <v/>
      </c>
      <c r="L178">
        <f>IF($X178="","",INDEX('Per Line'!$Y$2:$Y$1501,$X178)&amp;"")</f>
        <v/>
      </c>
      <c r="M178" s="7">
        <f>IF($X178="","",SUMIFS('Per Line'!$U$2:$U$1501,'Per Line'!$AJ$2:$AJ$1501,$A178&amp;"|"&amp;$C178,'Per Line'!$AN$2:$AN$1501,1))</f>
        <v/>
      </c>
      <c r="N178">
        <f>IF($X178="","",Settings!$C$7)</f>
        <v/>
      </c>
      <c r="O178" s="7">
        <f>IF($X178="","",SUMIFS('Per Line'!$U$2:$U$1501,'Per Line'!$AJ$2:$AJ$1501,$A178&amp;"|"&amp;$C178,'Per Line'!$AM$2:$AM$1501,0,'Per Line'!$AN$2:$AN$1501,0))</f>
        <v/>
      </c>
      <c r="P178" s="7">
        <f>IF($X178="","",O178*N178)</f>
        <v/>
      </c>
      <c r="Q178">
        <f>IF($X178="","",Settings!$C$6)</f>
        <v/>
      </c>
      <c r="R178" s="7">
        <f>IF($X178="","",SUMIFS('Per Line'!$U$2:$U$1501,'Per Line'!$AJ$2:$AJ$1501,$A178&amp;"|"&amp;$C178,'Per Line'!$AM$2:$AM$1501,1,'Per Line'!$AN$2:$AN$1501,0))</f>
        <v/>
      </c>
      <c r="S178" s="7">
        <f>IF($X178="","",R178*Q178)</f>
        <v/>
      </c>
      <c r="T178" s="7">
        <f>IF($X178="","",S178+P178)</f>
        <v/>
      </c>
      <c r="U178" s="7">
        <f>IF($X178="","",V178-T178)</f>
        <v/>
      </c>
      <c r="V178" s="7">
        <f>IF($X178="","",O178+R178+M178)</f>
        <v/>
      </c>
      <c r="W178" s="7">
        <f>IF($X178="","",V178-T178-K178)</f>
        <v/>
      </c>
      <c r="X178" s="13">
        <f>IF(ROWS($X$2:$X178)&lt;=MAX('Per Line'!$AL$2:$AL$1501),MATCH(ROWS($X$2:$X178),'Per Line'!$AL$2:$AL$1501,0),"")</f>
        <v/>
      </c>
    </row>
    <row r="179">
      <c r="A179">
        <f>IF($X179="","",INDEX('Per Line'!$C$2:$C$1501,$X179)&amp;"")</f>
        <v/>
      </c>
      <c r="B179" s="12" t="n"/>
      <c r="C179">
        <f>IF($X179="","",INDEX('Per Line'!$D$2:$D$1501,$X179)&amp;"")</f>
        <v/>
      </c>
      <c r="D179">
        <f>IF($X179="","",INDEX('Per Line'!$A$2:$A$1501,$X179))</f>
        <v/>
      </c>
      <c r="E179">
        <f>IF($X179="","",INDEX('Per Line'!$G$2:$G$1501,$X179)&amp;"")</f>
        <v/>
      </c>
      <c r="F179" s="11">
        <f>IF($X179="","",INDEX('Per Line'!$F$2:$F$1501,$X179))</f>
        <v/>
      </c>
      <c r="G179">
        <f>IF($X179="","",INDEX('Per Line'!$I$2:$I$1501,$X179)&amp;"")</f>
        <v/>
      </c>
      <c r="H179">
        <f>IF($X179="","",INDEX('Per Line'!$J$2:$J$1501,$X179)&amp;"")</f>
        <v/>
      </c>
      <c r="I179">
        <f>IF($X179="","",INDEX('Per Line'!$K$2:$K$1501,$X179)&amp;"")</f>
        <v/>
      </c>
      <c r="J179">
        <f>IF($X179="","",INDEX('Per Line'!$M$2:$M$1501,$X179))</f>
        <v/>
      </c>
      <c r="K179" s="7">
        <f>IF($X179="","",J179*V179/100)</f>
        <v/>
      </c>
      <c r="L179">
        <f>IF($X179="","",INDEX('Per Line'!$Y$2:$Y$1501,$X179)&amp;"")</f>
        <v/>
      </c>
      <c r="M179" s="7">
        <f>IF($X179="","",SUMIFS('Per Line'!$U$2:$U$1501,'Per Line'!$AJ$2:$AJ$1501,$A179&amp;"|"&amp;$C179,'Per Line'!$AN$2:$AN$1501,1))</f>
        <v/>
      </c>
      <c r="N179">
        <f>IF($X179="","",Settings!$C$7)</f>
        <v/>
      </c>
      <c r="O179" s="7">
        <f>IF($X179="","",SUMIFS('Per Line'!$U$2:$U$1501,'Per Line'!$AJ$2:$AJ$1501,$A179&amp;"|"&amp;$C179,'Per Line'!$AM$2:$AM$1501,0,'Per Line'!$AN$2:$AN$1501,0))</f>
        <v/>
      </c>
      <c r="P179" s="7">
        <f>IF($X179="","",O179*N179)</f>
        <v/>
      </c>
      <c r="Q179">
        <f>IF($X179="","",Settings!$C$6)</f>
        <v/>
      </c>
      <c r="R179" s="7">
        <f>IF($X179="","",SUMIFS('Per Line'!$U$2:$U$1501,'Per Line'!$AJ$2:$AJ$1501,$A179&amp;"|"&amp;$C179,'Per Line'!$AM$2:$AM$1501,1,'Per Line'!$AN$2:$AN$1501,0))</f>
        <v/>
      </c>
      <c r="S179" s="7">
        <f>IF($X179="","",R179*Q179)</f>
        <v/>
      </c>
      <c r="T179" s="7">
        <f>IF($X179="","",S179+P179)</f>
        <v/>
      </c>
      <c r="U179" s="7">
        <f>IF($X179="","",V179-T179)</f>
        <v/>
      </c>
      <c r="V179" s="7">
        <f>IF($X179="","",O179+R179+M179)</f>
        <v/>
      </c>
      <c r="W179" s="7">
        <f>IF($X179="","",V179-T179-K179)</f>
        <v/>
      </c>
      <c r="X179" s="13">
        <f>IF(ROWS($X$2:$X179)&lt;=MAX('Per Line'!$AL$2:$AL$1501),MATCH(ROWS($X$2:$X179),'Per Line'!$AL$2:$AL$1501,0),"")</f>
        <v/>
      </c>
    </row>
    <row r="180">
      <c r="A180">
        <f>IF($X180="","",INDEX('Per Line'!$C$2:$C$1501,$X180)&amp;"")</f>
        <v/>
      </c>
      <c r="B180" s="12" t="n"/>
      <c r="C180">
        <f>IF($X180="","",INDEX('Per Line'!$D$2:$D$1501,$X180)&amp;"")</f>
        <v/>
      </c>
      <c r="D180">
        <f>IF($X180="","",INDEX('Per Line'!$A$2:$A$1501,$X180))</f>
        <v/>
      </c>
      <c r="E180">
        <f>IF($X180="","",INDEX('Per Line'!$G$2:$G$1501,$X180)&amp;"")</f>
        <v/>
      </c>
      <c r="F180" s="11">
        <f>IF($X180="","",INDEX('Per Line'!$F$2:$F$1501,$X180))</f>
        <v/>
      </c>
      <c r="G180">
        <f>IF($X180="","",INDEX('Per Line'!$I$2:$I$1501,$X180)&amp;"")</f>
        <v/>
      </c>
      <c r="H180">
        <f>IF($X180="","",INDEX('Per Line'!$J$2:$J$1501,$X180)&amp;"")</f>
        <v/>
      </c>
      <c r="I180">
        <f>IF($X180="","",INDEX('Per Line'!$K$2:$K$1501,$X180)&amp;"")</f>
        <v/>
      </c>
      <c r="J180">
        <f>IF($X180="","",INDEX('Per Line'!$M$2:$M$1501,$X180))</f>
        <v/>
      </c>
      <c r="K180" s="7">
        <f>IF($X180="","",J180*V180/100)</f>
        <v/>
      </c>
      <c r="L180">
        <f>IF($X180="","",INDEX('Per Line'!$Y$2:$Y$1501,$X180)&amp;"")</f>
        <v/>
      </c>
      <c r="M180" s="7">
        <f>IF($X180="","",SUMIFS('Per Line'!$U$2:$U$1501,'Per Line'!$AJ$2:$AJ$1501,$A180&amp;"|"&amp;$C180,'Per Line'!$AN$2:$AN$1501,1))</f>
        <v/>
      </c>
      <c r="N180">
        <f>IF($X180="","",Settings!$C$7)</f>
        <v/>
      </c>
      <c r="O180" s="7">
        <f>IF($X180="","",SUMIFS('Per Line'!$U$2:$U$1501,'Per Line'!$AJ$2:$AJ$1501,$A180&amp;"|"&amp;$C180,'Per Line'!$AM$2:$AM$1501,0,'Per Line'!$AN$2:$AN$1501,0))</f>
        <v/>
      </c>
      <c r="P180" s="7">
        <f>IF($X180="","",O180*N180)</f>
        <v/>
      </c>
      <c r="Q180">
        <f>IF($X180="","",Settings!$C$6)</f>
        <v/>
      </c>
      <c r="R180" s="7">
        <f>IF($X180="","",SUMIFS('Per Line'!$U$2:$U$1501,'Per Line'!$AJ$2:$AJ$1501,$A180&amp;"|"&amp;$C180,'Per Line'!$AM$2:$AM$1501,1,'Per Line'!$AN$2:$AN$1501,0))</f>
        <v/>
      </c>
      <c r="S180" s="7">
        <f>IF($X180="","",R180*Q180)</f>
        <v/>
      </c>
      <c r="T180" s="7">
        <f>IF($X180="","",S180+P180)</f>
        <v/>
      </c>
      <c r="U180" s="7">
        <f>IF($X180="","",V180-T180)</f>
        <v/>
      </c>
      <c r="V180" s="7">
        <f>IF($X180="","",O180+R180+M180)</f>
        <v/>
      </c>
      <c r="W180" s="7">
        <f>IF($X180="","",V180-T180-K180)</f>
        <v/>
      </c>
      <c r="X180" s="13">
        <f>IF(ROWS($X$2:$X180)&lt;=MAX('Per Line'!$AL$2:$AL$1501),MATCH(ROWS($X$2:$X180),'Per Line'!$AL$2:$AL$1501,0),"")</f>
        <v/>
      </c>
    </row>
    <row r="181">
      <c r="A181">
        <f>IF($X181="","",INDEX('Per Line'!$C$2:$C$1501,$X181)&amp;"")</f>
        <v/>
      </c>
      <c r="B181" s="12" t="n"/>
      <c r="C181">
        <f>IF($X181="","",INDEX('Per Line'!$D$2:$D$1501,$X181)&amp;"")</f>
        <v/>
      </c>
      <c r="D181">
        <f>IF($X181="","",INDEX('Per Line'!$A$2:$A$1501,$X181))</f>
        <v/>
      </c>
      <c r="E181">
        <f>IF($X181="","",INDEX('Per Line'!$G$2:$G$1501,$X181)&amp;"")</f>
        <v/>
      </c>
      <c r="F181" s="11">
        <f>IF($X181="","",INDEX('Per Line'!$F$2:$F$1501,$X181))</f>
        <v/>
      </c>
      <c r="G181">
        <f>IF($X181="","",INDEX('Per Line'!$I$2:$I$1501,$X181)&amp;"")</f>
        <v/>
      </c>
      <c r="H181">
        <f>IF($X181="","",INDEX('Per Line'!$J$2:$J$1501,$X181)&amp;"")</f>
        <v/>
      </c>
      <c r="I181">
        <f>IF($X181="","",INDEX('Per Line'!$K$2:$K$1501,$X181)&amp;"")</f>
        <v/>
      </c>
      <c r="J181">
        <f>IF($X181="","",INDEX('Per Line'!$M$2:$M$1501,$X181))</f>
        <v/>
      </c>
      <c r="K181" s="7">
        <f>IF($X181="","",J181*V181/100)</f>
        <v/>
      </c>
      <c r="L181">
        <f>IF($X181="","",INDEX('Per Line'!$Y$2:$Y$1501,$X181)&amp;"")</f>
        <v/>
      </c>
      <c r="M181" s="7">
        <f>IF($X181="","",SUMIFS('Per Line'!$U$2:$U$1501,'Per Line'!$AJ$2:$AJ$1501,$A181&amp;"|"&amp;$C181,'Per Line'!$AN$2:$AN$1501,1))</f>
        <v/>
      </c>
      <c r="N181">
        <f>IF($X181="","",Settings!$C$7)</f>
        <v/>
      </c>
      <c r="O181" s="7">
        <f>IF($X181="","",SUMIFS('Per Line'!$U$2:$U$1501,'Per Line'!$AJ$2:$AJ$1501,$A181&amp;"|"&amp;$C181,'Per Line'!$AM$2:$AM$1501,0,'Per Line'!$AN$2:$AN$1501,0))</f>
        <v/>
      </c>
      <c r="P181" s="7">
        <f>IF($X181="","",O181*N181)</f>
        <v/>
      </c>
      <c r="Q181">
        <f>IF($X181="","",Settings!$C$6)</f>
        <v/>
      </c>
      <c r="R181" s="7">
        <f>IF($X181="","",SUMIFS('Per Line'!$U$2:$U$1501,'Per Line'!$AJ$2:$AJ$1501,$A181&amp;"|"&amp;$C181,'Per Line'!$AM$2:$AM$1501,1,'Per Line'!$AN$2:$AN$1501,0))</f>
        <v/>
      </c>
      <c r="S181" s="7">
        <f>IF($X181="","",R181*Q181)</f>
        <v/>
      </c>
      <c r="T181" s="7">
        <f>IF($X181="","",S181+P181)</f>
        <v/>
      </c>
      <c r="U181" s="7">
        <f>IF($X181="","",V181-T181)</f>
        <v/>
      </c>
      <c r="V181" s="7">
        <f>IF($X181="","",O181+R181+M181)</f>
        <v/>
      </c>
      <c r="W181" s="7">
        <f>IF($X181="","",V181-T181-K181)</f>
        <v/>
      </c>
      <c r="X181" s="13">
        <f>IF(ROWS($X$2:$X181)&lt;=MAX('Per Line'!$AL$2:$AL$1501),MATCH(ROWS($X$2:$X181),'Per Line'!$AL$2:$AL$1501,0),"")</f>
        <v/>
      </c>
    </row>
    <row r="182">
      <c r="A182">
        <f>IF($X182="","",INDEX('Per Line'!$C$2:$C$1501,$X182)&amp;"")</f>
        <v/>
      </c>
      <c r="B182" s="12" t="n"/>
      <c r="C182">
        <f>IF($X182="","",INDEX('Per Line'!$D$2:$D$1501,$X182)&amp;"")</f>
        <v/>
      </c>
      <c r="D182">
        <f>IF($X182="","",INDEX('Per Line'!$A$2:$A$1501,$X182))</f>
        <v/>
      </c>
      <c r="E182">
        <f>IF($X182="","",INDEX('Per Line'!$G$2:$G$1501,$X182)&amp;"")</f>
        <v/>
      </c>
      <c r="F182" s="11">
        <f>IF($X182="","",INDEX('Per Line'!$F$2:$F$1501,$X182))</f>
        <v/>
      </c>
      <c r="G182">
        <f>IF($X182="","",INDEX('Per Line'!$I$2:$I$1501,$X182)&amp;"")</f>
        <v/>
      </c>
      <c r="H182">
        <f>IF($X182="","",INDEX('Per Line'!$J$2:$J$1501,$X182)&amp;"")</f>
        <v/>
      </c>
      <c r="I182">
        <f>IF($X182="","",INDEX('Per Line'!$K$2:$K$1501,$X182)&amp;"")</f>
        <v/>
      </c>
      <c r="J182">
        <f>IF($X182="","",INDEX('Per Line'!$M$2:$M$1501,$X182))</f>
        <v/>
      </c>
      <c r="K182" s="7">
        <f>IF($X182="","",J182*V182/100)</f>
        <v/>
      </c>
      <c r="L182">
        <f>IF($X182="","",INDEX('Per Line'!$Y$2:$Y$1501,$X182)&amp;"")</f>
        <v/>
      </c>
      <c r="M182" s="7">
        <f>IF($X182="","",SUMIFS('Per Line'!$U$2:$U$1501,'Per Line'!$AJ$2:$AJ$1501,$A182&amp;"|"&amp;$C182,'Per Line'!$AN$2:$AN$1501,1))</f>
        <v/>
      </c>
      <c r="N182">
        <f>IF($X182="","",Settings!$C$7)</f>
        <v/>
      </c>
      <c r="O182" s="7">
        <f>IF($X182="","",SUMIFS('Per Line'!$U$2:$U$1501,'Per Line'!$AJ$2:$AJ$1501,$A182&amp;"|"&amp;$C182,'Per Line'!$AM$2:$AM$1501,0,'Per Line'!$AN$2:$AN$1501,0))</f>
        <v/>
      </c>
      <c r="P182" s="7">
        <f>IF($X182="","",O182*N182)</f>
        <v/>
      </c>
      <c r="Q182">
        <f>IF($X182="","",Settings!$C$6)</f>
        <v/>
      </c>
      <c r="R182" s="7">
        <f>IF($X182="","",SUMIFS('Per Line'!$U$2:$U$1501,'Per Line'!$AJ$2:$AJ$1501,$A182&amp;"|"&amp;$C182,'Per Line'!$AM$2:$AM$1501,1,'Per Line'!$AN$2:$AN$1501,0))</f>
        <v/>
      </c>
      <c r="S182" s="7">
        <f>IF($X182="","",R182*Q182)</f>
        <v/>
      </c>
      <c r="T182" s="7">
        <f>IF($X182="","",S182+P182)</f>
        <v/>
      </c>
      <c r="U182" s="7">
        <f>IF($X182="","",V182-T182)</f>
        <v/>
      </c>
      <c r="V182" s="7">
        <f>IF($X182="","",O182+R182+M182)</f>
        <v/>
      </c>
      <c r="W182" s="7">
        <f>IF($X182="","",V182-T182-K182)</f>
        <v/>
      </c>
      <c r="X182" s="13">
        <f>IF(ROWS($X$2:$X182)&lt;=MAX('Per Line'!$AL$2:$AL$1501),MATCH(ROWS($X$2:$X182),'Per Line'!$AL$2:$AL$1501,0),"")</f>
        <v/>
      </c>
    </row>
    <row r="183">
      <c r="A183">
        <f>IF($X183="","",INDEX('Per Line'!$C$2:$C$1501,$X183)&amp;"")</f>
        <v/>
      </c>
      <c r="B183" s="12" t="n"/>
      <c r="C183">
        <f>IF($X183="","",INDEX('Per Line'!$D$2:$D$1501,$X183)&amp;"")</f>
        <v/>
      </c>
      <c r="D183">
        <f>IF($X183="","",INDEX('Per Line'!$A$2:$A$1501,$X183))</f>
        <v/>
      </c>
      <c r="E183">
        <f>IF($X183="","",INDEX('Per Line'!$G$2:$G$1501,$X183)&amp;"")</f>
        <v/>
      </c>
      <c r="F183" s="11">
        <f>IF($X183="","",INDEX('Per Line'!$F$2:$F$1501,$X183))</f>
        <v/>
      </c>
      <c r="G183">
        <f>IF($X183="","",INDEX('Per Line'!$I$2:$I$1501,$X183)&amp;"")</f>
        <v/>
      </c>
      <c r="H183">
        <f>IF($X183="","",INDEX('Per Line'!$J$2:$J$1501,$X183)&amp;"")</f>
        <v/>
      </c>
      <c r="I183">
        <f>IF($X183="","",INDEX('Per Line'!$K$2:$K$1501,$X183)&amp;"")</f>
        <v/>
      </c>
      <c r="J183">
        <f>IF($X183="","",INDEX('Per Line'!$M$2:$M$1501,$X183))</f>
        <v/>
      </c>
      <c r="K183" s="7">
        <f>IF($X183="","",J183*V183/100)</f>
        <v/>
      </c>
      <c r="L183">
        <f>IF($X183="","",INDEX('Per Line'!$Y$2:$Y$1501,$X183)&amp;"")</f>
        <v/>
      </c>
      <c r="M183" s="7">
        <f>IF($X183="","",SUMIFS('Per Line'!$U$2:$U$1501,'Per Line'!$AJ$2:$AJ$1501,$A183&amp;"|"&amp;$C183,'Per Line'!$AN$2:$AN$1501,1))</f>
        <v/>
      </c>
      <c r="N183">
        <f>IF($X183="","",Settings!$C$7)</f>
        <v/>
      </c>
      <c r="O183" s="7">
        <f>IF($X183="","",SUMIFS('Per Line'!$U$2:$U$1501,'Per Line'!$AJ$2:$AJ$1501,$A183&amp;"|"&amp;$C183,'Per Line'!$AM$2:$AM$1501,0,'Per Line'!$AN$2:$AN$1501,0))</f>
        <v/>
      </c>
      <c r="P183" s="7">
        <f>IF($X183="","",O183*N183)</f>
        <v/>
      </c>
      <c r="Q183">
        <f>IF($X183="","",Settings!$C$6)</f>
        <v/>
      </c>
      <c r="R183" s="7">
        <f>IF($X183="","",SUMIFS('Per Line'!$U$2:$U$1501,'Per Line'!$AJ$2:$AJ$1501,$A183&amp;"|"&amp;$C183,'Per Line'!$AM$2:$AM$1501,1,'Per Line'!$AN$2:$AN$1501,0))</f>
        <v/>
      </c>
      <c r="S183" s="7">
        <f>IF($X183="","",R183*Q183)</f>
        <v/>
      </c>
      <c r="T183" s="7">
        <f>IF($X183="","",S183+P183)</f>
        <v/>
      </c>
      <c r="U183" s="7">
        <f>IF($X183="","",V183-T183)</f>
        <v/>
      </c>
      <c r="V183" s="7">
        <f>IF($X183="","",O183+R183+M183)</f>
        <v/>
      </c>
      <c r="W183" s="7">
        <f>IF($X183="","",V183-T183-K183)</f>
        <v/>
      </c>
      <c r="X183" s="13">
        <f>IF(ROWS($X$2:$X183)&lt;=MAX('Per Line'!$AL$2:$AL$1501),MATCH(ROWS($X$2:$X183),'Per Line'!$AL$2:$AL$1501,0),"")</f>
        <v/>
      </c>
    </row>
    <row r="184">
      <c r="A184">
        <f>IF($X184="","",INDEX('Per Line'!$C$2:$C$1501,$X184)&amp;"")</f>
        <v/>
      </c>
      <c r="B184" s="12" t="n"/>
      <c r="C184">
        <f>IF($X184="","",INDEX('Per Line'!$D$2:$D$1501,$X184)&amp;"")</f>
        <v/>
      </c>
      <c r="D184">
        <f>IF($X184="","",INDEX('Per Line'!$A$2:$A$1501,$X184))</f>
        <v/>
      </c>
      <c r="E184">
        <f>IF($X184="","",INDEX('Per Line'!$G$2:$G$1501,$X184)&amp;"")</f>
        <v/>
      </c>
      <c r="F184" s="11">
        <f>IF($X184="","",INDEX('Per Line'!$F$2:$F$1501,$X184))</f>
        <v/>
      </c>
      <c r="G184">
        <f>IF($X184="","",INDEX('Per Line'!$I$2:$I$1501,$X184)&amp;"")</f>
        <v/>
      </c>
      <c r="H184">
        <f>IF($X184="","",INDEX('Per Line'!$J$2:$J$1501,$X184)&amp;"")</f>
        <v/>
      </c>
      <c r="I184">
        <f>IF($X184="","",INDEX('Per Line'!$K$2:$K$1501,$X184)&amp;"")</f>
        <v/>
      </c>
      <c r="J184">
        <f>IF($X184="","",INDEX('Per Line'!$M$2:$M$1501,$X184))</f>
        <v/>
      </c>
      <c r="K184" s="7">
        <f>IF($X184="","",J184*V184/100)</f>
        <v/>
      </c>
      <c r="L184">
        <f>IF($X184="","",INDEX('Per Line'!$Y$2:$Y$1501,$X184)&amp;"")</f>
        <v/>
      </c>
      <c r="M184" s="7">
        <f>IF($X184="","",SUMIFS('Per Line'!$U$2:$U$1501,'Per Line'!$AJ$2:$AJ$1501,$A184&amp;"|"&amp;$C184,'Per Line'!$AN$2:$AN$1501,1))</f>
        <v/>
      </c>
      <c r="N184">
        <f>IF($X184="","",Settings!$C$7)</f>
        <v/>
      </c>
      <c r="O184" s="7">
        <f>IF($X184="","",SUMIFS('Per Line'!$U$2:$U$1501,'Per Line'!$AJ$2:$AJ$1501,$A184&amp;"|"&amp;$C184,'Per Line'!$AM$2:$AM$1501,0,'Per Line'!$AN$2:$AN$1501,0))</f>
        <v/>
      </c>
      <c r="P184" s="7">
        <f>IF($X184="","",O184*N184)</f>
        <v/>
      </c>
      <c r="Q184">
        <f>IF($X184="","",Settings!$C$6)</f>
        <v/>
      </c>
      <c r="R184" s="7">
        <f>IF($X184="","",SUMIFS('Per Line'!$U$2:$U$1501,'Per Line'!$AJ$2:$AJ$1501,$A184&amp;"|"&amp;$C184,'Per Line'!$AM$2:$AM$1501,1,'Per Line'!$AN$2:$AN$1501,0))</f>
        <v/>
      </c>
      <c r="S184" s="7">
        <f>IF($X184="","",R184*Q184)</f>
        <v/>
      </c>
      <c r="T184" s="7">
        <f>IF($X184="","",S184+P184)</f>
        <v/>
      </c>
      <c r="U184" s="7">
        <f>IF($X184="","",V184-T184)</f>
        <v/>
      </c>
      <c r="V184" s="7">
        <f>IF($X184="","",O184+R184+M184)</f>
        <v/>
      </c>
      <c r="W184" s="7">
        <f>IF($X184="","",V184-T184-K184)</f>
        <v/>
      </c>
      <c r="X184" s="13">
        <f>IF(ROWS($X$2:$X184)&lt;=MAX('Per Line'!$AL$2:$AL$1501),MATCH(ROWS($X$2:$X184),'Per Line'!$AL$2:$AL$1501,0),"")</f>
        <v/>
      </c>
    </row>
    <row r="185">
      <c r="A185">
        <f>IF($X185="","",INDEX('Per Line'!$C$2:$C$1501,$X185)&amp;"")</f>
        <v/>
      </c>
      <c r="B185" s="12" t="n"/>
      <c r="C185">
        <f>IF($X185="","",INDEX('Per Line'!$D$2:$D$1501,$X185)&amp;"")</f>
        <v/>
      </c>
      <c r="D185">
        <f>IF($X185="","",INDEX('Per Line'!$A$2:$A$1501,$X185))</f>
        <v/>
      </c>
      <c r="E185">
        <f>IF($X185="","",INDEX('Per Line'!$G$2:$G$1501,$X185)&amp;"")</f>
        <v/>
      </c>
      <c r="F185" s="11">
        <f>IF($X185="","",INDEX('Per Line'!$F$2:$F$1501,$X185))</f>
        <v/>
      </c>
      <c r="G185">
        <f>IF($X185="","",INDEX('Per Line'!$I$2:$I$1501,$X185)&amp;"")</f>
        <v/>
      </c>
      <c r="H185">
        <f>IF($X185="","",INDEX('Per Line'!$J$2:$J$1501,$X185)&amp;"")</f>
        <v/>
      </c>
      <c r="I185">
        <f>IF($X185="","",INDEX('Per Line'!$K$2:$K$1501,$X185)&amp;"")</f>
        <v/>
      </c>
      <c r="J185">
        <f>IF($X185="","",INDEX('Per Line'!$M$2:$M$1501,$X185))</f>
        <v/>
      </c>
      <c r="K185" s="7">
        <f>IF($X185="","",J185*V185/100)</f>
        <v/>
      </c>
      <c r="L185">
        <f>IF($X185="","",INDEX('Per Line'!$Y$2:$Y$1501,$X185)&amp;"")</f>
        <v/>
      </c>
      <c r="M185" s="7">
        <f>IF($X185="","",SUMIFS('Per Line'!$U$2:$U$1501,'Per Line'!$AJ$2:$AJ$1501,$A185&amp;"|"&amp;$C185,'Per Line'!$AN$2:$AN$1501,1))</f>
        <v/>
      </c>
      <c r="N185">
        <f>IF($X185="","",Settings!$C$7)</f>
        <v/>
      </c>
      <c r="O185" s="7">
        <f>IF($X185="","",SUMIFS('Per Line'!$U$2:$U$1501,'Per Line'!$AJ$2:$AJ$1501,$A185&amp;"|"&amp;$C185,'Per Line'!$AM$2:$AM$1501,0,'Per Line'!$AN$2:$AN$1501,0))</f>
        <v/>
      </c>
      <c r="P185" s="7">
        <f>IF($X185="","",O185*N185)</f>
        <v/>
      </c>
      <c r="Q185">
        <f>IF($X185="","",Settings!$C$6)</f>
        <v/>
      </c>
      <c r="R185" s="7">
        <f>IF($X185="","",SUMIFS('Per Line'!$U$2:$U$1501,'Per Line'!$AJ$2:$AJ$1501,$A185&amp;"|"&amp;$C185,'Per Line'!$AM$2:$AM$1501,1,'Per Line'!$AN$2:$AN$1501,0))</f>
        <v/>
      </c>
      <c r="S185" s="7">
        <f>IF($X185="","",R185*Q185)</f>
        <v/>
      </c>
      <c r="T185" s="7">
        <f>IF($X185="","",S185+P185)</f>
        <v/>
      </c>
      <c r="U185" s="7">
        <f>IF($X185="","",V185-T185)</f>
        <v/>
      </c>
      <c r="V185" s="7">
        <f>IF($X185="","",O185+R185+M185)</f>
        <v/>
      </c>
      <c r="W185" s="7">
        <f>IF($X185="","",V185-T185-K185)</f>
        <v/>
      </c>
      <c r="X185" s="13">
        <f>IF(ROWS($X$2:$X185)&lt;=MAX('Per Line'!$AL$2:$AL$1501),MATCH(ROWS($X$2:$X185),'Per Line'!$AL$2:$AL$1501,0),"")</f>
        <v/>
      </c>
    </row>
    <row r="186">
      <c r="A186">
        <f>IF($X186="","",INDEX('Per Line'!$C$2:$C$1501,$X186)&amp;"")</f>
        <v/>
      </c>
      <c r="B186" s="12" t="n"/>
      <c r="C186">
        <f>IF($X186="","",INDEX('Per Line'!$D$2:$D$1501,$X186)&amp;"")</f>
        <v/>
      </c>
      <c r="D186">
        <f>IF($X186="","",INDEX('Per Line'!$A$2:$A$1501,$X186))</f>
        <v/>
      </c>
      <c r="E186">
        <f>IF($X186="","",INDEX('Per Line'!$G$2:$G$1501,$X186)&amp;"")</f>
        <v/>
      </c>
      <c r="F186" s="11">
        <f>IF($X186="","",INDEX('Per Line'!$F$2:$F$1501,$X186))</f>
        <v/>
      </c>
      <c r="G186">
        <f>IF($X186="","",INDEX('Per Line'!$I$2:$I$1501,$X186)&amp;"")</f>
        <v/>
      </c>
      <c r="H186">
        <f>IF($X186="","",INDEX('Per Line'!$J$2:$J$1501,$X186)&amp;"")</f>
        <v/>
      </c>
      <c r="I186">
        <f>IF($X186="","",INDEX('Per Line'!$K$2:$K$1501,$X186)&amp;"")</f>
        <v/>
      </c>
      <c r="J186">
        <f>IF($X186="","",INDEX('Per Line'!$M$2:$M$1501,$X186))</f>
        <v/>
      </c>
      <c r="K186" s="7">
        <f>IF($X186="","",J186*V186/100)</f>
        <v/>
      </c>
      <c r="L186">
        <f>IF($X186="","",INDEX('Per Line'!$Y$2:$Y$1501,$X186)&amp;"")</f>
        <v/>
      </c>
      <c r="M186" s="7">
        <f>IF($X186="","",SUMIFS('Per Line'!$U$2:$U$1501,'Per Line'!$AJ$2:$AJ$1501,$A186&amp;"|"&amp;$C186,'Per Line'!$AN$2:$AN$1501,1))</f>
        <v/>
      </c>
      <c r="N186">
        <f>IF($X186="","",Settings!$C$7)</f>
        <v/>
      </c>
      <c r="O186" s="7">
        <f>IF($X186="","",SUMIFS('Per Line'!$U$2:$U$1501,'Per Line'!$AJ$2:$AJ$1501,$A186&amp;"|"&amp;$C186,'Per Line'!$AM$2:$AM$1501,0,'Per Line'!$AN$2:$AN$1501,0))</f>
        <v/>
      </c>
      <c r="P186" s="7">
        <f>IF($X186="","",O186*N186)</f>
        <v/>
      </c>
      <c r="Q186">
        <f>IF($X186="","",Settings!$C$6)</f>
        <v/>
      </c>
      <c r="R186" s="7">
        <f>IF($X186="","",SUMIFS('Per Line'!$U$2:$U$1501,'Per Line'!$AJ$2:$AJ$1501,$A186&amp;"|"&amp;$C186,'Per Line'!$AM$2:$AM$1501,1,'Per Line'!$AN$2:$AN$1501,0))</f>
        <v/>
      </c>
      <c r="S186" s="7">
        <f>IF($X186="","",R186*Q186)</f>
        <v/>
      </c>
      <c r="T186" s="7">
        <f>IF($X186="","",S186+P186)</f>
        <v/>
      </c>
      <c r="U186" s="7">
        <f>IF($X186="","",V186-T186)</f>
        <v/>
      </c>
      <c r="V186" s="7">
        <f>IF($X186="","",O186+R186+M186)</f>
        <v/>
      </c>
      <c r="W186" s="7">
        <f>IF($X186="","",V186-T186-K186)</f>
        <v/>
      </c>
      <c r="X186" s="13">
        <f>IF(ROWS($X$2:$X186)&lt;=MAX('Per Line'!$AL$2:$AL$1501),MATCH(ROWS($X$2:$X186),'Per Line'!$AL$2:$AL$1501,0),"")</f>
        <v/>
      </c>
    </row>
    <row r="187">
      <c r="A187">
        <f>IF($X187="","",INDEX('Per Line'!$C$2:$C$1501,$X187)&amp;"")</f>
        <v/>
      </c>
      <c r="B187" s="12" t="n"/>
      <c r="C187">
        <f>IF($X187="","",INDEX('Per Line'!$D$2:$D$1501,$X187)&amp;"")</f>
        <v/>
      </c>
      <c r="D187">
        <f>IF($X187="","",INDEX('Per Line'!$A$2:$A$1501,$X187))</f>
        <v/>
      </c>
      <c r="E187">
        <f>IF($X187="","",INDEX('Per Line'!$G$2:$G$1501,$X187)&amp;"")</f>
        <v/>
      </c>
      <c r="F187" s="11">
        <f>IF($X187="","",INDEX('Per Line'!$F$2:$F$1501,$X187))</f>
        <v/>
      </c>
      <c r="G187">
        <f>IF($X187="","",INDEX('Per Line'!$I$2:$I$1501,$X187)&amp;"")</f>
        <v/>
      </c>
      <c r="H187">
        <f>IF($X187="","",INDEX('Per Line'!$J$2:$J$1501,$X187)&amp;"")</f>
        <v/>
      </c>
      <c r="I187">
        <f>IF($X187="","",INDEX('Per Line'!$K$2:$K$1501,$X187)&amp;"")</f>
        <v/>
      </c>
      <c r="J187">
        <f>IF($X187="","",INDEX('Per Line'!$M$2:$M$1501,$X187))</f>
        <v/>
      </c>
      <c r="K187" s="7">
        <f>IF($X187="","",J187*V187/100)</f>
        <v/>
      </c>
      <c r="L187">
        <f>IF($X187="","",INDEX('Per Line'!$Y$2:$Y$1501,$X187)&amp;"")</f>
        <v/>
      </c>
      <c r="M187" s="7">
        <f>IF($X187="","",SUMIFS('Per Line'!$U$2:$U$1501,'Per Line'!$AJ$2:$AJ$1501,$A187&amp;"|"&amp;$C187,'Per Line'!$AN$2:$AN$1501,1))</f>
        <v/>
      </c>
      <c r="N187">
        <f>IF($X187="","",Settings!$C$7)</f>
        <v/>
      </c>
      <c r="O187" s="7">
        <f>IF($X187="","",SUMIFS('Per Line'!$U$2:$U$1501,'Per Line'!$AJ$2:$AJ$1501,$A187&amp;"|"&amp;$C187,'Per Line'!$AM$2:$AM$1501,0,'Per Line'!$AN$2:$AN$1501,0))</f>
        <v/>
      </c>
      <c r="P187" s="7">
        <f>IF($X187="","",O187*N187)</f>
        <v/>
      </c>
      <c r="Q187">
        <f>IF($X187="","",Settings!$C$6)</f>
        <v/>
      </c>
      <c r="R187" s="7">
        <f>IF($X187="","",SUMIFS('Per Line'!$U$2:$U$1501,'Per Line'!$AJ$2:$AJ$1501,$A187&amp;"|"&amp;$C187,'Per Line'!$AM$2:$AM$1501,1,'Per Line'!$AN$2:$AN$1501,0))</f>
        <v/>
      </c>
      <c r="S187" s="7">
        <f>IF($X187="","",R187*Q187)</f>
        <v/>
      </c>
      <c r="T187" s="7">
        <f>IF($X187="","",S187+P187)</f>
        <v/>
      </c>
      <c r="U187" s="7">
        <f>IF($X187="","",V187-T187)</f>
        <v/>
      </c>
      <c r="V187" s="7">
        <f>IF($X187="","",O187+R187+M187)</f>
        <v/>
      </c>
      <c r="W187" s="7">
        <f>IF($X187="","",V187-T187-K187)</f>
        <v/>
      </c>
      <c r="X187" s="13">
        <f>IF(ROWS($X$2:$X187)&lt;=MAX('Per Line'!$AL$2:$AL$1501),MATCH(ROWS($X$2:$X187),'Per Line'!$AL$2:$AL$1501,0),"")</f>
        <v/>
      </c>
    </row>
    <row r="188">
      <c r="A188">
        <f>IF($X188="","",INDEX('Per Line'!$C$2:$C$1501,$X188)&amp;"")</f>
        <v/>
      </c>
      <c r="B188" s="12" t="n"/>
      <c r="C188">
        <f>IF($X188="","",INDEX('Per Line'!$D$2:$D$1501,$X188)&amp;"")</f>
        <v/>
      </c>
      <c r="D188">
        <f>IF($X188="","",INDEX('Per Line'!$A$2:$A$1501,$X188))</f>
        <v/>
      </c>
      <c r="E188">
        <f>IF($X188="","",INDEX('Per Line'!$G$2:$G$1501,$X188)&amp;"")</f>
        <v/>
      </c>
      <c r="F188" s="11">
        <f>IF($X188="","",INDEX('Per Line'!$F$2:$F$1501,$X188))</f>
        <v/>
      </c>
      <c r="G188">
        <f>IF($X188="","",INDEX('Per Line'!$I$2:$I$1501,$X188)&amp;"")</f>
        <v/>
      </c>
      <c r="H188">
        <f>IF($X188="","",INDEX('Per Line'!$J$2:$J$1501,$X188)&amp;"")</f>
        <v/>
      </c>
      <c r="I188">
        <f>IF($X188="","",INDEX('Per Line'!$K$2:$K$1501,$X188)&amp;"")</f>
        <v/>
      </c>
      <c r="J188">
        <f>IF($X188="","",INDEX('Per Line'!$M$2:$M$1501,$X188))</f>
        <v/>
      </c>
      <c r="K188" s="7">
        <f>IF($X188="","",J188*V188/100)</f>
        <v/>
      </c>
      <c r="L188">
        <f>IF($X188="","",INDEX('Per Line'!$Y$2:$Y$1501,$X188)&amp;"")</f>
        <v/>
      </c>
      <c r="M188" s="7">
        <f>IF($X188="","",SUMIFS('Per Line'!$U$2:$U$1501,'Per Line'!$AJ$2:$AJ$1501,$A188&amp;"|"&amp;$C188,'Per Line'!$AN$2:$AN$1501,1))</f>
        <v/>
      </c>
      <c r="N188">
        <f>IF($X188="","",Settings!$C$7)</f>
        <v/>
      </c>
      <c r="O188" s="7">
        <f>IF($X188="","",SUMIFS('Per Line'!$U$2:$U$1501,'Per Line'!$AJ$2:$AJ$1501,$A188&amp;"|"&amp;$C188,'Per Line'!$AM$2:$AM$1501,0,'Per Line'!$AN$2:$AN$1501,0))</f>
        <v/>
      </c>
      <c r="P188" s="7">
        <f>IF($X188="","",O188*N188)</f>
        <v/>
      </c>
      <c r="Q188">
        <f>IF($X188="","",Settings!$C$6)</f>
        <v/>
      </c>
      <c r="R188" s="7">
        <f>IF($X188="","",SUMIFS('Per Line'!$U$2:$U$1501,'Per Line'!$AJ$2:$AJ$1501,$A188&amp;"|"&amp;$C188,'Per Line'!$AM$2:$AM$1501,1,'Per Line'!$AN$2:$AN$1501,0))</f>
        <v/>
      </c>
      <c r="S188" s="7">
        <f>IF($X188="","",R188*Q188)</f>
        <v/>
      </c>
      <c r="T188" s="7">
        <f>IF($X188="","",S188+P188)</f>
        <v/>
      </c>
      <c r="U188" s="7">
        <f>IF($X188="","",V188-T188)</f>
        <v/>
      </c>
      <c r="V188" s="7">
        <f>IF($X188="","",O188+R188+M188)</f>
        <v/>
      </c>
      <c r="W188" s="7">
        <f>IF($X188="","",V188-T188-K188)</f>
        <v/>
      </c>
      <c r="X188" s="13">
        <f>IF(ROWS($X$2:$X188)&lt;=MAX('Per Line'!$AL$2:$AL$1501),MATCH(ROWS($X$2:$X188),'Per Line'!$AL$2:$AL$1501,0),"")</f>
        <v/>
      </c>
    </row>
    <row r="189">
      <c r="A189">
        <f>IF($X189="","",INDEX('Per Line'!$C$2:$C$1501,$X189)&amp;"")</f>
        <v/>
      </c>
      <c r="B189" s="12" t="n"/>
      <c r="C189">
        <f>IF($X189="","",INDEX('Per Line'!$D$2:$D$1501,$X189)&amp;"")</f>
        <v/>
      </c>
      <c r="D189">
        <f>IF($X189="","",INDEX('Per Line'!$A$2:$A$1501,$X189))</f>
        <v/>
      </c>
      <c r="E189">
        <f>IF($X189="","",INDEX('Per Line'!$G$2:$G$1501,$X189)&amp;"")</f>
        <v/>
      </c>
      <c r="F189" s="11">
        <f>IF($X189="","",INDEX('Per Line'!$F$2:$F$1501,$X189))</f>
        <v/>
      </c>
      <c r="G189">
        <f>IF($X189="","",INDEX('Per Line'!$I$2:$I$1501,$X189)&amp;"")</f>
        <v/>
      </c>
      <c r="H189">
        <f>IF($X189="","",INDEX('Per Line'!$J$2:$J$1501,$X189)&amp;"")</f>
        <v/>
      </c>
      <c r="I189">
        <f>IF($X189="","",INDEX('Per Line'!$K$2:$K$1501,$X189)&amp;"")</f>
        <v/>
      </c>
      <c r="J189">
        <f>IF($X189="","",INDEX('Per Line'!$M$2:$M$1501,$X189))</f>
        <v/>
      </c>
      <c r="K189" s="7">
        <f>IF($X189="","",J189*V189/100)</f>
        <v/>
      </c>
      <c r="L189">
        <f>IF($X189="","",INDEX('Per Line'!$Y$2:$Y$1501,$X189)&amp;"")</f>
        <v/>
      </c>
      <c r="M189" s="7">
        <f>IF($X189="","",SUMIFS('Per Line'!$U$2:$U$1501,'Per Line'!$AJ$2:$AJ$1501,$A189&amp;"|"&amp;$C189,'Per Line'!$AN$2:$AN$1501,1))</f>
        <v/>
      </c>
      <c r="N189">
        <f>IF($X189="","",Settings!$C$7)</f>
        <v/>
      </c>
      <c r="O189" s="7">
        <f>IF($X189="","",SUMIFS('Per Line'!$U$2:$U$1501,'Per Line'!$AJ$2:$AJ$1501,$A189&amp;"|"&amp;$C189,'Per Line'!$AM$2:$AM$1501,0,'Per Line'!$AN$2:$AN$1501,0))</f>
        <v/>
      </c>
      <c r="P189" s="7">
        <f>IF($X189="","",O189*N189)</f>
        <v/>
      </c>
      <c r="Q189">
        <f>IF($X189="","",Settings!$C$6)</f>
        <v/>
      </c>
      <c r="R189" s="7">
        <f>IF($X189="","",SUMIFS('Per Line'!$U$2:$U$1501,'Per Line'!$AJ$2:$AJ$1501,$A189&amp;"|"&amp;$C189,'Per Line'!$AM$2:$AM$1501,1,'Per Line'!$AN$2:$AN$1501,0))</f>
        <v/>
      </c>
      <c r="S189" s="7">
        <f>IF($X189="","",R189*Q189)</f>
        <v/>
      </c>
      <c r="T189" s="7">
        <f>IF($X189="","",S189+P189)</f>
        <v/>
      </c>
      <c r="U189" s="7">
        <f>IF($X189="","",V189-T189)</f>
        <v/>
      </c>
      <c r="V189" s="7">
        <f>IF($X189="","",O189+R189+M189)</f>
        <v/>
      </c>
      <c r="W189" s="7">
        <f>IF($X189="","",V189-T189-K189)</f>
        <v/>
      </c>
      <c r="X189" s="13">
        <f>IF(ROWS($X$2:$X189)&lt;=MAX('Per Line'!$AL$2:$AL$1501),MATCH(ROWS($X$2:$X189),'Per Line'!$AL$2:$AL$1501,0),"")</f>
        <v/>
      </c>
    </row>
    <row r="190">
      <c r="A190">
        <f>IF($X190="","",INDEX('Per Line'!$C$2:$C$1501,$X190)&amp;"")</f>
        <v/>
      </c>
      <c r="B190" s="12" t="n"/>
      <c r="C190">
        <f>IF($X190="","",INDEX('Per Line'!$D$2:$D$1501,$X190)&amp;"")</f>
        <v/>
      </c>
      <c r="D190">
        <f>IF($X190="","",INDEX('Per Line'!$A$2:$A$1501,$X190))</f>
        <v/>
      </c>
      <c r="E190">
        <f>IF($X190="","",INDEX('Per Line'!$G$2:$G$1501,$X190)&amp;"")</f>
        <v/>
      </c>
      <c r="F190" s="11">
        <f>IF($X190="","",INDEX('Per Line'!$F$2:$F$1501,$X190))</f>
        <v/>
      </c>
      <c r="G190">
        <f>IF($X190="","",INDEX('Per Line'!$I$2:$I$1501,$X190)&amp;"")</f>
        <v/>
      </c>
      <c r="H190">
        <f>IF($X190="","",INDEX('Per Line'!$J$2:$J$1501,$X190)&amp;"")</f>
        <v/>
      </c>
      <c r="I190">
        <f>IF($X190="","",INDEX('Per Line'!$K$2:$K$1501,$X190)&amp;"")</f>
        <v/>
      </c>
      <c r="J190">
        <f>IF($X190="","",INDEX('Per Line'!$M$2:$M$1501,$X190))</f>
        <v/>
      </c>
      <c r="K190" s="7">
        <f>IF($X190="","",J190*V190/100)</f>
        <v/>
      </c>
      <c r="L190">
        <f>IF($X190="","",INDEX('Per Line'!$Y$2:$Y$1501,$X190)&amp;"")</f>
        <v/>
      </c>
      <c r="M190" s="7">
        <f>IF($X190="","",SUMIFS('Per Line'!$U$2:$U$1501,'Per Line'!$AJ$2:$AJ$1501,$A190&amp;"|"&amp;$C190,'Per Line'!$AN$2:$AN$1501,1))</f>
        <v/>
      </c>
      <c r="N190">
        <f>IF($X190="","",Settings!$C$7)</f>
        <v/>
      </c>
      <c r="O190" s="7">
        <f>IF($X190="","",SUMIFS('Per Line'!$U$2:$U$1501,'Per Line'!$AJ$2:$AJ$1501,$A190&amp;"|"&amp;$C190,'Per Line'!$AM$2:$AM$1501,0,'Per Line'!$AN$2:$AN$1501,0))</f>
        <v/>
      </c>
      <c r="P190" s="7">
        <f>IF($X190="","",O190*N190)</f>
        <v/>
      </c>
      <c r="Q190">
        <f>IF($X190="","",Settings!$C$6)</f>
        <v/>
      </c>
      <c r="R190" s="7">
        <f>IF($X190="","",SUMIFS('Per Line'!$U$2:$U$1501,'Per Line'!$AJ$2:$AJ$1501,$A190&amp;"|"&amp;$C190,'Per Line'!$AM$2:$AM$1501,1,'Per Line'!$AN$2:$AN$1501,0))</f>
        <v/>
      </c>
      <c r="S190" s="7">
        <f>IF($X190="","",R190*Q190)</f>
        <v/>
      </c>
      <c r="T190" s="7">
        <f>IF($X190="","",S190+P190)</f>
        <v/>
      </c>
      <c r="U190" s="7">
        <f>IF($X190="","",V190-T190)</f>
        <v/>
      </c>
      <c r="V190" s="7">
        <f>IF($X190="","",O190+R190+M190)</f>
        <v/>
      </c>
      <c r="W190" s="7">
        <f>IF($X190="","",V190-T190-K190)</f>
        <v/>
      </c>
      <c r="X190" s="13">
        <f>IF(ROWS($X$2:$X190)&lt;=MAX('Per Line'!$AL$2:$AL$1501),MATCH(ROWS($X$2:$X190),'Per Line'!$AL$2:$AL$1501,0),"")</f>
        <v/>
      </c>
    </row>
    <row r="191">
      <c r="A191">
        <f>IF($X191="","",INDEX('Per Line'!$C$2:$C$1501,$X191)&amp;"")</f>
        <v/>
      </c>
      <c r="B191" s="12" t="n"/>
      <c r="C191">
        <f>IF($X191="","",INDEX('Per Line'!$D$2:$D$1501,$X191)&amp;"")</f>
        <v/>
      </c>
      <c r="D191">
        <f>IF($X191="","",INDEX('Per Line'!$A$2:$A$1501,$X191))</f>
        <v/>
      </c>
      <c r="E191">
        <f>IF($X191="","",INDEX('Per Line'!$G$2:$G$1501,$X191)&amp;"")</f>
        <v/>
      </c>
      <c r="F191" s="11">
        <f>IF($X191="","",INDEX('Per Line'!$F$2:$F$1501,$X191))</f>
        <v/>
      </c>
      <c r="G191">
        <f>IF($X191="","",INDEX('Per Line'!$I$2:$I$1501,$X191)&amp;"")</f>
        <v/>
      </c>
      <c r="H191">
        <f>IF($X191="","",INDEX('Per Line'!$J$2:$J$1501,$X191)&amp;"")</f>
        <v/>
      </c>
      <c r="I191">
        <f>IF($X191="","",INDEX('Per Line'!$K$2:$K$1501,$X191)&amp;"")</f>
        <v/>
      </c>
      <c r="J191">
        <f>IF($X191="","",INDEX('Per Line'!$M$2:$M$1501,$X191))</f>
        <v/>
      </c>
      <c r="K191" s="7">
        <f>IF($X191="","",J191*V191/100)</f>
        <v/>
      </c>
      <c r="L191">
        <f>IF($X191="","",INDEX('Per Line'!$Y$2:$Y$1501,$X191)&amp;"")</f>
        <v/>
      </c>
      <c r="M191" s="7">
        <f>IF($X191="","",SUMIFS('Per Line'!$U$2:$U$1501,'Per Line'!$AJ$2:$AJ$1501,$A191&amp;"|"&amp;$C191,'Per Line'!$AN$2:$AN$1501,1))</f>
        <v/>
      </c>
      <c r="N191">
        <f>IF($X191="","",Settings!$C$7)</f>
        <v/>
      </c>
      <c r="O191" s="7">
        <f>IF($X191="","",SUMIFS('Per Line'!$U$2:$U$1501,'Per Line'!$AJ$2:$AJ$1501,$A191&amp;"|"&amp;$C191,'Per Line'!$AM$2:$AM$1501,0,'Per Line'!$AN$2:$AN$1501,0))</f>
        <v/>
      </c>
      <c r="P191" s="7">
        <f>IF($X191="","",O191*N191)</f>
        <v/>
      </c>
      <c r="Q191">
        <f>IF($X191="","",Settings!$C$6)</f>
        <v/>
      </c>
      <c r="R191" s="7">
        <f>IF($X191="","",SUMIFS('Per Line'!$U$2:$U$1501,'Per Line'!$AJ$2:$AJ$1501,$A191&amp;"|"&amp;$C191,'Per Line'!$AM$2:$AM$1501,1,'Per Line'!$AN$2:$AN$1501,0))</f>
        <v/>
      </c>
      <c r="S191" s="7">
        <f>IF($X191="","",R191*Q191)</f>
        <v/>
      </c>
      <c r="T191" s="7">
        <f>IF($X191="","",S191+P191)</f>
        <v/>
      </c>
      <c r="U191" s="7">
        <f>IF($X191="","",V191-T191)</f>
        <v/>
      </c>
      <c r="V191" s="7">
        <f>IF($X191="","",O191+R191+M191)</f>
        <v/>
      </c>
      <c r="W191" s="7">
        <f>IF($X191="","",V191-T191-K191)</f>
        <v/>
      </c>
      <c r="X191" s="13">
        <f>IF(ROWS($X$2:$X191)&lt;=MAX('Per Line'!$AL$2:$AL$1501),MATCH(ROWS($X$2:$X191),'Per Line'!$AL$2:$AL$1501,0),"")</f>
        <v/>
      </c>
    </row>
    <row r="192">
      <c r="A192">
        <f>IF($X192="","",INDEX('Per Line'!$C$2:$C$1501,$X192)&amp;"")</f>
        <v/>
      </c>
      <c r="B192" s="12" t="n"/>
      <c r="C192">
        <f>IF($X192="","",INDEX('Per Line'!$D$2:$D$1501,$X192)&amp;"")</f>
        <v/>
      </c>
      <c r="D192">
        <f>IF($X192="","",INDEX('Per Line'!$A$2:$A$1501,$X192))</f>
        <v/>
      </c>
      <c r="E192">
        <f>IF($X192="","",INDEX('Per Line'!$G$2:$G$1501,$X192)&amp;"")</f>
        <v/>
      </c>
      <c r="F192" s="11">
        <f>IF($X192="","",INDEX('Per Line'!$F$2:$F$1501,$X192))</f>
        <v/>
      </c>
      <c r="G192">
        <f>IF($X192="","",INDEX('Per Line'!$I$2:$I$1501,$X192)&amp;"")</f>
        <v/>
      </c>
      <c r="H192">
        <f>IF($X192="","",INDEX('Per Line'!$J$2:$J$1501,$X192)&amp;"")</f>
        <v/>
      </c>
      <c r="I192">
        <f>IF($X192="","",INDEX('Per Line'!$K$2:$K$1501,$X192)&amp;"")</f>
        <v/>
      </c>
      <c r="J192">
        <f>IF($X192="","",INDEX('Per Line'!$M$2:$M$1501,$X192))</f>
        <v/>
      </c>
      <c r="K192" s="7">
        <f>IF($X192="","",J192*V192/100)</f>
        <v/>
      </c>
      <c r="L192">
        <f>IF($X192="","",INDEX('Per Line'!$Y$2:$Y$1501,$X192)&amp;"")</f>
        <v/>
      </c>
      <c r="M192" s="7">
        <f>IF($X192="","",SUMIFS('Per Line'!$U$2:$U$1501,'Per Line'!$AJ$2:$AJ$1501,$A192&amp;"|"&amp;$C192,'Per Line'!$AN$2:$AN$1501,1))</f>
        <v/>
      </c>
      <c r="N192">
        <f>IF($X192="","",Settings!$C$7)</f>
        <v/>
      </c>
      <c r="O192" s="7">
        <f>IF($X192="","",SUMIFS('Per Line'!$U$2:$U$1501,'Per Line'!$AJ$2:$AJ$1501,$A192&amp;"|"&amp;$C192,'Per Line'!$AM$2:$AM$1501,0,'Per Line'!$AN$2:$AN$1501,0))</f>
        <v/>
      </c>
      <c r="P192" s="7">
        <f>IF($X192="","",O192*N192)</f>
        <v/>
      </c>
      <c r="Q192">
        <f>IF($X192="","",Settings!$C$6)</f>
        <v/>
      </c>
      <c r="R192" s="7">
        <f>IF($X192="","",SUMIFS('Per Line'!$U$2:$U$1501,'Per Line'!$AJ$2:$AJ$1501,$A192&amp;"|"&amp;$C192,'Per Line'!$AM$2:$AM$1501,1,'Per Line'!$AN$2:$AN$1501,0))</f>
        <v/>
      </c>
      <c r="S192" s="7">
        <f>IF($X192="","",R192*Q192)</f>
        <v/>
      </c>
      <c r="T192" s="7">
        <f>IF($X192="","",S192+P192)</f>
        <v/>
      </c>
      <c r="U192" s="7">
        <f>IF($X192="","",V192-T192)</f>
        <v/>
      </c>
      <c r="V192" s="7">
        <f>IF($X192="","",O192+R192+M192)</f>
        <v/>
      </c>
      <c r="W192" s="7">
        <f>IF($X192="","",V192-T192-K192)</f>
        <v/>
      </c>
      <c r="X192" s="13">
        <f>IF(ROWS($X$2:$X192)&lt;=MAX('Per Line'!$AL$2:$AL$1501),MATCH(ROWS($X$2:$X192),'Per Line'!$AL$2:$AL$1501,0),"")</f>
        <v/>
      </c>
    </row>
    <row r="193">
      <c r="A193">
        <f>IF($X193="","",INDEX('Per Line'!$C$2:$C$1501,$X193)&amp;"")</f>
        <v/>
      </c>
      <c r="B193" s="12" t="n"/>
      <c r="C193">
        <f>IF($X193="","",INDEX('Per Line'!$D$2:$D$1501,$X193)&amp;"")</f>
        <v/>
      </c>
      <c r="D193">
        <f>IF($X193="","",INDEX('Per Line'!$A$2:$A$1501,$X193))</f>
        <v/>
      </c>
      <c r="E193">
        <f>IF($X193="","",INDEX('Per Line'!$G$2:$G$1501,$X193)&amp;"")</f>
        <v/>
      </c>
      <c r="F193" s="11">
        <f>IF($X193="","",INDEX('Per Line'!$F$2:$F$1501,$X193))</f>
        <v/>
      </c>
      <c r="G193">
        <f>IF($X193="","",INDEX('Per Line'!$I$2:$I$1501,$X193)&amp;"")</f>
        <v/>
      </c>
      <c r="H193">
        <f>IF($X193="","",INDEX('Per Line'!$J$2:$J$1501,$X193)&amp;"")</f>
        <v/>
      </c>
      <c r="I193">
        <f>IF($X193="","",INDEX('Per Line'!$K$2:$K$1501,$X193)&amp;"")</f>
        <v/>
      </c>
      <c r="J193">
        <f>IF($X193="","",INDEX('Per Line'!$M$2:$M$1501,$X193))</f>
        <v/>
      </c>
      <c r="K193" s="7">
        <f>IF($X193="","",J193*V193/100)</f>
        <v/>
      </c>
      <c r="L193">
        <f>IF($X193="","",INDEX('Per Line'!$Y$2:$Y$1501,$X193)&amp;"")</f>
        <v/>
      </c>
      <c r="M193" s="7">
        <f>IF($X193="","",SUMIFS('Per Line'!$U$2:$U$1501,'Per Line'!$AJ$2:$AJ$1501,$A193&amp;"|"&amp;$C193,'Per Line'!$AN$2:$AN$1501,1))</f>
        <v/>
      </c>
      <c r="N193">
        <f>IF($X193="","",Settings!$C$7)</f>
        <v/>
      </c>
      <c r="O193" s="7">
        <f>IF($X193="","",SUMIFS('Per Line'!$U$2:$U$1501,'Per Line'!$AJ$2:$AJ$1501,$A193&amp;"|"&amp;$C193,'Per Line'!$AM$2:$AM$1501,0,'Per Line'!$AN$2:$AN$1501,0))</f>
        <v/>
      </c>
      <c r="P193" s="7">
        <f>IF($X193="","",O193*N193)</f>
        <v/>
      </c>
      <c r="Q193">
        <f>IF($X193="","",Settings!$C$6)</f>
        <v/>
      </c>
      <c r="R193" s="7">
        <f>IF($X193="","",SUMIFS('Per Line'!$U$2:$U$1501,'Per Line'!$AJ$2:$AJ$1501,$A193&amp;"|"&amp;$C193,'Per Line'!$AM$2:$AM$1501,1,'Per Line'!$AN$2:$AN$1501,0))</f>
        <v/>
      </c>
      <c r="S193" s="7">
        <f>IF($X193="","",R193*Q193)</f>
        <v/>
      </c>
      <c r="T193" s="7">
        <f>IF($X193="","",S193+P193)</f>
        <v/>
      </c>
      <c r="U193" s="7">
        <f>IF($X193="","",V193-T193)</f>
        <v/>
      </c>
      <c r="V193" s="7">
        <f>IF($X193="","",O193+R193+M193)</f>
        <v/>
      </c>
      <c r="W193" s="7">
        <f>IF($X193="","",V193-T193-K193)</f>
        <v/>
      </c>
      <c r="X193" s="13">
        <f>IF(ROWS($X$2:$X193)&lt;=MAX('Per Line'!$AL$2:$AL$1501),MATCH(ROWS($X$2:$X193),'Per Line'!$AL$2:$AL$1501,0),"")</f>
        <v/>
      </c>
    </row>
    <row r="194">
      <c r="A194">
        <f>IF($X194="","",INDEX('Per Line'!$C$2:$C$1501,$X194)&amp;"")</f>
        <v/>
      </c>
      <c r="B194" s="12" t="n"/>
      <c r="C194">
        <f>IF($X194="","",INDEX('Per Line'!$D$2:$D$1501,$X194)&amp;"")</f>
        <v/>
      </c>
      <c r="D194">
        <f>IF($X194="","",INDEX('Per Line'!$A$2:$A$1501,$X194))</f>
        <v/>
      </c>
      <c r="E194">
        <f>IF($X194="","",INDEX('Per Line'!$G$2:$G$1501,$X194)&amp;"")</f>
        <v/>
      </c>
      <c r="F194" s="11">
        <f>IF($X194="","",INDEX('Per Line'!$F$2:$F$1501,$X194))</f>
        <v/>
      </c>
      <c r="G194">
        <f>IF($X194="","",INDEX('Per Line'!$I$2:$I$1501,$X194)&amp;"")</f>
        <v/>
      </c>
      <c r="H194">
        <f>IF($X194="","",INDEX('Per Line'!$J$2:$J$1501,$X194)&amp;"")</f>
        <v/>
      </c>
      <c r="I194">
        <f>IF($X194="","",INDEX('Per Line'!$K$2:$K$1501,$X194)&amp;"")</f>
        <v/>
      </c>
      <c r="J194">
        <f>IF($X194="","",INDEX('Per Line'!$M$2:$M$1501,$X194))</f>
        <v/>
      </c>
      <c r="K194" s="7">
        <f>IF($X194="","",J194*V194/100)</f>
        <v/>
      </c>
      <c r="L194">
        <f>IF($X194="","",INDEX('Per Line'!$Y$2:$Y$1501,$X194)&amp;"")</f>
        <v/>
      </c>
      <c r="M194" s="7">
        <f>IF($X194="","",SUMIFS('Per Line'!$U$2:$U$1501,'Per Line'!$AJ$2:$AJ$1501,$A194&amp;"|"&amp;$C194,'Per Line'!$AN$2:$AN$1501,1))</f>
        <v/>
      </c>
      <c r="N194">
        <f>IF($X194="","",Settings!$C$7)</f>
        <v/>
      </c>
      <c r="O194" s="7">
        <f>IF($X194="","",SUMIFS('Per Line'!$U$2:$U$1501,'Per Line'!$AJ$2:$AJ$1501,$A194&amp;"|"&amp;$C194,'Per Line'!$AM$2:$AM$1501,0,'Per Line'!$AN$2:$AN$1501,0))</f>
        <v/>
      </c>
      <c r="P194" s="7">
        <f>IF($X194="","",O194*N194)</f>
        <v/>
      </c>
      <c r="Q194">
        <f>IF($X194="","",Settings!$C$6)</f>
        <v/>
      </c>
      <c r="R194" s="7">
        <f>IF($X194="","",SUMIFS('Per Line'!$U$2:$U$1501,'Per Line'!$AJ$2:$AJ$1501,$A194&amp;"|"&amp;$C194,'Per Line'!$AM$2:$AM$1501,1,'Per Line'!$AN$2:$AN$1501,0))</f>
        <v/>
      </c>
      <c r="S194" s="7">
        <f>IF($X194="","",R194*Q194)</f>
        <v/>
      </c>
      <c r="T194" s="7">
        <f>IF($X194="","",S194+P194)</f>
        <v/>
      </c>
      <c r="U194" s="7">
        <f>IF($X194="","",V194-T194)</f>
        <v/>
      </c>
      <c r="V194" s="7">
        <f>IF($X194="","",O194+R194+M194)</f>
        <v/>
      </c>
      <c r="W194" s="7">
        <f>IF($X194="","",V194-T194-K194)</f>
        <v/>
      </c>
      <c r="X194" s="13">
        <f>IF(ROWS($X$2:$X194)&lt;=MAX('Per Line'!$AL$2:$AL$1501),MATCH(ROWS($X$2:$X194),'Per Line'!$AL$2:$AL$1501,0),"")</f>
        <v/>
      </c>
    </row>
    <row r="195">
      <c r="A195">
        <f>IF($X195="","",INDEX('Per Line'!$C$2:$C$1501,$X195)&amp;"")</f>
        <v/>
      </c>
      <c r="B195" s="12" t="n"/>
      <c r="C195">
        <f>IF($X195="","",INDEX('Per Line'!$D$2:$D$1501,$X195)&amp;"")</f>
        <v/>
      </c>
      <c r="D195">
        <f>IF($X195="","",INDEX('Per Line'!$A$2:$A$1501,$X195))</f>
        <v/>
      </c>
      <c r="E195">
        <f>IF($X195="","",INDEX('Per Line'!$G$2:$G$1501,$X195)&amp;"")</f>
        <v/>
      </c>
      <c r="F195" s="11">
        <f>IF($X195="","",INDEX('Per Line'!$F$2:$F$1501,$X195))</f>
        <v/>
      </c>
      <c r="G195">
        <f>IF($X195="","",INDEX('Per Line'!$I$2:$I$1501,$X195)&amp;"")</f>
        <v/>
      </c>
      <c r="H195">
        <f>IF($X195="","",INDEX('Per Line'!$J$2:$J$1501,$X195)&amp;"")</f>
        <v/>
      </c>
      <c r="I195">
        <f>IF($X195="","",INDEX('Per Line'!$K$2:$K$1501,$X195)&amp;"")</f>
        <v/>
      </c>
      <c r="J195">
        <f>IF($X195="","",INDEX('Per Line'!$M$2:$M$1501,$X195))</f>
        <v/>
      </c>
      <c r="K195" s="7">
        <f>IF($X195="","",J195*V195/100)</f>
        <v/>
      </c>
      <c r="L195">
        <f>IF($X195="","",INDEX('Per Line'!$Y$2:$Y$1501,$X195)&amp;"")</f>
        <v/>
      </c>
      <c r="M195" s="7">
        <f>IF($X195="","",SUMIFS('Per Line'!$U$2:$U$1501,'Per Line'!$AJ$2:$AJ$1501,$A195&amp;"|"&amp;$C195,'Per Line'!$AN$2:$AN$1501,1))</f>
        <v/>
      </c>
      <c r="N195">
        <f>IF($X195="","",Settings!$C$7)</f>
        <v/>
      </c>
      <c r="O195" s="7">
        <f>IF($X195="","",SUMIFS('Per Line'!$U$2:$U$1501,'Per Line'!$AJ$2:$AJ$1501,$A195&amp;"|"&amp;$C195,'Per Line'!$AM$2:$AM$1501,0,'Per Line'!$AN$2:$AN$1501,0))</f>
        <v/>
      </c>
      <c r="P195" s="7">
        <f>IF($X195="","",O195*N195)</f>
        <v/>
      </c>
      <c r="Q195">
        <f>IF($X195="","",Settings!$C$6)</f>
        <v/>
      </c>
      <c r="R195" s="7">
        <f>IF($X195="","",SUMIFS('Per Line'!$U$2:$U$1501,'Per Line'!$AJ$2:$AJ$1501,$A195&amp;"|"&amp;$C195,'Per Line'!$AM$2:$AM$1501,1,'Per Line'!$AN$2:$AN$1501,0))</f>
        <v/>
      </c>
      <c r="S195" s="7">
        <f>IF($X195="","",R195*Q195)</f>
        <v/>
      </c>
      <c r="T195" s="7">
        <f>IF($X195="","",S195+P195)</f>
        <v/>
      </c>
      <c r="U195" s="7">
        <f>IF($X195="","",V195-T195)</f>
        <v/>
      </c>
      <c r="V195" s="7">
        <f>IF($X195="","",O195+R195+M195)</f>
        <v/>
      </c>
      <c r="W195" s="7">
        <f>IF($X195="","",V195-T195-K195)</f>
        <v/>
      </c>
      <c r="X195" s="13">
        <f>IF(ROWS($X$2:$X195)&lt;=MAX('Per Line'!$AL$2:$AL$1501),MATCH(ROWS($X$2:$X195),'Per Line'!$AL$2:$AL$1501,0),"")</f>
        <v/>
      </c>
    </row>
    <row r="196">
      <c r="A196">
        <f>IF($X196="","",INDEX('Per Line'!$C$2:$C$1501,$X196)&amp;"")</f>
        <v/>
      </c>
      <c r="B196" s="12" t="n"/>
      <c r="C196">
        <f>IF($X196="","",INDEX('Per Line'!$D$2:$D$1501,$X196)&amp;"")</f>
        <v/>
      </c>
      <c r="D196">
        <f>IF($X196="","",INDEX('Per Line'!$A$2:$A$1501,$X196))</f>
        <v/>
      </c>
      <c r="E196">
        <f>IF($X196="","",INDEX('Per Line'!$G$2:$G$1501,$X196)&amp;"")</f>
        <v/>
      </c>
      <c r="F196" s="11">
        <f>IF($X196="","",INDEX('Per Line'!$F$2:$F$1501,$X196))</f>
        <v/>
      </c>
      <c r="G196">
        <f>IF($X196="","",INDEX('Per Line'!$I$2:$I$1501,$X196)&amp;"")</f>
        <v/>
      </c>
      <c r="H196">
        <f>IF($X196="","",INDEX('Per Line'!$J$2:$J$1501,$X196)&amp;"")</f>
        <v/>
      </c>
      <c r="I196">
        <f>IF($X196="","",INDEX('Per Line'!$K$2:$K$1501,$X196)&amp;"")</f>
        <v/>
      </c>
      <c r="J196">
        <f>IF($X196="","",INDEX('Per Line'!$M$2:$M$1501,$X196))</f>
        <v/>
      </c>
      <c r="K196" s="7">
        <f>IF($X196="","",J196*V196/100)</f>
        <v/>
      </c>
      <c r="L196">
        <f>IF($X196="","",INDEX('Per Line'!$Y$2:$Y$1501,$X196)&amp;"")</f>
        <v/>
      </c>
      <c r="M196" s="7">
        <f>IF($X196="","",SUMIFS('Per Line'!$U$2:$U$1501,'Per Line'!$AJ$2:$AJ$1501,$A196&amp;"|"&amp;$C196,'Per Line'!$AN$2:$AN$1501,1))</f>
        <v/>
      </c>
      <c r="N196">
        <f>IF($X196="","",Settings!$C$7)</f>
        <v/>
      </c>
      <c r="O196" s="7">
        <f>IF($X196="","",SUMIFS('Per Line'!$U$2:$U$1501,'Per Line'!$AJ$2:$AJ$1501,$A196&amp;"|"&amp;$C196,'Per Line'!$AM$2:$AM$1501,0,'Per Line'!$AN$2:$AN$1501,0))</f>
        <v/>
      </c>
      <c r="P196" s="7">
        <f>IF($X196="","",O196*N196)</f>
        <v/>
      </c>
      <c r="Q196">
        <f>IF($X196="","",Settings!$C$6)</f>
        <v/>
      </c>
      <c r="R196" s="7">
        <f>IF($X196="","",SUMIFS('Per Line'!$U$2:$U$1501,'Per Line'!$AJ$2:$AJ$1501,$A196&amp;"|"&amp;$C196,'Per Line'!$AM$2:$AM$1501,1,'Per Line'!$AN$2:$AN$1501,0))</f>
        <v/>
      </c>
      <c r="S196" s="7">
        <f>IF($X196="","",R196*Q196)</f>
        <v/>
      </c>
      <c r="T196" s="7">
        <f>IF($X196="","",S196+P196)</f>
        <v/>
      </c>
      <c r="U196" s="7">
        <f>IF($X196="","",V196-T196)</f>
        <v/>
      </c>
      <c r="V196" s="7">
        <f>IF($X196="","",O196+R196+M196)</f>
        <v/>
      </c>
      <c r="W196" s="7">
        <f>IF($X196="","",V196-T196-K196)</f>
        <v/>
      </c>
      <c r="X196" s="13">
        <f>IF(ROWS($X$2:$X196)&lt;=MAX('Per Line'!$AL$2:$AL$1501),MATCH(ROWS($X$2:$X196),'Per Line'!$AL$2:$AL$1501,0),"")</f>
        <v/>
      </c>
    </row>
    <row r="197">
      <c r="A197">
        <f>IF($X197="","",INDEX('Per Line'!$C$2:$C$1501,$X197)&amp;"")</f>
        <v/>
      </c>
      <c r="B197" s="12" t="n"/>
      <c r="C197">
        <f>IF($X197="","",INDEX('Per Line'!$D$2:$D$1501,$X197)&amp;"")</f>
        <v/>
      </c>
      <c r="D197">
        <f>IF($X197="","",INDEX('Per Line'!$A$2:$A$1501,$X197))</f>
        <v/>
      </c>
      <c r="E197">
        <f>IF($X197="","",INDEX('Per Line'!$G$2:$G$1501,$X197)&amp;"")</f>
        <v/>
      </c>
      <c r="F197" s="11">
        <f>IF($X197="","",INDEX('Per Line'!$F$2:$F$1501,$X197))</f>
        <v/>
      </c>
      <c r="G197">
        <f>IF($X197="","",INDEX('Per Line'!$I$2:$I$1501,$X197)&amp;"")</f>
        <v/>
      </c>
      <c r="H197">
        <f>IF($X197="","",INDEX('Per Line'!$J$2:$J$1501,$X197)&amp;"")</f>
        <v/>
      </c>
      <c r="I197">
        <f>IF($X197="","",INDEX('Per Line'!$K$2:$K$1501,$X197)&amp;"")</f>
        <v/>
      </c>
      <c r="J197">
        <f>IF($X197="","",INDEX('Per Line'!$M$2:$M$1501,$X197))</f>
        <v/>
      </c>
      <c r="K197" s="7">
        <f>IF($X197="","",J197*V197/100)</f>
        <v/>
      </c>
      <c r="L197">
        <f>IF($X197="","",INDEX('Per Line'!$Y$2:$Y$1501,$X197)&amp;"")</f>
        <v/>
      </c>
      <c r="M197" s="7">
        <f>IF($X197="","",SUMIFS('Per Line'!$U$2:$U$1501,'Per Line'!$AJ$2:$AJ$1501,$A197&amp;"|"&amp;$C197,'Per Line'!$AN$2:$AN$1501,1))</f>
        <v/>
      </c>
      <c r="N197">
        <f>IF($X197="","",Settings!$C$7)</f>
        <v/>
      </c>
      <c r="O197" s="7">
        <f>IF($X197="","",SUMIFS('Per Line'!$U$2:$U$1501,'Per Line'!$AJ$2:$AJ$1501,$A197&amp;"|"&amp;$C197,'Per Line'!$AM$2:$AM$1501,0,'Per Line'!$AN$2:$AN$1501,0))</f>
        <v/>
      </c>
      <c r="P197" s="7">
        <f>IF($X197="","",O197*N197)</f>
        <v/>
      </c>
      <c r="Q197">
        <f>IF($X197="","",Settings!$C$6)</f>
        <v/>
      </c>
      <c r="R197" s="7">
        <f>IF($X197="","",SUMIFS('Per Line'!$U$2:$U$1501,'Per Line'!$AJ$2:$AJ$1501,$A197&amp;"|"&amp;$C197,'Per Line'!$AM$2:$AM$1501,1,'Per Line'!$AN$2:$AN$1501,0))</f>
        <v/>
      </c>
      <c r="S197" s="7">
        <f>IF($X197="","",R197*Q197)</f>
        <v/>
      </c>
      <c r="T197" s="7">
        <f>IF($X197="","",S197+P197)</f>
        <v/>
      </c>
      <c r="U197" s="7">
        <f>IF($X197="","",V197-T197)</f>
        <v/>
      </c>
      <c r="V197" s="7">
        <f>IF($X197="","",O197+R197+M197)</f>
        <v/>
      </c>
      <c r="W197" s="7">
        <f>IF($X197="","",V197-T197-K197)</f>
        <v/>
      </c>
      <c r="X197" s="13">
        <f>IF(ROWS($X$2:$X197)&lt;=MAX('Per Line'!$AL$2:$AL$1501),MATCH(ROWS($X$2:$X197),'Per Line'!$AL$2:$AL$1501,0),"")</f>
        <v/>
      </c>
    </row>
    <row r="198">
      <c r="A198">
        <f>IF($X198="","",INDEX('Per Line'!$C$2:$C$1501,$X198)&amp;"")</f>
        <v/>
      </c>
      <c r="B198" s="12" t="n"/>
      <c r="C198">
        <f>IF($X198="","",INDEX('Per Line'!$D$2:$D$1501,$X198)&amp;"")</f>
        <v/>
      </c>
      <c r="D198">
        <f>IF($X198="","",INDEX('Per Line'!$A$2:$A$1501,$X198))</f>
        <v/>
      </c>
      <c r="E198">
        <f>IF($X198="","",INDEX('Per Line'!$G$2:$G$1501,$X198)&amp;"")</f>
        <v/>
      </c>
      <c r="F198" s="11">
        <f>IF($X198="","",INDEX('Per Line'!$F$2:$F$1501,$X198))</f>
        <v/>
      </c>
      <c r="G198">
        <f>IF($X198="","",INDEX('Per Line'!$I$2:$I$1501,$X198)&amp;"")</f>
        <v/>
      </c>
      <c r="H198">
        <f>IF($X198="","",INDEX('Per Line'!$J$2:$J$1501,$X198)&amp;"")</f>
        <v/>
      </c>
      <c r="I198">
        <f>IF($X198="","",INDEX('Per Line'!$K$2:$K$1501,$X198)&amp;"")</f>
        <v/>
      </c>
      <c r="J198">
        <f>IF($X198="","",INDEX('Per Line'!$M$2:$M$1501,$X198))</f>
        <v/>
      </c>
      <c r="K198" s="7">
        <f>IF($X198="","",J198*V198/100)</f>
        <v/>
      </c>
      <c r="L198">
        <f>IF($X198="","",INDEX('Per Line'!$Y$2:$Y$1501,$X198)&amp;"")</f>
        <v/>
      </c>
      <c r="M198" s="7">
        <f>IF($X198="","",SUMIFS('Per Line'!$U$2:$U$1501,'Per Line'!$AJ$2:$AJ$1501,$A198&amp;"|"&amp;$C198,'Per Line'!$AN$2:$AN$1501,1))</f>
        <v/>
      </c>
      <c r="N198">
        <f>IF($X198="","",Settings!$C$7)</f>
        <v/>
      </c>
      <c r="O198" s="7">
        <f>IF($X198="","",SUMIFS('Per Line'!$U$2:$U$1501,'Per Line'!$AJ$2:$AJ$1501,$A198&amp;"|"&amp;$C198,'Per Line'!$AM$2:$AM$1501,0,'Per Line'!$AN$2:$AN$1501,0))</f>
        <v/>
      </c>
      <c r="P198" s="7">
        <f>IF($X198="","",O198*N198)</f>
        <v/>
      </c>
      <c r="Q198">
        <f>IF($X198="","",Settings!$C$6)</f>
        <v/>
      </c>
      <c r="R198" s="7">
        <f>IF($X198="","",SUMIFS('Per Line'!$U$2:$U$1501,'Per Line'!$AJ$2:$AJ$1501,$A198&amp;"|"&amp;$C198,'Per Line'!$AM$2:$AM$1501,1,'Per Line'!$AN$2:$AN$1501,0))</f>
        <v/>
      </c>
      <c r="S198" s="7">
        <f>IF($X198="","",R198*Q198)</f>
        <v/>
      </c>
      <c r="T198" s="7">
        <f>IF($X198="","",S198+P198)</f>
        <v/>
      </c>
      <c r="U198" s="7">
        <f>IF($X198="","",V198-T198)</f>
        <v/>
      </c>
      <c r="V198" s="7">
        <f>IF($X198="","",O198+R198+M198)</f>
        <v/>
      </c>
      <c r="W198" s="7">
        <f>IF($X198="","",V198-T198-K198)</f>
        <v/>
      </c>
      <c r="X198" s="13">
        <f>IF(ROWS($X$2:$X198)&lt;=MAX('Per Line'!$AL$2:$AL$1501),MATCH(ROWS($X$2:$X198),'Per Line'!$AL$2:$AL$1501,0),"")</f>
        <v/>
      </c>
    </row>
    <row r="199">
      <c r="A199">
        <f>IF($X199="","",INDEX('Per Line'!$C$2:$C$1501,$X199)&amp;"")</f>
        <v/>
      </c>
      <c r="B199" s="12" t="n"/>
      <c r="C199">
        <f>IF($X199="","",INDEX('Per Line'!$D$2:$D$1501,$X199)&amp;"")</f>
        <v/>
      </c>
      <c r="D199">
        <f>IF($X199="","",INDEX('Per Line'!$A$2:$A$1501,$X199))</f>
        <v/>
      </c>
      <c r="E199">
        <f>IF($X199="","",INDEX('Per Line'!$G$2:$G$1501,$X199)&amp;"")</f>
        <v/>
      </c>
      <c r="F199" s="11">
        <f>IF($X199="","",INDEX('Per Line'!$F$2:$F$1501,$X199))</f>
        <v/>
      </c>
      <c r="G199">
        <f>IF($X199="","",INDEX('Per Line'!$I$2:$I$1501,$X199)&amp;"")</f>
        <v/>
      </c>
      <c r="H199">
        <f>IF($X199="","",INDEX('Per Line'!$J$2:$J$1501,$X199)&amp;"")</f>
        <v/>
      </c>
      <c r="I199">
        <f>IF($X199="","",INDEX('Per Line'!$K$2:$K$1501,$X199)&amp;"")</f>
        <v/>
      </c>
      <c r="J199">
        <f>IF($X199="","",INDEX('Per Line'!$M$2:$M$1501,$X199))</f>
        <v/>
      </c>
      <c r="K199" s="7">
        <f>IF($X199="","",J199*V199/100)</f>
        <v/>
      </c>
      <c r="L199">
        <f>IF($X199="","",INDEX('Per Line'!$Y$2:$Y$1501,$X199)&amp;"")</f>
        <v/>
      </c>
      <c r="M199" s="7">
        <f>IF($X199="","",SUMIFS('Per Line'!$U$2:$U$1501,'Per Line'!$AJ$2:$AJ$1501,$A199&amp;"|"&amp;$C199,'Per Line'!$AN$2:$AN$1501,1))</f>
        <v/>
      </c>
      <c r="N199">
        <f>IF($X199="","",Settings!$C$7)</f>
        <v/>
      </c>
      <c r="O199" s="7">
        <f>IF($X199="","",SUMIFS('Per Line'!$U$2:$U$1501,'Per Line'!$AJ$2:$AJ$1501,$A199&amp;"|"&amp;$C199,'Per Line'!$AM$2:$AM$1501,0,'Per Line'!$AN$2:$AN$1501,0))</f>
        <v/>
      </c>
      <c r="P199" s="7">
        <f>IF($X199="","",O199*N199)</f>
        <v/>
      </c>
      <c r="Q199">
        <f>IF($X199="","",Settings!$C$6)</f>
        <v/>
      </c>
      <c r="R199" s="7">
        <f>IF($X199="","",SUMIFS('Per Line'!$U$2:$U$1501,'Per Line'!$AJ$2:$AJ$1501,$A199&amp;"|"&amp;$C199,'Per Line'!$AM$2:$AM$1501,1,'Per Line'!$AN$2:$AN$1501,0))</f>
        <v/>
      </c>
      <c r="S199" s="7">
        <f>IF($X199="","",R199*Q199)</f>
        <v/>
      </c>
      <c r="T199" s="7">
        <f>IF($X199="","",S199+P199)</f>
        <v/>
      </c>
      <c r="U199" s="7">
        <f>IF($X199="","",V199-T199)</f>
        <v/>
      </c>
      <c r="V199" s="7">
        <f>IF($X199="","",O199+R199+M199)</f>
        <v/>
      </c>
      <c r="W199" s="7">
        <f>IF($X199="","",V199-T199-K199)</f>
        <v/>
      </c>
      <c r="X199" s="13">
        <f>IF(ROWS($X$2:$X199)&lt;=MAX('Per Line'!$AL$2:$AL$1501),MATCH(ROWS($X$2:$X199),'Per Line'!$AL$2:$AL$1501,0),"")</f>
        <v/>
      </c>
    </row>
    <row r="200">
      <c r="A200">
        <f>IF($X200="","",INDEX('Per Line'!$C$2:$C$1501,$X200)&amp;"")</f>
        <v/>
      </c>
      <c r="B200" s="12" t="n"/>
      <c r="C200">
        <f>IF($X200="","",INDEX('Per Line'!$D$2:$D$1501,$X200)&amp;"")</f>
        <v/>
      </c>
      <c r="D200">
        <f>IF($X200="","",INDEX('Per Line'!$A$2:$A$1501,$X200))</f>
        <v/>
      </c>
      <c r="E200">
        <f>IF($X200="","",INDEX('Per Line'!$G$2:$G$1501,$X200)&amp;"")</f>
        <v/>
      </c>
      <c r="F200" s="11">
        <f>IF($X200="","",INDEX('Per Line'!$F$2:$F$1501,$X200))</f>
        <v/>
      </c>
      <c r="G200">
        <f>IF($X200="","",INDEX('Per Line'!$I$2:$I$1501,$X200)&amp;"")</f>
        <v/>
      </c>
      <c r="H200">
        <f>IF($X200="","",INDEX('Per Line'!$J$2:$J$1501,$X200)&amp;"")</f>
        <v/>
      </c>
      <c r="I200">
        <f>IF($X200="","",INDEX('Per Line'!$K$2:$K$1501,$X200)&amp;"")</f>
        <v/>
      </c>
      <c r="J200">
        <f>IF($X200="","",INDEX('Per Line'!$M$2:$M$1501,$X200))</f>
        <v/>
      </c>
      <c r="K200" s="7">
        <f>IF($X200="","",J200*V200/100)</f>
        <v/>
      </c>
      <c r="L200">
        <f>IF($X200="","",INDEX('Per Line'!$Y$2:$Y$1501,$X200)&amp;"")</f>
        <v/>
      </c>
      <c r="M200" s="7">
        <f>IF($X200="","",SUMIFS('Per Line'!$U$2:$U$1501,'Per Line'!$AJ$2:$AJ$1501,$A200&amp;"|"&amp;$C200,'Per Line'!$AN$2:$AN$1501,1))</f>
        <v/>
      </c>
      <c r="N200">
        <f>IF($X200="","",Settings!$C$7)</f>
        <v/>
      </c>
      <c r="O200" s="7">
        <f>IF($X200="","",SUMIFS('Per Line'!$U$2:$U$1501,'Per Line'!$AJ$2:$AJ$1501,$A200&amp;"|"&amp;$C200,'Per Line'!$AM$2:$AM$1501,0,'Per Line'!$AN$2:$AN$1501,0))</f>
        <v/>
      </c>
      <c r="P200" s="7">
        <f>IF($X200="","",O200*N200)</f>
        <v/>
      </c>
      <c r="Q200">
        <f>IF($X200="","",Settings!$C$6)</f>
        <v/>
      </c>
      <c r="R200" s="7">
        <f>IF($X200="","",SUMIFS('Per Line'!$U$2:$U$1501,'Per Line'!$AJ$2:$AJ$1501,$A200&amp;"|"&amp;$C200,'Per Line'!$AM$2:$AM$1501,1,'Per Line'!$AN$2:$AN$1501,0))</f>
        <v/>
      </c>
      <c r="S200" s="7">
        <f>IF($X200="","",R200*Q200)</f>
        <v/>
      </c>
      <c r="T200" s="7">
        <f>IF($X200="","",S200+P200)</f>
        <v/>
      </c>
      <c r="U200" s="7">
        <f>IF($X200="","",V200-T200)</f>
        <v/>
      </c>
      <c r="V200" s="7">
        <f>IF($X200="","",O200+R200+M200)</f>
        <v/>
      </c>
      <c r="W200" s="7">
        <f>IF($X200="","",V200-T200-K200)</f>
        <v/>
      </c>
      <c r="X200" s="13">
        <f>IF(ROWS($X$2:$X200)&lt;=MAX('Per Line'!$AL$2:$AL$1501),MATCH(ROWS($X$2:$X200),'Per Line'!$AL$2:$AL$1501,0),"")</f>
        <v/>
      </c>
    </row>
    <row r="201">
      <c r="A201">
        <f>IF($X201="","",INDEX('Per Line'!$C$2:$C$1501,$X201)&amp;"")</f>
        <v/>
      </c>
      <c r="B201" s="12" t="n"/>
      <c r="C201">
        <f>IF($X201="","",INDEX('Per Line'!$D$2:$D$1501,$X201)&amp;"")</f>
        <v/>
      </c>
      <c r="D201">
        <f>IF($X201="","",INDEX('Per Line'!$A$2:$A$1501,$X201))</f>
        <v/>
      </c>
      <c r="E201">
        <f>IF($X201="","",INDEX('Per Line'!$G$2:$G$1501,$X201)&amp;"")</f>
        <v/>
      </c>
      <c r="F201" s="11">
        <f>IF($X201="","",INDEX('Per Line'!$F$2:$F$1501,$X201))</f>
        <v/>
      </c>
      <c r="G201">
        <f>IF($X201="","",INDEX('Per Line'!$I$2:$I$1501,$X201)&amp;"")</f>
        <v/>
      </c>
      <c r="H201">
        <f>IF($X201="","",INDEX('Per Line'!$J$2:$J$1501,$X201)&amp;"")</f>
        <v/>
      </c>
      <c r="I201">
        <f>IF($X201="","",INDEX('Per Line'!$K$2:$K$1501,$X201)&amp;"")</f>
        <v/>
      </c>
      <c r="J201">
        <f>IF($X201="","",INDEX('Per Line'!$M$2:$M$1501,$X201))</f>
        <v/>
      </c>
      <c r="K201" s="7">
        <f>IF($X201="","",J201*V201/100)</f>
        <v/>
      </c>
      <c r="L201">
        <f>IF($X201="","",INDEX('Per Line'!$Y$2:$Y$1501,$X201)&amp;"")</f>
        <v/>
      </c>
      <c r="M201" s="7">
        <f>IF($X201="","",SUMIFS('Per Line'!$U$2:$U$1501,'Per Line'!$AJ$2:$AJ$1501,$A201&amp;"|"&amp;$C201,'Per Line'!$AN$2:$AN$1501,1))</f>
        <v/>
      </c>
      <c r="N201">
        <f>IF($X201="","",Settings!$C$7)</f>
        <v/>
      </c>
      <c r="O201" s="7">
        <f>IF($X201="","",SUMIFS('Per Line'!$U$2:$U$1501,'Per Line'!$AJ$2:$AJ$1501,$A201&amp;"|"&amp;$C201,'Per Line'!$AM$2:$AM$1501,0,'Per Line'!$AN$2:$AN$1501,0))</f>
        <v/>
      </c>
      <c r="P201" s="7">
        <f>IF($X201="","",O201*N201)</f>
        <v/>
      </c>
      <c r="Q201">
        <f>IF($X201="","",Settings!$C$6)</f>
        <v/>
      </c>
      <c r="R201" s="7">
        <f>IF($X201="","",SUMIFS('Per Line'!$U$2:$U$1501,'Per Line'!$AJ$2:$AJ$1501,$A201&amp;"|"&amp;$C201,'Per Line'!$AM$2:$AM$1501,1,'Per Line'!$AN$2:$AN$1501,0))</f>
        <v/>
      </c>
      <c r="S201" s="7">
        <f>IF($X201="","",R201*Q201)</f>
        <v/>
      </c>
      <c r="T201" s="7">
        <f>IF($X201="","",S201+P201)</f>
        <v/>
      </c>
      <c r="U201" s="7">
        <f>IF($X201="","",V201-T201)</f>
        <v/>
      </c>
      <c r="V201" s="7">
        <f>IF($X201="","",O201+R201+M201)</f>
        <v/>
      </c>
      <c r="W201" s="7">
        <f>IF($X201="","",V201-T201-K201)</f>
        <v/>
      </c>
      <c r="X201" s="13">
        <f>IF(ROWS($X$2:$X201)&lt;=MAX('Per Line'!$AL$2:$AL$1501),MATCH(ROWS($X$2:$X201),'Per Line'!$AL$2:$AL$1501,0),"")</f>
        <v/>
      </c>
    </row>
    <row r="202">
      <c r="A202">
        <f>IF($X202="","",INDEX('Per Line'!$C$2:$C$1501,$X202)&amp;"")</f>
        <v/>
      </c>
      <c r="B202" s="12" t="n"/>
      <c r="C202">
        <f>IF($X202="","",INDEX('Per Line'!$D$2:$D$1501,$X202)&amp;"")</f>
        <v/>
      </c>
      <c r="D202">
        <f>IF($X202="","",INDEX('Per Line'!$A$2:$A$1501,$X202))</f>
        <v/>
      </c>
      <c r="E202">
        <f>IF($X202="","",INDEX('Per Line'!$G$2:$G$1501,$X202)&amp;"")</f>
        <v/>
      </c>
      <c r="F202" s="11">
        <f>IF($X202="","",INDEX('Per Line'!$F$2:$F$1501,$X202))</f>
        <v/>
      </c>
      <c r="G202">
        <f>IF($X202="","",INDEX('Per Line'!$I$2:$I$1501,$X202)&amp;"")</f>
        <v/>
      </c>
      <c r="H202">
        <f>IF($X202="","",INDEX('Per Line'!$J$2:$J$1501,$X202)&amp;"")</f>
        <v/>
      </c>
      <c r="I202">
        <f>IF($X202="","",INDEX('Per Line'!$K$2:$K$1501,$X202)&amp;"")</f>
        <v/>
      </c>
      <c r="J202">
        <f>IF($X202="","",INDEX('Per Line'!$M$2:$M$1501,$X202))</f>
        <v/>
      </c>
      <c r="K202" s="7">
        <f>IF($X202="","",J202*V202/100)</f>
        <v/>
      </c>
      <c r="L202">
        <f>IF($X202="","",INDEX('Per Line'!$Y$2:$Y$1501,$X202)&amp;"")</f>
        <v/>
      </c>
      <c r="M202" s="7">
        <f>IF($X202="","",SUMIFS('Per Line'!$U$2:$U$1501,'Per Line'!$AJ$2:$AJ$1501,$A202&amp;"|"&amp;$C202,'Per Line'!$AN$2:$AN$1501,1))</f>
        <v/>
      </c>
      <c r="N202">
        <f>IF($X202="","",Settings!$C$7)</f>
        <v/>
      </c>
      <c r="O202" s="7">
        <f>IF($X202="","",SUMIFS('Per Line'!$U$2:$U$1501,'Per Line'!$AJ$2:$AJ$1501,$A202&amp;"|"&amp;$C202,'Per Line'!$AM$2:$AM$1501,0,'Per Line'!$AN$2:$AN$1501,0))</f>
        <v/>
      </c>
      <c r="P202" s="7">
        <f>IF($X202="","",O202*N202)</f>
        <v/>
      </c>
      <c r="Q202">
        <f>IF($X202="","",Settings!$C$6)</f>
        <v/>
      </c>
      <c r="R202" s="7">
        <f>IF($X202="","",SUMIFS('Per Line'!$U$2:$U$1501,'Per Line'!$AJ$2:$AJ$1501,$A202&amp;"|"&amp;$C202,'Per Line'!$AM$2:$AM$1501,1,'Per Line'!$AN$2:$AN$1501,0))</f>
        <v/>
      </c>
      <c r="S202" s="7">
        <f>IF($X202="","",R202*Q202)</f>
        <v/>
      </c>
      <c r="T202" s="7">
        <f>IF($X202="","",S202+P202)</f>
        <v/>
      </c>
      <c r="U202" s="7">
        <f>IF($X202="","",V202-T202)</f>
        <v/>
      </c>
      <c r="V202" s="7">
        <f>IF($X202="","",O202+R202+M202)</f>
        <v/>
      </c>
      <c r="W202" s="7">
        <f>IF($X202="","",V202-T202-K202)</f>
        <v/>
      </c>
      <c r="X202" s="13">
        <f>IF(ROWS($X$2:$X202)&lt;=MAX('Per Line'!$AL$2:$AL$1501),MATCH(ROWS($X$2:$X202),'Per Line'!$AL$2:$AL$1501,0),"")</f>
        <v/>
      </c>
    </row>
    <row r="203">
      <c r="A203">
        <f>IF($X203="","",INDEX('Per Line'!$C$2:$C$1501,$X203)&amp;"")</f>
        <v/>
      </c>
      <c r="B203" s="12" t="n"/>
      <c r="C203">
        <f>IF($X203="","",INDEX('Per Line'!$D$2:$D$1501,$X203)&amp;"")</f>
        <v/>
      </c>
      <c r="D203">
        <f>IF($X203="","",INDEX('Per Line'!$A$2:$A$1501,$X203))</f>
        <v/>
      </c>
      <c r="E203">
        <f>IF($X203="","",INDEX('Per Line'!$G$2:$G$1501,$X203)&amp;"")</f>
        <v/>
      </c>
      <c r="F203" s="11">
        <f>IF($X203="","",INDEX('Per Line'!$F$2:$F$1501,$X203))</f>
        <v/>
      </c>
      <c r="G203">
        <f>IF($X203="","",INDEX('Per Line'!$I$2:$I$1501,$X203)&amp;"")</f>
        <v/>
      </c>
      <c r="H203">
        <f>IF($X203="","",INDEX('Per Line'!$J$2:$J$1501,$X203)&amp;"")</f>
        <v/>
      </c>
      <c r="I203">
        <f>IF($X203="","",INDEX('Per Line'!$K$2:$K$1501,$X203)&amp;"")</f>
        <v/>
      </c>
      <c r="J203">
        <f>IF($X203="","",INDEX('Per Line'!$M$2:$M$1501,$X203))</f>
        <v/>
      </c>
      <c r="K203" s="7">
        <f>IF($X203="","",J203*V203/100)</f>
        <v/>
      </c>
      <c r="L203">
        <f>IF($X203="","",INDEX('Per Line'!$Y$2:$Y$1501,$X203)&amp;"")</f>
        <v/>
      </c>
      <c r="M203" s="7">
        <f>IF($X203="","",SUMIFS('Per Line'!$U$2:$U$1501,'Per Line'!$AJ$2:$AJ$1501,$A203&amp;"|"&amp;$C203,'Per Line'!$AN$2:$AN$1501,1))</f>
        <v/>
      </c>
      <c r="N203">
        <f>IF($X203="","",Settings!$C$7)</f>
        <v/>
      </c>
      <c r="O203" s="7">
        <f>IF($X203="","",SUMIFS('Per Line'!$U$2:$U$1501,'Per Line'!$AJ$2:$AJ$1501,$A203&amp;"|"&amp;$C203,'Per Line'!$AM$2:$AM$1501,0,'Per Line'!$AN$2:$AN$1501,0))</f>
        <v/>
      </c>
      <c r="P203" s="7">
        <f>IF($X203="","",O203*N203)</f>
        <v/>
      </c>
      <c r="Q203">
        <f>IF($X203="","",Settings!$C$6)</f>
        <v/>
      </c>
      <c r="R203" s="7">
        <f>IF($X203="","",SUMIFS('Per Line'!$U$2:$U$1501,'Per Line'!$AJ$2:$AJ$1501,$A203&amp;"|"&amp;$C203,'Per Line'!$AM$2:$AM$1501,1,'Per Line'!$AN$2:$AN$1501,0))</f>
        <v/>
      </c>
      <c r="S203" s="7">
        <f>IF($X203="","",R203*Q203)</f>
        <v/>
      </c>
      <c r="T203" s="7">
        <f>IF($X203="","",S203+P203)</f>
        <v/>
      </c>
      <c r="U203" s="7">
        <f>IF($X203="","",V203-T203)</f>
        <v/>
      </c>
      <c r="V203" s="7">
        <f>IF($X203="","",O203+R203+M203)</f>
        <v/>
      </c>
      <c r="W203" s="7">
        <f>IF($X203="","",V203-T203-K203)</f>
        <v/>
      </c>
      <c r="X203" s="13">
        <f>IF(ROWS($X$2:$X203)&lt;=MAX('Per Line'!$AL$2:$AL$1501),MATCH(ROWS($X$2:$X203),'Per Line'!$AL$2:$AL$1501,0),"")</f>
        <v/>
      </c>
    </row>
    <row r="204">
      <c r="A204">
        <f>IF($X204="","",INDEX('Per Line'!$C$2:$C$1501,$X204)&amp;"")</f>
        <v/>
      </c>
      <c r="B204" s="12" t="n"/>
      <c r="C204">
        <f>IF($X204="","",INDEX('Per Line'!$D$2:$D$1501,$X204)&amp;"")</f>
        <v/>
      </c>
      <c r="D204">
        <f>IF($X204="","",INDEX('Per Line'!$A$2:$A$1501,$X204))</f>
        <v/>
      </c>
      <c r="E204">
        <f>IF($X204="","",INDEX('Per Line'!$G$2:$G$1501,$X204)&amp;"")</f>
        <v/>
      </c>
      <c r="F204" s="11">
        <f>IF($X204="","",INDEX('Per Line'!$F$2:$F$1501,$X204))</f>
        <v/>
      </c>
      <c r="G204">
        <f>IF($X204="","",INDEX('Per Line'!$I$2:$I$1501,$X204)&amp;"")</f>
        <v/>
      </c>
      <c r="H204">
        <f>IF($X204="","",INDEX('Per Line'!$J$2:$J$1501,$X204)&amp;"")</f>
        <v/>
      </c>
      <c r="I204">
        <f>IF($X204="","",INDEX('Per Line'!$K$2:$K$1501,$X204)&amp;"")</f>
        <v/>
      </c>
      <c r="J204">
        <f>IF($X204="","",INDEX('Per Line'!$M$2:$M$1501,$X204))</f>
        <v/>
      </c>
      <c r="K204" s="7">
        <f>IF($X204="","",J204*V204/100)</f>
        <v/>
      </c>
      <c r="L204">
        <f>IF($X204="","",INDEX('Per Line'!$Y$2:$Y$1501,$X204)&amp;"")</f>
        <v/>
      </c>
      <c r="M204" s="7">
        <f>IF($X204="","",SUMIFS('Per Line'!$U$2:$U$1501,'Per Line'!$AJ$2:$AJ$1501,$A204&amp;"|"&amp;$C204,'Per Line'!$AN$2:$AN$1501,1))</f>
        <v/>
      </c>
      <c r="N204">
        <f>IF($X204="","",Settings!$C$7)</f>
        <v/>
      </c>
      <c r="O204" s="7">
        <f>IF($X204="","",SUMIFS('Per Line'!$U$2:$U$1501,'Per Line'!$AJ$2:$AJ$1501,$A204&amp;"|"&amp;$C204,'Per Line'!$AM$2:$AM$1501,0,'Per Line'!$AN$2:$AN$1501,0))</f>
        <v/>
      </c>
      <c r="P204" s="7">
        <f>IF($X204="","",O204*N204)</f>
        <v/>
      </c>
      <c r="Q204">
        <f>IF($X204="","",Settings!$C$6)</f>
        <v/>
      </c>
      <c r="R204" s="7">
        <f>IF($X204="","",SUMIFS('Per Line'!$U$2:$U$1501,'Per Line'!$AJ$2:$AJ$1501,$A204&amp;"|"&amp;$C204,'Per Line'!$AM$2:$AM$1501,1,'Per Line'!$AN$2:$AN$1501,0))</f>
        <v/>
      </c>
      <c r="S204" s="7">
        <f>IF($X204="","",R204*Q204)</f>
        <v/>
      </c>
      <c r="T204" s="7">
        <f>IF($X204="","",S204+P204)</f>
        <v/>
      </c>
      <c r="U204" s="7">
        <f>IF($X204="","",V204-T204)</f>
        <v/>
      </c>
      <c r="V204" s="7">
        <f>IF($X204="","",O204+R204+M204)</f>
        <v/>
      </c>
      <c r="W204" s="7">
        <f>IF($X204="","",V204-T204-K204)</f>
        <v/>
      </c>
      <c r="X204" s="13">
        <f>IF(ROWS($X$2:$X204)&lt;=MAX('Per Line'!$AL$2:$AL$1501),MATCH(ROWS($X$2:$X204),'Per Line'!$AL$2:$AL$1501,0),"")</f>
        <v/>
      </c>
    </row>
    <row r="205">
      <c r="A205">
        <f>IF($X205="","",INDEX('Per Line'!$C$2:$C$1501,$X205)&amp;"")</f>
        <v/>
      </c>
      <c r="B205" s="12" t="n"/>
      <c r="C205">
        <f>IF($X205="","",INDEX('Per Line'!$D$2:$D$1501,$X205)&amp;"")</f>
        <v/>
      </c>
      <c r="D205">
        <f>IF($X205="","",INDEX('Per Line'!$A$2:$A$1501,$X205))</f>
        <v/>
      </c>
      <c r="E205">
        <f>IF($X205="","",INDEX('Per Line'!$G$2:$G$1501,$X205)&amp;"")</f>
        <v/>
      </c>
      <c r="F205" s="11">
        <f>IF($X205="","",INDEX('Per Line'!$F$2:$F$1501,$X205))</f>
        <v/>
      </c>
      <c r="G205">
        <f>IF($X205="","",INDEX('Per Line'!$I$2:$I$1501,$X205)&amp;"")</f>
        <v/>
      </c>
      <c r="H205">
        <f>IF($X205="","",INDEX('Per Line'!$J$2:$J$1501,$X205)&amp;"")</f>
        <v/>
      </c>
      <c r="I205">
        <f>IF($X205="","",INDEX('Per Line'!$K$2:$K$1501,$X205)&amp;"")</f>
        <v/>
      </c>
      <c r="J205">
        <f>IF($X205="","",INDEX('Per Line'!$M$2:$M$1501,$X205))</f>
        <v/>
      </c>
      <c r="K205" s="7">
        <f>IF($X205="","",J205*V205/100)</f>
        <v/>
      </c>
      <c r="L205">
        <f>IF($X205="","",INDEX('Per Line'!$Y$2:$Y$1501,$X205)&amp;"")</f>
        <v/>
      </c>
      <c r="M205" s="7">
        <f>IF($X205="","",SUMIFS('Per Line'!$U$2:$U$1501,'Per Line'!$AJ$2:$AJ$1501,$A205&amp;"|"&amp;$C205,'Per Line'!$AN$2:$AN$1501,1))</f>
        <v/>
      </c>
      <c r="N205">
        <f>IF($X205="","",Settings!$C$7)</f>
        <v/>
      </c>
      <c r="O205" s="7">
        <f>IF($X205="","",SUMIFS('Per Line'!$U$2:$U$1501,'Per Line'!$AJ$2:$AJ$1501,$A205&amp;"|"&amp;$C205,'Per Line'!$AM$2:$AM$1501,0,'Per Line'!$AN$2:$AN$1501,0))</f>
        <v/>
      </c>
      <c r="P205" s="7">
        <f>IF($X205="","",O205*N205)</f>
        <v/>
      </c>
      <c r="Q205">
        <f>IF($X205="","",Settings!$C$6)</f>
        <v/>
      </c>
      <c r="R205" s="7">
        <f>IF($X205="","",SUMIFS('Per Line'!$U$2:$U$1501,'Per Line'!$AJ$2:$AJ$1501,$A205&amp;"|"&amp;$C205,'Per Line'!$AM$2:$AM$1501,1,'Per Line'!$AN$2:$AN$1501,0))</f>
        <v/>
      </c>
      <c r="S205" s="7">
        <f>IF($X205="","",R205*Q205)</f>
        <v/>
      </c>
      <c r="T205" s="7">
        <f>IF($X205="","",S205+P205)</f>
        <v/>
      </c>
      <c r="U205" s="7">
        <f>IF($X205="","",V205-T205)</f>
        <v/>
      </c>
      <c r="V205" s="7">
        <f>IF($X205="","",O205+R205+M205)</f>
        <v/>
      </c>
      <c r="W205" s="7">
        <f>IF($X205="","",V205-T205-K205)</f>
        <v/>
      </c>
      <c r="X205" s="13">
        <f>IF(ROWS($X$2:$X205)&lt;=MAX('Per Line'!$AL$2:$AL$1501),MATCH(ROWS($X$2:$X205),'Per Line'!$AL$2:$AL$1501,0),"")</f>
        <v/>
      </c>
    </row>
    <row r="206">
      <c r="A206">
        <f>IF($X206="","",INDEX('Per Line'!$C$2:$C$1501,$X206)&amp;"")</f>
        <v/>
      </c>
      <c r="B206" s="12" t="n"/>
      <c r="C206">
        <f>IF($X206="","",INDEX('Per Line'!$D$2:$D$1501,$X206)&amp;"")</f>
        <v/>
      </c>
      <c r="D206">
        <f>IF($X206="","",INDEX('Per Line'!$A$2:$A$1501,$X206))</f>
        <v/>
      </c>
      <c r="E206">
        <f>IF($X206="","",INDEX('Per Line'!$G$2:$G$1501,$X206)&amp;"")</f>
        <v/>
      </c>
      <c r="F206" s="11">
        <f>IF($X206="","",INDEX('Per Line'!$F$2:$F$1501,$X206))</f>
        <v/>
      </c>
      <c r="G206">
        <f>IF($X206="","",INDEX('Per Line'!$I$2:$I$1501,$X206)&amp;"")</f>
        <v/>
      </c>
      <c r="H206">
        <f>IF($X206="","",INDEX('Per Line'!$J$2:$J$1501,$X206)&amp;"")</f>
        <v/>
      </c>
      <c r="I206">
        <f>IF($X206="","",INDEX('Per Line'!$K$2:$K$1501,$X206)&amp;"")</f>
        <v/>
      </c>
      <c r="J206">
        <f>IF($X206="","",INDEX('Per Line'!$M$2:$M$1501,$X206))</f>
        <v/>
      </c>
      <c r="K206" s="7">
        <f>IF($X206="","",J206*V206/100)</f>
        <v/>
      </c>
      <c r="L206">
        <f>IF($X206="","",INDEX('Per Line'!$Y$2:$Y$1501,$X206)&amp;"")</f>
        <v/>
      </c>
      <c r="M206" s="7">
        <f>IF($X206="","",SUMIFS('Per Line'!$U$2:$U$1501,'Per Line'!$AJ$2:$AJ$1501,$A206&amp;"|"&amp;$C206,'Per Line'!$AN$2:$AN$1501,1))</f>
        <v/>
      </c>
      <c r="N206">
        <f>IF($X206="","",Settings!$C$7)</f>
        <v/>
      </c>
      <c r="O206" s="7">
        <f>IF($X206="","",SUMIFS('Per Line'!$U$2:$U$1501,'Per Line'!$AJ$2:$AJ$1501,$A206&amp;"|"&amp;$C206,'Per Line'!$AM$2:$AM$1501,0,'Per Line'!$AN$2:$AN$1501,0))</f>
        <v/>
      </c>
      <c r="P206" s="7">
        <f>IF($X206="","",O206*N206)</f>
        <v/>
      </c>
      <c r="Q206">
        <f>IF($X206="","",Settings!$C$6)</f>
        <v/>
      </c>
      <c r="R206" s="7">
        <f>IF($X206="","",SUMIFS('Per Line'!$U$2:$U$1501,'Per Line'!$AJ$2:$AJ$1501,$A206&amp;"|"&amp;$C206,'Per Line'!$AM$2:$AM$1501,1,'Per Line'!$AN$2:$AN$1501,0))</f>
        <v/>
      </c>
      <c r="S206" s="7">
        <f>IF($X206="","",R206*Q206)</f>
        <v/>
      </c>
      <c r="T206" s="7">
        <f>IF($X206="","",S206+P206)</f>
        <v/>
      </c>
      <c r="U206" s="7">
        <f>IF($X206="","",V206-T206)</f>
        <v/>
      </c>
      <c r="V206" s="7">
        <f>IF($X206="","",O206+R206+M206)</f>
        <v/>
      </c>
      <c r="W206" s="7">
        <f>IF($X206="","",V206-T206-K206)</f>
        <v/>
      </c>
      <c r="X206" s="13">
        <f>IF(ROWS($X$2:$X206)&lt;=MAX('Per Line'!$AL$2:$AL$1501),MATCH(ROWS($X$2:$X206),'Per Line'!$AL$2:$AL$1501,0),"")</f>
        <v/>
      </c>
    </row>
    <row r="207">
      <c r="A207">
        <f>IF($X207="","",INDEX('Per Line'!$C$2:$C$1501,$X207)&amp;"")</f>
        <v/>
      </c>
      <c r="B207" s="12" t="n"/>
      <c r="C207">
        <f>IF($X207="","",INDEX('Per Line'!$D$2:$D$1501,$X207)&amp;"")</f>
        <v/>
      </c>
      <c r="D207">
        <f>IF($X207="","",INDEX('Per Line'!$A$2:$A$1501,$X207))</f>
        <v/>
      </c>
      <c r="E207">
        <f>IF($X207="","",INDEX('Per Line'!$G$2:$G$1501,$X207)&amp;"")</f>
        <v/>
      </c>
      <c r="F207" s="11">
        <f>IF($X207="","",INDEX('Per Line'!$F$2:$F$1501,$X207))</f>
        <v/>
      </c>
      <c r="G207">
        <f>IF($X207="","",INDEX('Per Line'!$I$2:$I$1501,$X207)&amp;"")</f>
        <v/>
      </c>
      <c r="H207">
        <f>IF($X207="","",INDEX('Per Line'!$J$2:$J$1501,$X207)&amp;"")</f>
        <v/>
      </c>
      <c r="I207">
        <f>IF($X207="","",INDEX('Per Line'!$K$2:$K$1501,$X207)&amp;"")</f>
        <v/>
      </c>
      <c r="J207">
        <f>IF($X207="","",INDEX('Per Line'!$M$2:$M$1501,$X207))</f>
        <v/>
      </c>
      <c r="K207" s="7">
        <f>IF($X207="","",J207*V207/100)</f>
        <v/>
      </c>
      <c r="L207">
        <f>IF($X207="","",INDEX('Per Line'!$Y$2:$Y$1501,$X207)&amp;"")</f>
        <v/>
      </c>
      <c r="M207" s="7">
        <f>IF($X207="","",SUMIFS('Per Line'!$U$2:$U$1501,'Per Line'!$AJ$2:$AJ$1501,$A207&amp;"|"&amp;$C207,'Per Line'!$AN$2:$AN$1501,1))</f>
        <v/>
      </c>
      <c r="N207">
        <f>IF($X207="","",Settings!$C$7)</f>
        <v/>
      </c>
      <c r="O207" s="7">
        <f>IF($X207="","",SUMIFS('Per Line'!$U$2:$U$1501,'Per Line'!$AJ$2:$AJ$1501,$A207&amp;"|"&amp;$C207,'Per Line'!$AM$2:$AM$1501,0,'Per Line'!$AN$2:$AN$1501,0))</f>
        <v/>
      </c>
      <c r="P207" s="7">
        <f>IF($X207="","",O207*N207)</f>
        <v/>
      </c>
      <c r="Q207">
        <f>IF($X207="","",Settings!$C$6)</f>
        <v/>
      </c>
      <c r="R207" s="7">
        <f>IF($X207="","",SUMIFS('Per Line'!$U$2:$U$1501,'Per Line'!$AJ$2:$AJ$1501,$A207&amp;"|"&amp;$C207,'Per Line'!$AM$2:$AM$1501,1,'Per Line'!$AN$2:$AN$1501,0))</f>
        <v/>
      </c>
      <c r="S207" s="7">
        <f>IF($X207="","",R207*Q207)</f>
        <v/>
      </c>
      <c r="T207" s="7">
        <f>IF($X207="","",S207+P207)</f>
        <v/>
      </c>
      <c r="U207" s="7">
        <f>IF($X207="","",V207-T207)</f>
        <v/>
      </c>
      <c r="V207" s="7">
        <f>IF($X207="","",O207+R207+M207)</f>
        <v/>
      </c>
      <c r="W207" s="7">
        <f>IF($X207="","",V207-T207-K207)</f>
        <v/>
      </c>
      <c r="X207" s="13">
        <f>IF(ROWS($X$2:$X207)&lt;=MAX('Per Line'!$AL$2:$AL$1501),MATCH(ROWS($X$2:$X207),'Per Line'!$AL$2:$AL$1501,0),"")</f>
        <v/>
      </c>
    </row>
    <row r="208">
      <c r="A208">
        <f>IF($X208="","",INDEX('Per Line'!$C$2:$C$1501,$X208)&amp;"")</f>
        <v/>
      </c>
      <c r="B208" s="12" t="n"/>
      <c r="C208">
        <f>IF($X208="","",INDEX('Per Line'!$D$2:$D$1501,$X208)&amp;"")</f>
        <v/>
      </c>
      <c r="D208">
        <f>IF($X208="","",INDEX('Per Line'!$A$2:$A$1501,$X208))</f>
        <v/>
      </c>
      <c r="E208">
        <f>IF($X208="","",INDEX('Per Line'!$G$2:$G$1501,$X208)&amp;"")</f>
        <v/>
      </c>
      <c r="F208" s="11">
        <f>IF($X208="","",INDEX('Per Line'!$F$2:$F$1501,$X208))</f>
        <v/>
      </c>
      <c r="G208">
        <f>IF($X208="","",INDEX('Per Line'!$I$2:$I$1501,$X208)&amp;"")</f>
        <v/>
      </c>
      <c r="H208">
        <f>IF($X208="","",INDEX('Per Line'!$J$2:$J$1501,$X208)&amp;"")</f>
        <v/>
      </c>
      <c r="I208">
        <f>IF($X208="","",INDEX('Per Line'!$K$2:$K$1501,$X208)&amp;"")</f>
        <v/>
      </c>
      <c r="J208">
        <f>IF($X208="","",INDEX('Per Line'!$M$2:$M$1501,$X208))</f>
        <v/>
      </c>
      <c r="K208" s="7">
        <f>IF($X208="","",J208*V208/100)</f>
        <v/>
      </c>
      <c r="L208">
        <f>IF($X208="","",INDEX('Per Line'!$Y$2:$Y$1501,$X208)&amp;"")</f>
        <v/>
      </c>
      <c r="M208" s="7">
        <f>IF($X208="","",SUMIFS('Per Line'!$U$2:$U$1501,'Per Line'!$AJ$2:$AJ$1501,$A208&amp;"|"&amp;$C208,'Per Line'!$AN$2:$AN$1501,1))</f>
        <v/>
      </c>
      <c r="N208">
        <f>IF($X208="","",Settings!$C$7)</f>
        <v/>
      </c>
      <c r="O208" s="7">
        <f>IF($X208="","",SUMIFS('Per Line'!$U$2:$U$1501,'Per Line'!$AJ$2:$AJ$1501,$A208&amp;"|"&amp;$C208,'Per Line'!$AM$2:$AM$1501,0,'Per Line'!$AN$2:$AN$1501,0))</f>
        <v/>
      </c>
      <c r="P208" s="7">
        <f>IF($X208="","",O208*N208)</f>
        <v/>
      </c>
      <c r="Q208">
        <f>IF($X208="","",Settings!$C$6)</f>
        <v/>
      </c>
      <c r="R208" s="7">
        <f>IF($X208="","",SUMIFS('Per Line'!$U$2:$U$1501,'Per Line'!$AJ$2:$AJ$1501,$A208&amp;"|"&amp;$C208,'Per Line'!$AM$2:$AM$1501,1,'Per Line'!$AN$2:$AN$1501,0))</f>
        <v/>
      </c>
      <c r="S208" s="7">
        <f>IF($X208="","",R208*Q208)</f>
        <v/>
      </c>
      <c r="T208" s="7">
        <f>IF($X208="","",S208+P208)</f>
        <v/>
      </c>
      <c r="U208" s="7">
        <f>IF($X208="","",V208-T208)</f>
        <v/>
      </c>
      <c r="V208" s="7">
        <f>IF($X208="","",O208+R208+M208)</f>
        <v/>
      </c>
      <c r="W208" s="7">
        <f>IF($X208="","",V208-T208-K208)</f>
        <v/>
      </c>
      <c r="X208" s="13">
        <f>IF(ROWS($X$2:$X208)&lt;=MAX('Per Line'!$AL$2:$AL$1501),MATCH(ROWS($X$2:$X208),'Per Line'!$AL$2:$AL$1501,0),"")</f>
        <v/>
      </c>
    </row>
    <row r="209">
      <c r="A209">
        <f>IF($X209="","",INDEX('Per Line'!$C$2:$C$1501,$X209)&amp;"")</f>
        <v/>
      </c>
      <c r="B209" s="12" t="n"/>
      <c r="C209">
        <f>IF($X209="","",INDEX('Per Line'!$D$2:$D$1501,$X209)&amp;"")</f>
        <v/>
      </c>
      <c r="D209">
        <f>IF($X209="","",INDEX('Per Line'!$A$2:$A$1501,$X209))</f>
        <v/>
      </c>
      <c r="E209">
        <f>IF($X209="","",INDEX('Per Line'!$G$2:$G$1501,$X209)&amp;"")</f>
        <v/>
      </c>
      <c r="F209" s="11">
        <f>IF($X209="","",INDEX('Per Line'!$F$2:$F$1501,$X209))</f>
        <v/>
      </c>
      <c r="G209">
        <f>IF($X209="","",INDEX('Per Line'!$I$2:$I$1501,$X209)&amp;"")</f>
        <v/>
      </c>
      <c r="H209">
        <f>IF($X209="","",INDEX('Per Line'!$J$2:$J$1501,$X209)&amp;"")</f>
        <v/>
      </c>
      <c r="I209">
        <f>IF($X209="","",INDEX('Per Line'!$K$2:$K$1501,$X209)&amp;"")</f>
        <v/>
      </c>
      <c r="J209">
        <f>IF($X209="","",INDEX('Per Line'!$M$2:$M$1501,$X209))</f>
        <v/>
      </c>
      <c r="K209" s="7">
        <f>IF($X209="","",J209*V209/100)</f>
        <v/>
      </c>
      <c r="L209">
        <f>IF($X209="","",INDEX('Per Line'!$Y$2:$Y$1501,$X209)&amp;"")</f>
        <v/>
      </c>
      <c r="M209" s="7">
        <f>IF($X209="","",SUMIFS('Per Line'!$U$2:$U$1501,'Per Line'!$AJ$2:$AJ$1501,$A209&amp;"|"&amp;$C209,'Per Line'!$AN$2:$AN$1501,1))</f>
        <v/>
      </c>
      <c r="N209">
        <f>IF($X209="","",Settings!$C$7)</f>
        <v/>
      </c>
      <c r="O209" s="7">
        <f>IF($X209="","",SUMIFS('Per Line'!$U$2:$U$1501,'Per Line'!$AJ$2:$AJ$1501,$A209&amp;"|"&amp;$C209,'Per Line'!$AM$2:$AM$1501,0,'Per Line'!$AN$2:$AN$1501,0))</f>
        <v/>
      </c>
      <c r="P209" s="7">
        <f>IF($X209="","",O209*N209)</f>
        <v/>
      </c>
      <c r="Q209">
        <f>IF($X209="","",Settings!$C$6)</f>
        <v/>
      </c>
      <c r="R209" s="7">
        <f>IF($X209="","",SUMIFS('Per Line'!$U$2:$U$1501,'Per Line'!$AJ$2:$AJ$1501,$A209&amp;"|"&amp;$C209,'Per Line'!$AM$2:$AM$1501,1,'Per Line'!$AN$2:$AN$1501,0))</f>
        <v/>
      </c>
      <c r="S209" s="7">
        <f>IF($X209="","",R209*Q209)</f>
        <v/>
      </c>
      <c r="T209" s="7">
        <f>IF($X209="","",S209+P209)</f>
        <v/>
      </c>
      <c r="U209" s="7">
        <f>IF($X209="","",V209-T209)</f>
        <v/>
      </c>
      <c r="V209" s="7">
        <f>IF($X209="","",O209+R209+M209)</f>
        <v/>
      </c>
      <c r="W209" s="7">
        <f>IF($X209="","",V209-T209-K209)</f>
        <v/>
      </c>
      <c r="X209" s="13">
        <f>IF(ROWS($X$2:$X209)&lt;=MAX('Per Line'!$AL$2:$AL$1501),MATCH(ROWS($X$2:$X209),'Per Line'!$AL$2:$AL$1501,0),"")</f>
        <v/>
      </c>
    </row>
    <row r="210">
      <c r="A210">
        <f>IF($X210="","",INDEX('Per Line'!$C$2:$C$1501,$X210)&amp;"")</f>
        <v/>
      </c>
      <c r="B210" s="12" t="n"/>
      <c r="C210">
        <f>IF($X210="","",INDEX('Per Line'!$D$2:$D$1501,$X210)&amp;"")</f>
        <v/>
      </c>
      <c r="D210">
        <f>IF($X210="","",INDEX('Per Line'!$A$2:$A$1501,$X210))</f>
        <v/>
      </c>
      <c r="E210">
        <f>IF($X210="","",INDEX('Per Line'!$G$2:$G$1501,$X210)&amp;"")</f>
        <v/>
      </c>
      <c r="F210" s="11">
        <f>IF($X210="","",INDEX('Per Line'!$F$2:$F$1501,$X210))</f>
        <v/>
      </c>
      <c r="G210">
        <f>IF($X210="","",INDEX('Per Line'!$I$2:$I$1501,$X210)&amp;"")</f>
        <v/>
      </c>
      <c r="H210">
        <f>IF($X210="","",INDEX('Per Line'!$J$2:$J$1501,$X210)&amp;"")</f>
        <v/>
      </c>
      <c r="I210">
        <f>IF($X210="","",INDEX('Per Line'!$K$2:$K$1501,$X210)&amp;"")</f>
        <v/>
      </c>
      <c r="J210">
        <f>IF($X210="","",INDEX('Per Line'!$M$2:$M$1501,$X210))</f>
        <v/>
      </c>
      <c r="K210" s="7">
        <f>IF($X210="","",J210*V210/100)</f>
        <v/>
      </c>
      <c r="L210">
        <f>IF($X210="","",INDEX('Per Line'!$Y$2:$Y$1501,$X210)&amp;"")</f>
        <v/>
      </c>
      <c r="M210" s="7">
        <f>IF($X210="","",SUMIFS('Per Line'!$U$2:$U$1501,'Per Line'!$AJ$2:$AJ$1501,$A210&amp;"|"&amp;$C210,'Per Line'!$AN$2:$AN$1501,1))</f>
        <v/>
      </c>
      <c r="N210">
        <f>IF($X210="","",Settings!$C$7)</f>
        <v/>
      </c>
      <c r="O210" s="7">
        <f>IF($X210="","",SUMIFS('Per Line'!$U$2:$U$1501,'Per Line'!$AJ$2:$AJ$1501,$A210&amp;"|"&amp;$C210,'Per Line'!$AM$2:$AM$1501,0,'Per Line'!$AN$2:$AN$1501,0))</f>
        <v/>
      </c>
      <c r="P210" s="7">
        <f>IF($X210="","",O210*N210)</f>
        <v/>
      </c>
      <c r="Q210">
        <f>IF($X210="","",Settings!$C$6)</f>
        <v/>
      </c>
      <c r="R210" s="7">
        <f>IF($X210="","",SUMIFS('Per Line'!$U$2:$U$1501,'Per Line'!$AJ$2:$AJ$1501,$A210&amp;"|"&amp;$C210,'Per Line'!$AM$2:$AM$1501,1,'Per Line'!$AN$2:$AN$1501,0))</f>
        <v/>
      </c>
      <c r="S210" s="7">
        <f>IF($X210="","",R210*Q210)</f>
        <v/>
      </c>
      <c r="T210" s="7">
        <f>IF($X210="","",S210+P210)</f>
        <v/>
      </c>
      <c r="U210" s="7">
        <f>IF($X210="","",V210-T210)</f>
        <v/>
      </c>
      <c r="V210" s="7">
        <f>IF($X210="","",O210+R210+M210)</f>
        <v/>
      </c>
      <c r="W210" s="7">
        <f>IF($X210="","",V210-T210-K210)</f>
        <v/>
      </c>
      <c r="X210" s="13">
        <f>IF(ROWS($X$2:$X210)&lt;=MAX('Per Line'!$AL$2:$AL$1501),MATCH(ROWS($X$2:$X210),'Per Line'!$AL$2:$AL$1501,0),"")</f>
        <v/>
      </c>
    </row>
    <row r="211">
      <c r="A211">
        <f>IF($X211="","",INDEX('Per Line'!$C$2:$C$1501,$X211)&amp;"")</f>
        <v/>
      </c>
      <c r="B211" s="12" t="n"/>
      <c r="C211">
        <f>IF($X211="","",INDEX('Per Line'!$D$2:$D$1501,$X211)&amp;"")</f>
        <v/>
      </c>
      <c r="D211">
        <f>IF($X211="","",INDEX('Per Line'!$A$2:$A$1501,$X211))</f>
        <v/>
      </c>
      <c r="E211">
        <f>IF($X211="","",INDEX('Per Line'!$G$2:$G$1501,$X211)&amp;"")</f>
        <v/>
      </c>
      <c r="F211" s="11">
        <f>IF($X211="","",INDEX('Per Line'!$F$2:$F$1501,$X211))</f>
        <v/>
      </c>
      <c r="G211">
        <f>IF($X211="","",INDEX('Per Line'!$I$2:$I$1501,$X211)&amp;"")</f>
        <v/>
      </c>
      <c r="H211">
        <f>IF($X211="","",INDEX('Per Line'!$J$2:$J$1501,$X211)&amp;"")</f>
        <v/>
      </c>
      <c r="I211">
        <f>IF($X211="","",INDEX('Per Line'!$K$2:$K$1501,$X211)&amp;"")</f>
        <v/>
      </c>
      <c r="J211">
        <f>IF($X211="","",INDEX('Per Line'!$M$2:$M$1501,$X211))</f>
        <v/>
      </c>
      <c r="K211" s="7">
        <f>IF($X211="","",J211*V211/100)</f>
        <v/>
      </c>
      <c r="L211">
        <f>IF($X211="","",INDEX('Per Line'!$Y$2:$Y$1501,$X211)&amp;"")</f>
        <v/>
      </c>
      <c r="M211" s="7">
        <f>IF($X211="","",SUMIFS('Per Line'!$U$2:$U$1501,'Per Line'!$AJ$2:$AJ$1501,$A211&amp;"|"&amp;$C211,'Per Line'!$AN$2:$AN$1501,1))</f>
        <v/>
      </c>
      <c r="N211">
        <f>IF($X211="","",Settings!$C$7)</f>
        <v/>
      </c>
      <c r="O211" s="7">
        <f>IF($X211="","",SUMIFS('Per Line'!$U$2:$U$1501,'Per Line'!$AJ$2:$AJ$1501,$A211&amp;"|"&amp;$C211,'Per Line'!$AM$2:$AM$1501,0,'Per Line'!$AN$2:$AN$1501,0))</f>
        <v/>
      </c>
      <c r="P211" s="7">
        <f>IF($X211="","",O211*N211)</f>
        <v/>
      </c>
      <c r="Q211">
        <f>IF($X211="","",Settings!$C$6)</f>
        <v/>
      </c>
      <c r="R211" s="7">
        <f>IF($X211="","",SUMIFS('Per Line'!$U$2:$U$1501,'Per Line'!$AJ$2:$AJ$1501,$A211&amp;"|"&amp;$C211,'Per Line'!$AM$2:$AM$1501,1,'Per Line'!$AN$2:$AN$1501,0))</f>
        <v/>
      </c>
      <c r="S211" s="7">
        <f>IF($X211="","",R211*Q211)</f>
        <v/>
      </c>
      <c r="T211" s="7">
        <f>IF($X211="","",S211+P211)</f>
        <v/>
      </c>
      <c r="U211" s="7">
        <f>IF($X211="","",V211-T211)</f>
        <v/>
      </c>
      <c r="V211" s="7">
        <f>IF($X211="","",O211+R211+M211)</f>
        <v/>
      </c>
      <c r="W211" s="7">
        <f>IF($X211="","",V211-T211-K211)</f>
        <v/>
      </c>
      <c r="X211" s="13">
        <f>IF(ROWS($X$2:$X211)&lt;=MAX('Per Line'!$AL$2:$AL$1501),MATCH(ROWS($X$2:$X211),'Per Line'!$AL$2:$AL$1501,0),"")</f>
        <v/>
      </c>
    </row>
    <row r="212">
      <c r="A212">
        <f>IF($X212="","",INDEX('Per Line'!$C$2:$C$1501,$X212)&amp;"")</f>
        <v/>
      </c>
      <c r="B212" s="12" t="n"/>
      <c r="C212">
        <f>IF($X212="","",INDEX('Per Line'!$D$2:$D$1501,$X212)&amp;"")</f>
        <v/>
      </c>
      <c r="D212">
        <f>IF($X212="","",INDEX('Per Line'!$A$2:$A$1501,$X212))</f>
        <v/>
      </c>
      <c r="E212">
        <f>IF($X212="","",INDEX('Per Line'!$G$2:$G$1501,$X212)&amp;"")</f>
        <v/>
      </c>
      <c r="F212" s="11">
        <f>IF($X212="","",INDEX('Per Line'!$F$2:$F$1501,$X212))</f>
        <v/>
      </c>
      <c r="G212">
        <f>IF($X212="","",INDEX('Per Line'!$I$2:$I$1501,$X212)&amp;"")</f>
        <v/>
      </c>
      <c r="H212">
        <f>IF($X212="","",INDEX('Per Line'!$J$2:$J$1501,$X212)&amp;"")</f>
        <v/>
      </c>
      <c r="I212">
        <f>IF($X212="","",INDEX('Per Line'!$K$2:$K$1501,$X212)&amp;"")</f>
        <v/>
      </c>
      <c r="J212">
        <f>IF($X212="","",INDEX('Per Line'!$M$2:$M$1501,$X212))</f>
        <v/>
      </c>
      <c r="K212" s="7">
        <f>IF($X212="","",J212*V212/100)</f>
        <v/>
      </c>
      <c r="L212">
        <f>IF($X212="","",INDEX('Per Line'!$Y$2:$Y$1501,$X212)&amp;"")</f>
        <v/>
      </c>
      <c r="M212" s="7">
        <f>IF($X212="","",SUMIFS('Per Line'!$U$2:$U$1501,'Per Line'!$AJ$2:$AJ$1501,$A212&amp;"|"&amp;$C212,'Per Line'!$AN$2:$AN$1501,1))</f>
        <v/>
      </c>
      <c r="N212">
        <f>IF($X212="","",Settings!$C$7)</f>
        <v/>
      </c>
      <c r="O212" s="7">
        <f>IF($X212="","",SUMIFS('Per Line'!$U$2:$U$1501,'Per Line'!$AJ$2:$AJ$1501,$A212&amp;"|"&amp;$C212,'Per Line'!$AM$2:$AM$1501,0,'Per Line'!$AN$2:$AN$1501,0))</f>
        <v/>
      </c>
      <c r="P212" s="7">
        <f>IF($X212="","",O212*N212)</f>
        <v/>
      </c>
      <c r="Q212">
        <f>IF($X212="","",Settings!$C$6)</f>
        <v/>
      </c>
      <c r="R212" s="7">
        <f>IF($X212="","",SUMIFS('Per Line'!$U$2:$U$1501,'Per Line'!$AJ$2:$AJ$1501,$A212&amp;"|"&amp;$C212,'Per Line'!$AM$2:$AM$1501,1,'Per Line'!$AN$2:$AN$1501,0))</f>
        <v/>
      </c>
      <c r="S212" s="7">
        <f>IF($X212="","",R212*Q212)</f>
        <v/>
      </c>
      <c r="T212" s="7">
        <f>IF($X212="","",S212+P212)</f>
        <v/>
      </c>
      <c r="U212" s="7">
        <f>IF($X212="","",V212-T212)</f>
        <v/>
      </c>
      <c r="V212" s="7">
        <f>IF($X212="","",O212+R212+M212)</f>
        <v/>
      </c>
      <c r="W212" s="7">
        <f>IF($X212="","",V212-T212-K212)</f>
        <v/>
      </c>
      <c r="X212" s="13">
        <f>IF(ROWS($X$2:$X212)&lt;=MAX('Per Line'!$AL$2:$AL$1501),MATCH(ROWS($X$2:$X212),'Per Line'!$AL$2:$AL$1501,0),"")</f>
        <v/>
      </c>
    </row>
    <row r="213">
      <c r="A213">
        <f>IF($X213="","",INDEX('Per Line'!$C$2:$C$1501,$X213)&amp;"")</f>
        <v/>
      </c>
      <c r="B213" s="12" t="n"/>
      <c r="C213">
        <f>IF($X213="","",INDEX('Per Line'!$D$2:$D$1501,$X213)&amp;"")</f>
        <v/>
      </c>
      <c r="D213">
        <f>IF($X213="","",INDEX('Per Line'!$A$2:$A$1501,$X213))</f>
        <v/>
      </c>
      <c r="E213">
        <f>IF($X213="","",INDEX('Per Line'!$G$2:$G$1501,$X213)&amp;"")</f>
        <v/>
      </c>
      <c r="F213" s="11">
        <f>IF($X213="","",INDEX('Per Line'!$F$2:$F$1501,$X213))</f>
        <v/>
      </c>
      <c r="G213">
        <f>IF($X213="","",INDEX('Per Line'!$I$2:$I$1501,$X213)&amp;"")</f>
        <v/>
      </c>
      <c r="H213">
        <f>IF($X213="","",INDEX('Per Line'!$J$2:$J$1501,$X213)&amp;"")</f>
        <v/>
      </c>
      <c r="I213">
        <f>IF($X213="","",INDEX('Per Line'!$K$2:$K$1501,$X213)&amp;"")</f>
        <v/>
      </c>
      <c r="J213">
        <f>IF($X213="","",INDEX('Per Line'!$M$2:$M$1501,$X213))</f>
        <v/>
      </c>
      <c r="K213" s="7">
        <f>IF($X213="","",J213*V213/100)</f>
        <v/>
      </c>
      <c r="L213">
        <f>IF($X213="","",INDEX('Per Line'!$Y$2:$Y$1501,$X213)&amp;"")</f>
        <v/>
      </c>
      <c r="M213" s="7">
        <f>IF($X213="","",SUMIFS('Per Line'!$U$2:$U$1501,'Per Line'!$AJ$2:$AJ$1501,$A213&amp;"|"&amp;$C213,'Per Line'!$AN$2:$AN$1501,1))</f>
        <v/>
      </c>
      <c r="N213">
        <f>IF($X213="","",Settings!$C$7)</f>
        <v/>
      </c>
      <c r="O213" s="7">
        <f>IF($X213="","",SUMIFS('Per Line'!$U$2:$U$1501,'Per Line'!$AJ$2:$AJ$1501,$A213&amp;"|"&amp;$C213,'Per Line'!$AM$2:$AM$1501,0,'Per Line'!$AN$2:$AN$1501,0))</f>
        <v/>
      </c>
      <c r="P213" s="7">
        <f>IF($X213="","",O213*N213)</f>
        <v/>
      </c>
      <c r="Q213">
        <f>IF($X213="","",Settings!$C$6)</f>
        <v/>
      </c>
      <c r="R213" s="7">
        <f>IF($X213="","",SUMIFS('Per Line'!$U$2:$U$1501,'Per Line'!$AJ$2:$AJ$1501,$A213&amp;"|"&amp;$C213,'Per Line'!$AM$2:$AM$1501,1,'Per Line'!$AN$2:$AN$1501,0))</f>
        <v/>
      </c>
      <c r="S213" s="7">
        <f>IF($X213="","",R213*Q213)</f>
        <v/>
      </c>
      <c r="T213" s="7">
        <f>IF($X213="","",S213+P213)</f>
        <v/>
      </c>
      <c r="U213" s="7">
        <f>IF($X213="","",V213-T213)</f>
        <v/>
      </c>
      <c r="V213" s="7">
        <f>IF($X213="","",O213+R213+M213)</f>
        <v/>
      </c>
      <c r="W213" s="7">
        <f>IF($X213="","",V213-T213-K213)</f>
        <v/>
      </c>
      <c r="X213" s="13">
        <f>IF(ROWS($X$2:$X213)&lt;=MAX('Per Line'!$AL$2:$AL$1501),MATCH(ROWS($X$2:$X213),'Per Line'!$AL$2:$AL$1501,0),"")</f>
        <v/>
      </c>
    </row>
    <row r="214">
      <c r="A214">
        <f>IF($X214="","",INDEX('Per Line'!$C$2:$C$1501,$X214)&amp;"")</f>
        <v/>
      </c>
      <c r="B214" s="12" t="n"/>
      <c r="C214">
        <f>IF($X214="","",INDEX('Per Line'!$D$2:$D$1501,$X214)&amp;"")</f>
        <v/>
      </c>
      <c r="D214">
        <f>IF($X214="","",INDEX('Per Line'!$A$2:$A$1501,$X214))</f>
        <v/>
      </c>
      <c r="E214">
        <f>IF($X214="","",INDEX('Per Line'!$G$2:$G$1501,$X214)&amp;"")</f>
        <v/>
      </c>
      <c r="F214" s="11">
        <f>IF($X214="","",INDEX('Per Line'!$F$2:$F$1501,$X214))</f>
        <v/>
      </c>
      <c r="G214">
        <f>IF($X214="","",INDEX('Per Line'!$I$2:$I$1501,$X214)&amp;"")</f>
        <v/>
      </c>
      <c r="H214">
        <f>IF($X214="","",INDEX('Per Line'!$J$2:$J$1501,$X214)&amp;"")</f>
        <v/>
      </c>
      <c r="I214">
        <f>IF($X214="","",INDEX('Per Line'!$K$2:$K$1501,$X214)&amp;"")</f>
        <v/>
      </c>
      <c r="J214">
        <f>IF($X214="","",INDEX('Per Line'!$M$2:$M$1501,$X214))</f>
        <v/>
      </c>
      <c r="K214" s="7">
        <f>IF($X214="","",J214*V214/100)</f>
        <v/>
      </c>
      <c r="L214">
        <f>IF($X214="","",INDEX('Per Line'!$Y$2:$Y$1501,$X214)&amp;"")</f>
        <v/>
      </c>
      <c r="M214" s="7">
        <f>IF($X214="","",SUMIFS('Per Line'!$U$2:$U$1501,'Per Line'!$AJ$2:$AJ$1501,$A214&amp;"|"&amp;$C214,'Per Line'!$AN$2:$AN$1501,1))</f>
        <v/>
      </c>
      <c r="N214">
        <f>IF($X214="","",Settings!$C$7)</f>
        <v/>
      </c>
      <c r="O214" s="7">
        <f>IF($X214="","",SUMIFS('Per Line'!$U$2:$U$1501,'Per Line'!$AJ$2:$AJ$1501,$A214&amp;"|"&amp;$C214,'Per Line'!$AM$2:$AM$1501,0,'Per Line'!$AN$2:$AN$1501,0))</f>
        <v/>
      </c>
      <c r="P214" s="7">
        <f>IF($X214="","",O214*N214)</f>
        <v/>
      </c>
      <c r="Q214">
        <f>IF($X214="","",Settings!$C$6)</f>
        <v/>
      </c>
      <c r="R214" s="7">
        <f>IF($X214="","",SUMIFS('Per Line'!$U$2:$U$1501,'Per Line'!$AJ$2:$AJ$1501,$A214&amp;"|"&amp;$C214,'Per Line'!$AM$2:$AM$1501,1,'Per Line'!$AN$2:$AN$1501,0))</f>
        <v/>
      </c>
      <c r="S214" s="7">
        <f>IF($X214="","",R214*Q214)</f>
        <v/>
      </c>
      <c r="T214" s="7">
        <f>IF($X214="","",S214+P214)</f>
        <v/>
      </c>
      <c r="U214" s="7">
        <f>IF($X214="","",V214-T214)</f>
        <v/>
      </c>
      <c r="V214" s="7">
        <f>IF($X214="","",O214+R214+M214)</f>
        <v/>
      </c>
      <c r="W214" s="7">
        <f>IF($X214="","",V214-T214-K214)</f>
        <v/>
      </c>
      <c r="X214" s="13">
        <f>IF(ROWS($X$2:$X214)&lt;=MAX('Per Line'!$AL$2:$AL$1501),MATCH(ROWS($X$2:$X214),'Per Line'!$AL$2:$AL$1501,0),"")</f>
        <v/>
      </c>
    </row>
    <row r="215">
      <c r="A215">
        <f>IF($X215="","",INDEX('Per Line'!$C$2:$C$1501,$X215)&amp;"")</f>
        <v/>
      </c>
      <c r="B215" s="12" t="n"/>
      <c r="C215">
        <f>IF($X215="","",INDEX('Per Line'!$D$2:$D$1501,$X215)&amp;"")</f>
        <v/>
      </c>
      <c r="D215">
        <f>IF($X215="","",INDEX('Per Line'!$A$2:$A$1501,$X215))</f>
        <v/>
      </c>
      <c r="E215">
        <f>IF($X215="","",INDEX('Per Line'!$G$2:$G$1501,$X215)&amp;"")</f>
        <v/>
      </c>
      <c r="F215" s="11">
        <f>IF($X215="","",INDEX('Per Line'!$F$2:$F$1501,$X215))</f>
        <v/>
      </c>
      <c r="G215">
        <f>IF($X215="","",INDEX('Per Line'!$I$2:$I$1501,$X215)&amp;"")</f>
        <v/>
      </c>
      <c r="H215">
        <f>IF($X215="","",INDEX('Per Line'!$J$2:$J$1501,$X215)&amp;"")</f>
        <v/>
      </c>
      <c r="I215">
        <f>IF($X215="","",INDEX('Per Line'!$K$2:$K$1501,$X215)&amp;"")</f>
        <v/>
      </c>
      <c r="J215">
        <f>IF($X215="","",INDEX('Per Line'!$M$2:$M$1501,$X215))</f>
        <v/>
      </c>
      <c r="K215" s="7">
        <f>IF($X215="","",J215*V215/100)</f>
        <v/>
      </c>
      <c r="L215">
        <f>IF($X215="","",INDEX('Per Line'!$Y$2:$Y$1501,$X215)&amp;"")</f>
        <v/>
      </c>
      <c r="M215" s="7">
        <f>IF($X215="","",SUMIFS('Per Line'!$U$2:$U$1501,'Per Line'!$AJ$2:$AJ$1501,$A215&amp;"|"&amp;$C215,'Per Line'!$AN$2:$AN$1501,1))</f>
        <v/>
      </c>
      <c r="N215">
        <f>IF($X215="","",Settings!$C$7)</f>
        <v/>
      </c>
      <c r="O215" s="7">
        <f>IF($X215="","",SUMIFS('Per Line'!$U$2:$U$1501,'Per Line'!$AJ$2:$AJ$1501,$A215&amp;"|"&amp;$C215,'Per Line'!$AM$2:$AM$1501,0,'Per Line'!$AN$2:$AN$1501,0))</f>
        <v/>
      </c>
      <c r="P215" s="7">
        <f>IF($X215="","",O215*N215)</f>
        <v/>
      </c>
      <c r="Q215">
        <f>IF($X215="","",Settings!$C$6)</f>
        <v/>
      </c>
      <c r="R215" s="7">
        <f>IF($X215="","",SUMIFS('Per Line'!$U$2:$U$1501,'Per Line'!$AJ$2:$AJ$1501,$A215&amp;"|"&amp;$C215,'Per Line'!$AM$2:$AM$1501,1,'Per Line'!$AN$2:$AN$1501,0))</f>
        <v/>
      </c>
      <c r="S215" s="7">
        <f>IF($X215="","",R215*Q215)</f>
        <v/>
      </c>
      <c r="T215" s="7">
        <f>IF($X215="","",S215+P215)</f>
        <v/>
      </c>
      <c r="U215" s="7">
        <f>IF($X215="","",V215-T215)</f>
        <v/>
      </c>
      <c r="V215" s="7">
        <f>IF($X215="","",O215+R215+M215)</f>
        <v/>
      </c>
      <c r="W215" s="7">
        <f>IF($X215="","",V215-T215-K215)</f>
        <v/>
      </c>
      <c r="X215" s="13">
        <f>IF(ROWS($X$2:$X215)&lt;=MAX('Per Line'!$AL$2:$AL$1501),MATCH(ROWS($X$2:$X215),'Per Line'!$AL$2:$AL$1501,0),"")</f>
        <v/>
      </c>
    </row>
    <row r="216">
      <c r="A216">
        <f>IF($X216="","",INDEX('Per Line'!$C$2:$C$1501,$X216)&amp;"")</f>
        <v/>
      </c>
      <c r="B216" s="12" t="n"/>
      <c r="C216">
        <f>IF($X216="","",INDEX('Per Line'!$D$2:$D$1501,$X216)&amp;"")</f>
        <v/>
      </c>
      <c r="D216">
        <f>IF($X216="","",INDEX('Per Line'!$A$2:$A$1501,$X216))</f>
        <v/>
      </c>
      <c r="E216">
        <f>IF($X216="","",INDEX('Per Line'!$G$2:$G$1501,$X216)&amp;"")</f>
        <v/>
      </c>
      <c r="F216" s="11">
        <f>IF($X216="","",INDEX('Per Line'!$F$2:$F$1501,$X216))</f>
        <v/>
      </c>
      <c r="G216">
        <f>IF($X216="","",INDEX('Per Line'!$I$2:$I$1501,$X216)&amp;"")</f>
        <v/>
      </c>
      <c r="H216">
        <f>IF($X216="","",INDEX('Per Line'!$J$2:$J$1501,$X216)&amp;"")</f>
        <v/>
      </c>
      <c r="I216">
        <f>IF($X216="","",INDEX('Per Line'!$K$2:$K$1501,$X216)&amp;"")</f>
        <v/>
      </c>
      <c r="J216">
        <f>IF($X216="","",INDEX('Per Line'!$M$2:$M$1501,$X216))</f>
        <v/>
      </c>
      <c r="K216" s="7">
        <f>IF($X216="","",J216*V216/100)</f>
        <v/>
      </c>
      <c r="L216">
        <f>IF($X216="","",INDEX('Per Line'!$Y$2:$Y$1501,$X216)&amp;"")</f>
        <v/>
      </c>
      <c r="M216" s="7">
        <f>IF($X216="","",SUMIFS('Per Line'!$U$2:$U$1501,'Per Line'!$AJ$2:$AJ$1501,$A216&amp;"|"&amp;$C216,'Per Line'!$AN$2:$AN$1501,1))</f>
        <v/>
      </c>
      <c r="N216">
        <f>IF($X216="","",Settings!$C$7)</f>
        <v/>
      </c>
      <c r="O216" s="7">
        <f>IF($X216="","",SUMIFS('Per Line'!$U$2:$U$1501,'Per Line'!$AJ$2:$AJ$1501,$A216&amp;"|"&amp;$C216,'Per Line'!$AM$2:$AM$1501,0,'Per Line'!$AN$2:$AN$1501,0))</f>
        <v/>
      </c>
      <c r="P216" s="7">
        <f>IF($X216="","",O216*N216)</f>
        <v/>
      </c>
      <c r="Q216">
        <f>IF($X216="","",Settings!$C$6)</f>
        <v/>
      </c>
      <c r="R216" s="7">
        <f>IF($X216="","",SUMIFS('Per Line'!$U$2:$U$1501,'Per Line'!$AJ$2:$AJ$1501,$A216&amp;"|"&amp;$C216,'Per Line'!$AM$2:$AM$1501,1,'Per Line'!$AN$2:$AN$1501,0))</f>
        <v/>
      </c>
      <c r="S216" s="7">
        <f>IF($X216="","",R216*Q216)</f>
        <v/>
      </c>
      <c r="T216" s="7">
        <f>IF($X216="","",S216+P216)</f>
        <v/>
      </c>
      <c r="U216" s="7">
        <f>IF($X216="","",V216-T216)</f>
        <v/>
      </c>
      <c r="V216" s="7">
        <f>IF($X216="","",O216+R216+M216)</f>
        <v/>
      </c>
      <c r="W216" s="7">
        <f>IF($X216="","",V216-T216-K216)</f>
        <v/>
      </c>
      <c r="X216" s="13">
        <f>IF(ROWS($X$2:$X216)&lt;=MAX('Per Line'!$AL$2:$AL$1501),MATCH(ROWS($X$2:$X216),'Per Line'!$AL$2:$AL$1501,0),"")</f>
        <v/>
      </c>
    </row>
    <row r="217">
      <c r="A217">
        <f>IF($X217="","",INDEX('Per Line'!$C$2:$C$1501,$X217)&amp;"")</f>
        <v/>
      </c>
      <c r="B217" s="12" t="n"/>
      <c r="C217">
        <f>IF($X217="","",INDEX('Per Line'!$D$2:$D$1501,$X217)&amp;"")</f>
        <v/>
      </c>
      <c r="D217">
        <f>IF($X217="","",INDEX('Per Line'!$A$2:$A$1501,$X217))</f>
        <v/>
      </c>
      <c r="E217">
        <f>IF($X217="","",INDEX('Per Line'!$G$2:$G$1501,$X217)&amp;"")</f>
        <v/>
      </c>
      <c r="F217" s="11">
        <f>IF($X217="","",INDEX('Per Line'!$F$2:$F$1501,$X217))</f>
        <v/>
      </c>
      <c r="G217">
        <f>IF($X217="","",INDEX('Per Line'!$I$2:$I$1501,$X217)&amp;"")</f>
        <v/>
      </c>
      <c r="H217">
        <f>IF($X217="","",INDEX('Per Line'!$J$2:$J$1501,$X217)&amp;"")</f>
        <v/>
      </c>
      <c r="I217">
        <f>IF($X217="","",INDEX('Per Line'!$K$2:$K$1501,$X217)&amp;"")</f>
        <v/>
      </c>
      <c r="J217">
        <f>IF($X217="","",INDEX('Per Line'!$M$2:$M$1501,$X217))</f>
        <v/>
      </c>
      <c r="K217" s="7">
        <f>IF($X217="","",J217*V217/100)</f>
        <v/>
      </c>
      <c r="L217">
        <f>IF($X217="","",INDEX('Per Line'!$Y$2:$Y$1501,$X217)&amp;"")</f>
        <v/>
      </c>
      <c r="M217" s="7">
        <f>IF($X217="","",SUMIFS('Per Line'!$U$2:$U$1501,'Per Line'!$AJ$2:$AJ$1501,$A217&amp;"|"&amp;$C217,'Per Line'!$AN$2:$AN$1501,1))</f>
        <v/>
      </c>
      <c r="N217">
        <f>IF($X217="","",Settings!$C$7)</f>
        <v/>
      </c>
      <c r="O217" s="7">
        <f>IF($X217="","",SUMIFS('Per Line'!$U$2:$U$1501,'Per Line'!$AJ$2:$AJ$1501,$A217&amp;"|"&amp;$C217,'Per Line'!$AM$2:$AM$1501,0,'Per Line'!$AN$2:$AN$1501,0))</f>
        <v/>
      </c>
      <c r="P217" s="7">
        <f>IF($X217="","",O217*N217)</f>
        <v/>
      </c>
      <c r="Q217">
        <f>IF($X217="","",Settings!$C$6)</f>
        <v/>
      </c>
      <c r="R217" s="7">
        <f>IF($X217="","",SUMIFS('Per Line'!$U$2:$U$1501,'Per Line'!$AJ$2:$AJ$1501,$A217&amp;"|"&amp;$C217,'Per Line'!$AM$2:$AM$1501,1,'Per Line'!$AN$2:$AN$1501,0))</f>
        <v/>
      </c>
      <c r="S217" s="7">
        <f>IF($X217="","",R217*Q217)</f>
        <v/>
      </c>
      <c r="T217" s="7">
        <f>IF($X217="","",S217+P217)</f>
        <v/>
      </c>
      <c r="U217" s="7">
        <f>IF($X217="","",V217-T217)</f>
        <v/>
      </c>
      <c r="V217" s="7">
        <f>IF($X217="","",O217+R217+M217)</f>
        <v/>
      </c>
      <c r="W217" s="7">
        <f>IF($X217="","",V217-T217-K217)</f>
        <v/>
      </c>
      <c r="X217" s="13">
        <f>IF(ROWS($X$2:$X217)&lt;=MAX('Per Line'!$AL$2:$AL$1501),MATCH(ROWS($X$2:$X217),'Per Line'!$AL$2:$AL$1501,0),"")</f>
        <v/>
      </c>
    </row>
    <row r="218">
      <c r="A218">
        <f>IF($X218="","",INDEX('Per Line'!$C$2:$C$1501,$X218)&amp;"")</f>
        <v/>
      </c>
      <c r="B218" s="12" t="n"/>
      <c r="C218">
        <f>IF($X218="","",INDEX('Per Line'!$D$2:$D$1501,$X218)&amp;"")</f>
        <v/>
      </c>
      <c r="D218">
        <f>IF($X218="","",INDEX('Per Line'!$A$2:$A$1501,$X218))</f>
        <v/>
      </c>
      <c r="E218">
        <f>IF($X218="","",INDEX('Per Line'!$G$2:$G$1501,$X218)&amp;"")</f>
        <v/>
      </c>
      <c r="F218" s="11">
        <f>IF($X218="","",INDEX('Per Line'!$F$2:$F$1501,$X218))</f>
        <v/>
      </c>
      <c r="G218">
        <f>IF($X218="","",INDEX('Per Line'!$I$2:$I$1501,$X218)&amp;"")</f>
        <v/>
      </c>
      <c r="H218">
        <f>IF($X218="","",INDEX('Per Line'!$J$2:$J$1501,$X218)&amp;"")</f>
        <v/>
      </c>
      <c r="I218">
        <f>IF($X218="","",INDEX('Per Line'!$K$2:$K$1501,$X218)&amp;"")</f>
        <v/>
      </c>
      <c r="J218">
        <f>IF($X218="","",INDEX('Per Line'!$M$2:$M$1501,$X218))</f>
        <v/>
      </c>
      <c r="K218" s="7">
        <f>IF($X218="","",J218*V218/100)</f>
        <v/>
      </c>
      <c r="L218">
        <f>IF($X218="","",INDEX('Per Line'!$Y$2:$Y$1501,$X218)&amp;"")</f>
        <v/>
      </c>
      <c r="M218" s="7">
        <f>IF($X218="","",SUMIFS('Per Line'!$U$2:$U$1501,'Per Line'!$AJ$2:$AJ$1501,$A218&amp;"|"&amp;$C218,'Per Line'!$AN$2:$AN$1501,1))</f>
        <v/>
      </c>
      <c r="N218">
        <f>IF($X218="","",Settings!$C$7)</f>
        <v/>
      </c>
      <c r="O218" s="7">
        <f>IF($X218="","",SUMIFS('Per Line'!$U$2:$U$1501,'Per Line'!$AJ$2:$AJ$1501,$A218&amp;"|"&amp;$C218,'Per Line'!$AM$2:$AM$1501,0,'Per Line'!$AN$2:$AN$1501,0))</f>
        <v/>
      </c>
      <c r="P218" s="7">
        <f>IF($X218="","",O218*N218)</f>
        <v/>
      </c>
      <c r="Q218">
        <f>IF($X218="","",Settings!$C$6)</f>
        <v/>
      </c>
      <c r="R218" s="7">
        <f>IF($X218="","",SUMIFS('Per Line'!$U$2:$U$1501,'Per Line'!$AJ$2:$AJ$1501,$A218&amp;"|"&amp;$C218,'Per Line'!$AM$2:$AM$1501,1,'Per Line'!$AN$2:$AN$1501,0))</f>
        <v/>
      </c>
      <c r="S218" s="7">
        <f>IF($X218="","",R218*Q218)</f>
        <v/>
      </c>
      <c r="T218" s="7">
        <f>IF($X218="","",S218+P218)</f>
        <v/>
      </c>
      <c r="U218" s="7">
        <f>IF($X218="","",V218-T218)</f>
        <v/>
      </c>
      <c r="V218" s="7">
        <f>IF($X218="","",O218+R218+M218)</f>
        <v/>
      </c>
      <c r="W218" s="7">
        <f>IF($X218="","",V218-T218-K218)</f>
        <v/>
      </c>
      <c r="X218" s="13">
        <f>IF(ROWS($X$2:$X218)&lt;=MAX('Per Line'!$AL$2:$AL$1501),MATCH(ROWS($X$2:$X218),'Per Line'!$AL$2:$AL$1501,0),"")</f>
        <v/>
      </c>
    </row>
    <row r="219">
      <c r="A219">
        <f>IF($X219="","",INDEX('Per Line'!$C$2:$C$1501,$X219)&amp;"")</f>
        <v/>
      </c>
      <c r="B219" s="12" t="n"/>
      <c r="C219">
        <f>IF($X219="","",INDEX('Per Line'!$D$2:$D$1501,$X219)&amp;"")</f>
        <v/>
      </c>
      <c r="D219">
        <f>IF($X219="","",INDEX('Per Line'!$A$2:$A$1501,$X219))</f>
        <v/>
      </c>
      <c r="E219">
        <f>IF($X219="","",INDEX('Per Line'!$G$2:$G$1501,$X219)&amp;"")</f>
        <v/>
      </c>
      <c r="F219" s="11">
        <f>IF($X219="","",INDEX('Per Line'!$F$2:$F$1501,$X219))</f>
        <v/>
      </c>
      <c r="G219">
        <f>IF($X219="","",INDEX('Per Line'!$I$2:$I$1501,$X219)&amp;"")</f>
        <v/>
      </c>
      <c r="H219">
        <f>IF($X219="","",INDEX('Per Line'!$J$2:$J$1501,$X219)&amp;"")</f>
        <v/>
      </c>
      <c r="I219">
        <f>IF($X219="","",INDEX('Per Line'!$K$2:$K$1501,$X219)&amp;"")</f>
        <v/>
      </c>
      <c r="J219">
        <f>IF($X219="","",INDEX('Per Line'!$M$2:$M$1501,$X219))</f>
        <v/>
      </c>
      <c r="K219" s="7">
        <f>IF($X219="","",J219*V219/100)</f>
        <v/>
      </c>
      <c r="L219">
        <f>IF($X219="","",INDEX('Per Line'!$Y$2:$Y$1501,$X219)&amp;"")</f>
        <v/>
      </c>
      <c r="M219" s="7">
        <f>IF($X219="","",SUMIFS('Per Line'!$U$2:$U$1501,'Per Line'!$AJ$2:$AJ$1501,$A219&amp;"|"&amp;$C219,'Per Line'!$AN$2:$AN$1501,1))</f>
        <v/>
      </c>
      <c r="N219">
        <f>IF($X219="","",Settings!$C$7)</f>
        <v/>
      </c>
      <c r="O219" s="7">
        <f>IF($X219="","",SUMIFS('Per Line'!$U$2:$U$1501,'Per Line'!$AJ$2:$AJ$1501,$A219&amp;"|"&amp;$C219,'Per Line'!$AM$2:$AM$1501,0,'Per Line'!$AN$2:$AN$1501,0))</f>
        <v/>
      </c>
      <c r="P219" s="7">
        <f>IF($X219="","",O219*N219)</f>
        <v/>
      </c>
      <c r="Q219">
        <f>IF($X219="","",Settings!$C$6)</f>
        <v/>
      </c>
      <c r="R219" s="7">
        <f>IF($X219="","",SUMIFS('Per Line'!$U$2:$U$1501,'Per Line'!$AJ$2:$AJ$1501,$A219&amp;"|"&amp;$C219,'Per Line'!$AM$2:$AM$1501,1,'Per Line'!$AN$2:$AN$1501,0))</f>
        <v/>
      </c>
      <c r="S219" s="7">
        <f>IF($X219="","",R219*Q219)</f>
        <v/>
      </c>
      <c r="T219" s="7">
        <f>IF($X219="","",S219+P219)</f>
        <v/>
      </c>
      <c r="U219" s="7">
        <f>IF($X219="","",V219-T219)</f>
        <v/>
      </c>
      <c r="V219" s="7">
        <f>IF($X219="","",O219+R219+M219)</f>
        <v/>
      </c>
      <c r="W219" s="7">
        <f>IF($X219="","",V219-T219-K219)</f>
        <v/>
      </c>
      <c r="X219" s="13">
        <f>IF(ROWS($X$2:$X219)&lt;=MAX('Per Line'!$AL$2:$AL$1501),MATCH(ROWS($X$2:$X219),'Per Line'!$AL$2:$AL$1501,0),"")</f>
        <v/>
      </c>
    </row>
    <row r="220">
      <c r="A220">
        <f>IF($X220="","",INDEX('Per Line'!$C$2:$C$1501,$X220)&amp;"")</f>
        <v/>
      </c>
      <c r="B220" s="12" t="n"/>
      <c r="C220">
        <f>IF($X220="","",INDEX('Per Line'!$D$2:$D$1501,$X220)&amp;"")</f>
        <v/>
      </c>
      <c r="D220">
        <f>IF($X220="","",INDEX('Per Line'!$A$2:$A$1501,$X220))</f>
        <v/>
      </c>
      <c r="E220">
        <f>IF($X220="","",INDEX('Per Line'!$G$2:$G$1501,$X220)&amp;"")</f>
        <v/>
      </c>
      <c r="F220" s="11">
        <f>IF($X220="","",INDEX('Per Line'!$F$2:$F$1501,$X220))</f>
        <v/>
      </c>
      <c r="G220">
        <f>IF($X220="","",INDEX('Per Line'!$I$2:$I$1501,$X220)&amp;"")</f>
        <v/>
      </c>
      <c r="H220">
        <f>IF($X220="","",INDEX('Per Line'!$J$2:$J$1501,$X220)&amp;"")</f>
        <v/>
      </c>
      <c r="I220">
        <f>IF($X220="","",INDEX('Per Line'!$K$2:$K$1501,$X220)&amp;"")</f>
        <v/>
      </c>
      <c r="J220">
        <f>IF($X220="","",INDEX('Per Line'!$M$2:$M$1501,$X220))</f>
        <v/>
      </c>
      <c r="K220" s="7">
        <f>IF($X220="","",J220*V220/100)</f>
        <v/>
      </c>
      <c r="L220">
        <f>IF($X220="","",INDEX('Per Line'!$Y$2:$Y$1501,$X220)&amp;"")</f>
        <v/>
      </c>
      <c r="M220" s="7">
        <f>IF($X220="","",SUMIFS('Per Line'!$U$2:$U$1501,'Per Line'!$AJ$2:$AJ$1501,$A220&amp;"|"&amp;$C220,'Per Line'!$AN$2:$AN$1501,1))</f>
        <v/>
      </c>
      <c r="N220">
        <f>IF($X220="","",Settings!$C$7)</f>
        <v/>
      </c>
      <c r="O220" s="7">
        <f>IF($X220="","",SUMIFS('Per Line'!$U$2:$U$1501,'Per Line'!$AJ$2:$AJ$1501,$A220&amp;"|"&amp;$C220,'Per Line'!$AM$2:$AM$1501,0,'Per Line'!$AN$2:$AN$1501,0))</f>
        <v/>
      </c>
      <c r="P220" s="7">
        <f>IF($X220="","",O220*N220)</f>
        <v/>
      </c>
      <c r="Q220">
        <f>IF($X220="","",Settings!$C$6)</f>
        <v/>
      </c>
      <c r="R220" s="7">
        <f>IF($X220="","",SUMIFS('Per Line'!$U$2:$U$1501,'Per Line'!$AJ$2:$AJ$1501,$A220&amp;"|"&amp;$C220,'Per Line'!$AM$2:$AM$1501,1,'Per Line'!$AN$2:$AN$1501,0))</f>
        <v/>
      </c>
      <c r="S220" s="7">
        <f>IF($X220="","",R220*Q220)</f>
        <v/>
      </c>
      <c r="T220" s="7">
        <f>IF($X220="","",S220+P220)</f>
        <v/>
      </c>
      <c r="U220" s="7">
        <f>IF($X220="","",V220-T220)</f>
        <v/>
      </c>
      <c r="V220" s="7">
        <f>IF($X220="","",O220+R220+M220)</f>
        <v/>
      </c>
      <c r="W220" s="7">
        <f>IF($X220="","",V220-T220-K220)</f>
        <v/>
      </c>
      <c r="X220" s="13">
        <f>IF(ROWS($X$2:$X220)&lt;=MAX('Per Line'!$AL$2:$AL$1501),MATCH(ROWS($X$2:$X220),'Per Line'!$AL$2:$AL$1501,0),"")</f>
        <v/>
      </c>
    </row>
    <row r="221">
      <c r="A221">
        <f>IF($X221="","",INDEX('Per Line'!$C$2:$C$1501,$X221)&amp;"")</f>
        <v/>
      </c>
      <c r="B221" s="12" t="n"/>
      <c r="C221">
        <f>IF($X221="","",INDEX('Per Line'!$D$2:$D$1501,$X221)&amp;"")</f>
        <v/>
      </c>
      <c r="D221">
        <f>IF($X221="","",INDEX('Per Line'!$A$2:$A$1501,$X221))</f>
        <v/>
      </c>
      <c r="E221">
        <f>IF($X221="","",INDEX('Per Line'!$G$2:$G$1501,$X221)&amp;"")</f>
        <v/>
      </c>
      <c r="F221" s="11">
        <f>IF($X221="","",INDEX('Per Line'!$F$2:$F$1501,$X221))</f>
        <v/>
      </c>
      <c r="G221">
        <f>IF($X221="","",INDEX('Per Line'!$I$2:$I$1501,$X221)&amp;"")</f>
        <v/>
      </c>
      <c r="H221">
        <f>IF($X221="","",INDEX('Per Line'!$J$2:$J$1501,$X221)&amp;"")</f>
        <v/>
      </c>
      <c r="I221">
        <f>IF($X221="","",INDEX('Per Line'!$K$2:$K$1501,$X221)&amp;"")</f>
        <v/>
      </c>
      <c r="J221">
        <f>IF($X221="","",INDEX('Per Line'!$M$2:$M$1501,$X221))</f>
        <v/>
      </c>
      <c r="K221" s="7">
        <f>IF($X221="","",J221*V221/100)</f>
        <v/>
      </c>
      <c r="L221">
        <f>IF($X221="","",INDEX('Per Line'!$Y$2:$Y$1501,$X221)&amp;"")</f>
        <v/>
      </c>
      <c r="M221" s="7">
        <f>IF($X221="","",SUMIFS('Per Line'!$U$2:$U$1501,'Per Line'!$AJ$2:$AJ$1501,$A221&amp;"|"&amp;$C221,'Per Line'!$AN$2:$AN$1501,1))</f>
        <v/>
      </c>
      <c r="N221">
        <f>IF($X221="","",Settings!$C$7)</f>
        <v/>
      </c>
      <c r="O221" s="7">
        <f>IF($X221="","",SUMIFS('Per Line'!$U$2:$U$1501,'Per Line'!$AJ$2:$AJ$1501,$A221&amp;"|"&amp;$C221,'Per Line'!$AM$2:$AM$1501,0,'Per Line'!$AN$2:$AN$1501,0))</f>
        <v/>
      </c>
      <c r="P221" s="7">
        <f>IF($X221="","",O221*N221)</f>
        <v/>
      </c>
      <c r="Q221">
        <f>IF($X221="","",Settings!$C$6)</f>
        <v/>
      </c>
      <c r="R221" s="7">
        <f>IF($X221="","",SUMIFS('Per Line'!$U$2:$U$1501,'Per Line'!$AJ$2:$AJ$1501,$A221&amp;"|"&amp;$C221,'Per Line'!$AM$2:$AM$1501,1,'Per Line'!$AN$2:$AN$1501,0))</f>
        <v/>
      </c>
      <c r="S221" s="7">
        <f>IF($X221="","",R221*Q221)</f>
        <v/>
      </c>
      <c r="T221" s="7">
        <f>IF($X221="","",S221+P221)</f>
        <v/>
      </c>
      <c r="U221" s="7">
        <f>IF($X221="","",V221-T221)</f>
        <v/>
      </c>
      <c r="V221" s="7">
        <f>IF($X221="","",O221+R221+M221)</f>
        <v/>
      </c>
      <c r="W221" s="7">
        <f>IF($X221="","",V221-T221-K221)</f>
        <v/>
      </c>
      <c r="X221" s="13">
        <f>IF(ROWS($X$2:$X221)&lt;=MAX('Per Line'!$AL$2:$AL$1501),MATCH(ROWS($X$2:$X221),'Per Line'!$AL$2:$AL$1501,0),"")</f>
        <v/>
      </c>
    </row>
    <row r="222">
      <c r="A222">
        <f>IF($X222="","",INDEX('Per Line'!$C$2:$C$1501,$X222)&amp;"")</f>
        <v/>
      </c>
      <c r="B222" s="12" t="n"/>
      <c r="C222">
        <f>IF($X222="","",INDEX('Per Line'!$D$2:$D$1501,$X222)&amp;"")</f>
        <v/>
      </c>
      <c r="D222">
        <f>IF($X222="","",INDEX('Per Line'!$A$2:$A$1501,$X222))</f>
        <v/>
      </c>
      <c r="E222">
        <f>IF($X222="","",INDEX('Per Line'!$G$2:$G$1501,$X222)&amp;"")</f>
        <v/>
      </c>
      <c r="F222" s="11">
        <f>IF($X222="","",INDEX('Per Line'!$F$2:$F$1501,$X222))</f>
        <v/>
      </c>
      <c r="G222">
        <f>IF($X222="","",INDEX('Per Line'!$I$2:$I$1501,$X222)&amp;"")</f>
        <v/>
      </c>
      <c r="H222">
        <f>IF($X222="","",INDEX('Per Line'!$J$2:$J$1501,$X222)&amp;"")</f>
        <v/>
      </c>
      <c r="I222">
        <f>IF($X222="","",INDEX('Per Line'!$K$2:$K$1501,$X222)&amp;"")</f>
        <v/>
      </c>
      <c r="J222">
        <f>IF($X222="","",INDEX('Per Line'!$M$2:$M$1501,$X222))</f>
        <v/>
      </c>
      <c r="K222" s="7">
        <f>IF($X222="","",J222*V222/100)</f>
        <v/>
      </c>
      <c r="L222">
        <f>IF($X222="","",INDEX('Per Line'!$Y$2:$Y$1501,$X222)&amp;"")</f>
        <v/>
      </c>
      <c r="M222" s="7">
        <f>IF($X222="","",SUMIFS('Per Line'!$U$2:$U$1501,'Per Line'!$AJ$2:$AJ$1501,$A222&amp;"|"&amp;$C222,'Per Line'!$AN$2:$AN$1501,1))</f>
        <v/>
      </c>
      <c r="N222">
        <f>IF($X222="","",Settings!$C$7)</f>
        <v/>
      </c>
      <c r="O222" s="7">
        <f>IF($X222="","",SUMIFS('Per Line'!$U$2:$U$1501,'Per Line'!$AJ$2:$AJ$1501,$A222&amp;"|"&amp;$C222,'Per Line'!$AM$2:$AM$1501,0,'Per Line'!$AN$2:$AN$1501,0))</f>
        <v/>
      </c>
      <c r="P222" s="7">
        <f>IF($X222="","",O222*N222)</f>
        <v/>
      </c>
      <c r="Q222">
        <f>IF($X222="","",Settings!$C$6)</f>
        <v/>
      </c>
      <c r="R222" s="7">
        <f>IF($X222="","",SUMIFS('Per Line'!$U$2:$U$1501,'Per Line'!$AJ$2:$AJ$1501,$A222&amp;"|"&amp;$C222,'Per Line'!$AM$2:$AM$1501,1,'Per Line'!$AN$2:$AN$1501,0))</f>
        <v/>
      </c>
      <c r="S222" s="7">
        <f>IF($X222="","",R222*Q222)</f>
        <v/>
      </c>
      <c r="T222" s="7">
        <f>IF($X222="","",S222+P222)</f>
        <v/>
      </c>
      <c r="U222" s="7">
        <f>IF($X222="","",V222-T222)</f>
        <v/>
      </c>
      <c r="V222" s="7">
        <f>IF($X222="","",O222+R222+M222)</f>
        <v/>
      </c>
      <c r="W222" s="7">
        <f>IF($X222="","",V222-T222-K222)</f>
        <v/>
      </c>
      <c r="X222" s="13">
        <f>IF(ROWS($X$2:$X222)&lt;=MAX('Per Line'!$AL$2:$AL$1501),MATCH(ROWS($X$2:$X222),'Per Line'!$AL$2:$AL$1501,0),"")</f>
        <v/>
      </c>
    </row>
    <row r="223">
      <c r="A223">
        <f>IF($X223="","",INDEX('Per Line'!$C$2:$C$1501,$X223)&amp;"")</f>
        <v/>
      </c>
      <c r="B223" s="12" t="n"/>
      <c r="C223">
        <f>IF($X223="","",INDEX('Per Line'!$D$2:$D$1501,$X223)&amp;"")</f>
        <v/>
      </c>
      <c r="D223">
        <f>IF($X223="","",INDEX('Per Line'!$A$2:$A$1501,$X223))</f>
        <v/>
      </c>
      <c r="E223">
        <f>IF($X223="","",INDEX('Per Line'!$G$2:$G$1501,$X223)&amp;"")</f>
        <v/>
      </c>
      <c r="F223" s="11">
        <f>IF($X223="","",INDEX('Per Line'!$F$2:$F$1501,$X223))</f>
        <v/>
      </c>
      <c r="G223">
        <f>IF($X223="","",INDEX('Per Line'!$I$2:$I$1501,$X223)&amp;"")</f>
        <v/>
      </c>
      <c r="H223">
        <f>IF($X223="","",INDEX('Per Line'!$J$2:$J$1501,$X223)&amp;"")</f>
        <v/>
      </c>
      <c r="I223">
        <f>IF($X223="","",INDEX('Per Line'!$K$2:$K$1501,$X223)&amp;"")</f>
        <v/>
      </c>
      <c r="J223">
        <f>IF($X223="","",INDEX('Per Line'!$M$2:$M$1501,$X223))</f>
        <v/>
      </c>
      <c r="K223" s="7">
        <f>IF($X223="","",J223*V223/100)</f>
        <v/>
      </c>
      <c r="L223">
        <f>IF($X223="","",INDEX('Per Line'!$Y$2:$Y$1501,$X223)&amp;"")</f>
        <v/>
      </c>
      <c r="M223" s="7">
        <f>IF($X223="","",SUMIFS('Per Line'!$U$2:$U$1501,'Per Line'!$AJ$2:$AJ$1501,$A223&amp;"|"&amp;$C223,'Per Line'!$AN$2:$AN$1501,1))</f>
        <v/>
      </c>
      <c r="N223">
        <f>IF($X223="","",Settings!$C$7)</f>
        <v/>
      </c>
      <c r="O223" s="7">
        <f>IF($X223="","",SUMIFS('Per Line'!$U$2:$U$1501,'Per Line'!$AJ$2:$AJ$1501,$A223&amp;"|"&amp;$C223,'Per Line'!$AM$2:$AM$1501,0,'Per Line'!$AN$2:$AN$1501,0))</f>
        <v/>
      </c>
      <c r="P223" s="7">
        <f>IF($X223="","",O223*N223)</f>
        <v/>
      </c>
      <c r="Q223">
        <f>IF($X223="","",Settings!$C$6)</f>
        <v/>
      </c>
      <c r="R223" s="7">
        <f>IF($X223="","",SUMIFS('Per Line'!$U$2:$U$1501,'Per Line'!$AJ$2:$AJ$1501,$A223&amp;"|"&amp;$C223,'Per Line'!$AM$2:$AM$1501,1,'Per Line'!$AN$2:$AN$1501,0))</f>
        <v/>
      </c>
      <c r="S223" s="7">
        <f>IF($X223="","",R223*Q223)</f>
        <v/>
      </c>
      <c r="T223" s="7">
        <f>IF($X223="","",S223+P223)</f>
        <v/>
      </c>
      <c r="U223" s="7">
        <f>IF($X223="","",V223-T223)</f>
        <v/>
      </c>
      <c r="V223" s="7">
        <f>IF($X223="","",O223+R223+M223)</f>
        <v/>
      </c>
      <c r="W223" s="7">
        <f>IF($X223="","",V223-T223-K223)</f>
        <v/>
      </c>
      <c r="X223" s="13">
        <f>IF(ROWS($X$2:$X223)&lt;=MAX('Per Line'!$AL$2:$AL$1501),MATCH(ROWS($X$2:$X223),'Per Line'!$AL$2:$AL$1501,0),"")</f>
        <v/>
      </c>
    </row>
    <row r="224">
      <c r="A224">
        <f>IF($X224="","",INDEX('Per Line'!$C$2:$C$1501,$X224)&amp;"")</f>
        <v/>
      </c>
      <c r="B224" s="12" t="n"/>
      <c r="C224">
        <f>IF($X224="","",INDEX('Per Line'!$D$2:$D$1501,$X224)&amp;"")</f>
        <v/>
      </c>
      <c r="D224">
        <f>IF($X224="","",INDEX('Per Line'!$A$2:$A$1501,$X224))</f>
        <v/>
      </c>
      <c r="E224">
        <f>IF($X224="","",INDEX('Per Line'!$G$2:$G$1501,$X224)&amp;"")</f>
        <v/>
      </c>
      <c r="F224" s="11">
        <f>IF($X224="","",INDEX('Per Line'!$F$2:$F$1501,$X224))</f>
        <v/>
      </c>
      <c r="G224">
        <f>IF($X224="","",INDEX('Per Line'!$I$2:$I$1501,$X224)&amp;"")</f>
        <v/>
      </c>
      <c r="H224">
        <f>IF($X224="","",INDEX('Per Line'!$J$2:$J$1501,$X224)&amp;"")</f>
        <v/>
      </c>
      <c r="I224">
        <f>IF($X224="","",INDEX('Per Line'!$K$2:$K$1501,$X224)&amp;"")</f>
        <v/>
      </c>
      <c r="J224">
        <f>IF($X224="","",INDEX('Per Line'!$M$2:$M$1501,$X224))</f>
        <v/>
      </c>
      <c r="K224" s="7">
        <f>IF($X224="","",J224*V224/100)</f>
        <v/>
      </c>
      <c r="L224">
        <f>IF($X224="","",INDEX('Per Line'!$Y$2:$Y$1501,$X224)&amp;"")</f>
        <v/>
      </c>
      <c r="M224" s="7">
        <f>IF($X224="","",SUMIFS('Per Line'!$U$2:$U$1501,'Per Line'!$AJ$2:$AJ$1501,$A224&amp;"|"&amp;$C224,'Per Line'!$AN$2:$AN$1501,1))</f>
        <v/>
      </c>
      <c r="N224">
        <f>IF($X224="","",Settings!$C$7)</f>
        <v/>
      </c>
      <c r="O224" s="7">
        <f>IF($X224="","",SUMIFS('Per Line'!$U$2:$U$1501,'Per Line'!$AJ$2:$AJ$1501,$A224&amp;"|"&amp;$C224,'Per Line'!$AM$2:$AM$1501,0,'Per Line'!$AN$2:$AN$1501,0))</f>
        <v/>
      </c>
      <c r="P224" s="7">
        <f>IF($X224="","",O224*N224)</f>
        <v/>
      </c>
      <c r="Q224">
        <f>IF($X224="","",Settings!$C$6)</f>
        <v/>
      </c>
      <c r="R224" s="7">
        <f>IF($X224="","",SUMIFS('Per Line'!$U$2:$U$1501,'Per Line'!$AJ$2:$AJ$1501,$A224&amp;"|"&amp;$C224,'Per Line'!$AM$2:$AM$1501,1,'Per Line'!$AN$2:$AN$1501,0))</f>
        <v/>
      </c>
      <c r="S224" s="7">
        <f>IF($X224="","",R224*Q224)</f>
        <v/>
      </c>
      <c r="T224" s="7">
        <f>IF($X224="","",S224+P224)</f>
        <v/>
      </c>
      <c r="U224" s="7">
        <f>IF($X224="","",V224-T224)</f>
        <v/>
      </c>
      <c r="V224" s="7">
        <f>IF($X224="","",O224+R224+M224)</f>
        <v/>
      </c>
      <c r="W224" s="7">
        <f>IF($X224="","",V224-T224-K224)</f>
        <v/>
      </c>
      <c r="X224" s="13">
        <f>IF(ROWS($X$2:$X224)&lt;=MAX('Per Line'!$AL$2:$AL$1501),MATCH(ROWS($X$2:$X224),'Per Line'!$AL$2:$AL$1501,0),"")</f>
        <v/>
      </c>
    </row>
    <row r="225">
      <c r="A225">
        <f>IF($X225="","",INDEX('Per Line'!$C$2:$C$1501,$X225)&amp;"")</f>
        <v/>
      </c>
      <c r="B225" s="12" t="n"/>
      <c r="C225">
        <f>IF($X225="","",INDEX('Per Line'!$D$2:$D$1501,$X225)&amp;"")</f>
        <v/>
      </c>
      <c r="D225">
        <f>IF($X225="","",INDEX('Per Line'!$A$2:$A$1501,$X225))</f>
        <v/>
      </c>
      <c r="E225">
        <f>IF($X225="","",INDEX('Per Line'!$G$2:$G$1501,$X225)&amp;"")</f>
        <v/>
      </c>
      <c r="F225" s="11">
        <f>IF($X225="","",INDEX('Per Line'!$F$2:$F$1501,$X225))</f>
        <v/>
      </c>
      <c r="G225">
        <f>IF($X225="","",INDEX('Per Line'!$I$2:$I$1501,$X225)&amp;"")</f>
        <v/>
      </c>
      <c r="H225">
        <f>IF($X225="","",INDEX('Per Line'!$J$2:$J$1501,$X225)&amp;"")</f>
        <v/>
      </c>
      <c r="I225">
        <f>IF($X225="","",INDEX('Per Line'!$K$2:$K$1501,$X225)&amp;"")</f>
        <v/>
      </c>
      <c r="J225">
        <f>IF($X225="","",INDEX('Per Line'!$M$2:$M$1501,$X225))</f>
        <v/>
      </c>
      <c r="K225" s="7">
        <f>IF($X225="","",J225*V225/100)</f>
        <v/>
      </c>
      <c r="L225">
        <f>IF($X225="","",INDEX('Per Line'!$Y$2:$Y$1501,$X225)&amp;"")</f>
        <v/>
      </c>
      <c r="M225" s="7">
        <f>IF($X225="","",SUMIFS('Per Line'!$U$2:$U$1501,'Per Line'!$AJ$2:$AJ$1501,$A225&amp;"|"&amp;$C225,'Per Line'!$AN$2:$AN$1501,1))</f>
        <v/>
      </c>
      <c r="N225">
        <f>IF($X225="","",Settings!$C$7)</f>
        <v/>
      </c>
      <c r="O225" s="7">
        <f>IF($X225="","",SUMIFS('Per Line'!$U$2:$U$1501,'Per Line'!$AJ$2:$AJ$1501,$A225&amp;"|"&amp;$C225,'Per Line'!$AM$2:$AM$1501,0,'Per Line'!$AN$2:$AN$1501,0))</f>
        <v/>
      </c>
      <c r="P225" s="7">
        <f>IF($X225="","",O225*N225)</f>
        <v/>
      </c>
      <c r="Q225">
        <f>IF($X225="","",Settings!$C$6)</f>
        <v/>
      </c>
      <c r="R225" s="7">
        <f>IF($X225="","",SUMIFS('Per Line'!$U$2:$U$1501,'Per Line'!$AJ$2:$AJ$1501,$A225&amp;"|"&amp;$C225,'Per Line'!$AM$2:$AM$1501,1,'Per Line'!$AN$2:$AN$1501,0))</f>
        <v/>
      </c>
      <c r="S225" s="7">
        <f>IF($X225="","",R225*Q225)</f>
        <v/>
      </c>
      <c r="T225" s="7">
        <f>IF($X225="","",S225+P225)</f>
        <v/>
      </c>
      <c r="U225" s="7">
        <f>IF($X225="","",V225-T225)</f>
        <v/>
      </c>
      <c r="V225" s="7">
        <f>IF($X225="","",O225+R225+M225)</f>
        <v/>
      </c>
      <c r="W225" s="7">
        <f>IF($X225="","",V225-T225-K225)</f>
        <v/>
      </c>
      <c r="X225" s="13">
        <f>IF(ROWS($X$2:$X225)&lt;=MAX('Per Line'!$AL$2:$AL$1501),MATCH(ROWS($X$2:$X225),'Per Line'!$AL$2:$AL$1501,0),"")</f>
        <v/>
      </c>
    </row>
    <row r="226">
      <c r="A226">
        <f>IF($X226="","",INDEX('Per Line'!$C$2:$C$1501,$X226)&amp;"")</f>
        <v/>
      </c>
      <c r="B226" s="12" t="n"/>
      <c r="C226">
        <f>IF($X226="","",INDEX('Per Line'!$D$2:$D$1501,$X226)&amp;"")</f>
        <v/>
      </c>
      <c r="D226">
        <f>IF($X226="","",INDEX('Per Line'!$A$2:$A$1501,$X226))</f>
        <v/>
      </c>
      <c r="E226">
        <f>IF($X226="","",INDEX('Per Line'!$G$2:$G$1501,$X226)&amp;"")</f>
        <v/>
      </c>
      <c r="F226" s="11">
        <f>IF($X226="","",INDEX('Per Line'!$F$2:$F$1501,$X226))</f>
        <v/>
      </c>
      <c r="G226">
        <f>IF($X226="","",INDEX('Per Line'!$I$2:$I$1501,$X226)&amp;"")</f>
        <v/>
      </c>
      <c r="H226">
        <f>IF($X226="","",INDEX('Per Line'!$J$2:$J$1501,$X226)&amp;"")</f>
        <v/>
      </c>
      <c r="I226">
        <f>IF($X226="","",INDEX('Per Line'!$K$2:$K$1501,$X226)&amp;"")</f>
        <v/>
      </c>
      <c r="J226">
        <f>IF($X226="","",INDEX('Per Line'!$M$2:$M$1501,$X226))</f>
        <v/>
      </c>
      <c r="K226" s="7">
        <f>IF($X226="","",J226*V226/100)</f>
        <v/>
      </c>
      <c r="L226">
        <f>IF($X226="","",INDEX('Per Line'!$Y$2:$Y$1501,$X226)&amp;"")</f>
        <v/>
      </c>
      <c r="M226" s="7">
        <f>IF($X226="","",SUMIFS('Per Line'!$U$2:$U$1501,'Per Line'!$AJ$2:$AJ$1501,$A226&amp;"|"&amp;$C226,'Per Line'!$AN$2:$AN$1501,1))</f>
        <v/>
      </c>
      <c r="N226">
        <f>IF($X226="","",Settings!$C$7)</f>
        <v/>
      </c>
      <c r="O226" s="7">
        <f>IF($X226="","",SUMIFS('Per Line'!$U$2:$U$1501,'Per Line'!$AJ$2:$AJ$1501,$A226&amp;"|"&amp;$C226,'Per Line'!$AM$2:$AM$1501,0,'Per Line'!$AN$2:$AN$1501,0))</f>
        <v/>
      </c>
      <c r="P226" s="7">
        <f>IF($X226="","",O226*N226)</f>
        <v/>
      </c>
      <c r="Q226">
        <f>IF($X226="","",Settings!$C$6)</f>
        <v/>
      </c>
      <c r="R226" s="7">
        <f>IF($X226="","",SUMIFS('Per Line'!$U$2:$U$1501,'Per Line'!$AJ$2:$AJ$1501,$A226&amp;"|"&amp;$C226,'Per Line'!$AM$2:$AM$1501,1,'Per Line'!$AN$2:$AN$1501,0))</f>
        <v/>
      </c>
      <c r="S226" s="7">
        <f>IF($X226="","",R226*Q226)</f>
        <v/>
      </c>
      <c r="T226" s="7">
        <f>IF($X226="","",S226+P226)</f>
        <v/>
      </c>
      <c r="U226" s="7">
        <f>IF($X226="","",V226-T226)</f>
        <v/>
      </c>
      <c r="V226" s="7">
        <f>IF($X226="","",O226+R226+M226)</f>
        <v/>
      </c>
      <c r="W226" s="7">
        <f>IF($X226="","",V226-T226-K226)</f>
        <v/>
      </c>
      <c r="X226" s="13">
        <f>IF(ROWS($X$2:$X226)&lt;=MAX('Per Line'!$AL$2:$AL$1501),MATCH(ROWS($X$2:$X226),'Per Line'!$AL$2:$AL$1501,0),"")</f>
        <v/>
      </c>
    </row>
    <row r="227">
      <c r="A227">
        <f>IF($X227="","",INDEX('Per Line'!$C$2:$C$1501,$X227)&amp;"")</f>
        <v/>
      </c>
      <c r="B227" s="12" t="n"/>
      <c r="C227">
        <f>IF($X227="","",INDEX('Per Line'!$D$2:$D$1501,$X227)&amp;"")</f>
        <v/>
      </c>
      <c r="D227">
        <f>IF($X227="","",INDEX('Per Line'!$A$2:$A$1501,$X227))</f>
        <v/>
      </c>
      <c r="E227">
        <f>IF($X227="","",INDEX('Per Line'!$G$2:$G$1501,$X227)&amp;"")</f>
        <v/>
      </c>
      <c r="F227" s="11">
        <f>IF($X227="","",INDEX('Per Line'!$F$2:$F$1501,$X227))</f>
        <v/>
      </c>
      <c r="G227">
        <f>IF($X227="","",INDEX('Per Line'!$I$2:$I$1501,$X227)&amp;"")</f>
        <v/>
      </c>
      <c r="H227">
        <f>IF($X227="","",INDEX('Per Line'!$J$2:$J$1501,$X227)&amp;"")</f>
        <v/>
      </c>
      <c r="I227">
        <f>IF($X227="","",INDEX('Per Line'!$K$2:$K$1501,$X227)&amp;"")</f>
        <v/>
      </c>
      <c r="J227">
        <f>IF($X227="","",INDEX('Per Line'!$M$2:$M$1501,$X227))</f>
        <v/>
      </c>
      <c r="K227" s="7">
        <f>IF($X227="","",J227*V227/100)</f>
        <v/>
      </c>
      <c r="L227">
        <f>IF($X227="","",INDEX('Per Line'!$Y$2:$Y$1501,$X227)&amp;"")</f>
        <v/>
      </c>
      <c r="M227" s="7">
        <f>IF($X227="","",SUMIFS('Per Line'!$U$2:$U$1501,'Per Line'!$AJ$2:$AJ$1501,$A227&amp;"|"&amp;$C227,'Per Line'!$AN$2:$AN$1501,1))</f>
        <v/>
      </c>
      <c r="N227">
        <f>IF($X227="","",Settings!$C$7)</f>
        <v/>
      </c>
      <c r="O227" s="7">
        <f>IF($X227="","",SUMIFS('Per Line'!$U$2:$U$1501,'Per Line'!$AJ$2:$AJ$1501,$A227&amp;"|"&amp;$C227,'Per Line'!$AM$2:$AM$1501,0,'Per Line'!$AN$2:$AN$1501,0))</f>
        <v/>
      </c>
      <c r="P227" s="7">
        <f>IF($X227="","",O227*N227)</f>
        <v/>
      </c>
      <c r="Q227">
        <f>IF($X227="","",Settings!$C$6)</f>
        <v/>
      </c>
      <c r="R227" s="7">
        <f>IF($X227="","",SUMIFS('Per Line'!$U$2:$U$1501,'Per Line'!$AJ$2:$AJ$1501,$A227&amp;"|"&amp;$C227,'Per Line'!$AM$2:$AM$1501,1,'Per Line'!$AN$2:$AN$1501,0))</f>
        <v/>
      </c>
      <c r="S227" s="7">
        <f>IF($X227="","",R227*Q227)</f>
        <v/>
      </c>
      <c r="T227" s="7">
        <f>IF($X227="","",S227+P227)</f>
        <v/>
      </c>
      <c r="U227" s="7">
        <f>IF($X227="","",V227-T227)</f>
        <v/>
      </c>
      <c r="V227" s="7">
        <f>IF($X227="","",O227+R227+M227)</f>
        <v/>
      </c>
      <c r="W227" s="7">
        <f>IF($X227="","",V227-T227-K227)</f>
        <v/>
      </c>
      <c r="X227" s="13">
        <f>IF(ROWS($X$2:$X227)&lt;=MAX('Per Line'!$AL$2:$AL$1501),MATCH(ROWS($X$2:$X227),'Per Line'!$AL$2:$AL$1501,0),"")</f>
        <v/>
      </c>
    </row>
    <row r="228">
      <c r="A228">
        <f>IF($X228="","",INDEX('Per Line'!$C$2:$C$1501,$X228)&amp;"")</f>
        <v/>
      </c>
      <c r="B228" s="12" t="n"/>
      <c r="C228">
        <f>IF($X228="","",INDEX('Per Line'!$D$2:$D$1501,$X228)&amp;"")</f>
        <v/>
      </c>
      <c r="D228">
        <f>IF($X228="","",INDEX('Per Line'!$A$2:$A$1501,$X228))</f>
        <v/>
      </c>
      <c r="E228">
        <f>IF($X228="","",INDEX('Per Line'!$G$2:$G$1501,$X228)&amp;"")</f>
        <v/>
      </c>
      <c r="F228" s="11">
        <f>IF($X228="","",INDEX('Per Line'!$F$2:$F$1501,$X228))</f>
        <v/>
      </c>
      <c r="G228">
        <f>IF($X228="","",INDEX('Per Line'!$I$2:$I$1501,$X228)&amp;"")</f>
        <v/>
      </c>
      <c r="H228">
        <f>IF($X228="","",INDEX('Per Line'!$J$2:$J$1501,$X228)&amp;"")</f>
        <v/>
      </c>
      <c r="I228">
        <f>IF($X228="","",INDEX('Per Line'!$K$2:$K$1501,$X228)&amp;"")</f>
        <v/>
      </c>
      <c r="J228">
        <f>IF($X228="","",INDEX('Per Line'!$M$2:$M$1501,$X228))</f>
        <v/>
      </c>
      <c r="K228" s="7">
        <f>IF($X228="","",J228*V228/100)</f>
        <v/>
      </c>
      <c r="L228">
        <f>IF($X228="","",INDEX('Per Line'!$Y$2:$Y$1501,$X228)&amp;"")</f>
        <v/>
      </c>
      <c r="M228" s="7">
        <f>IF($X228="","",SUMIFS('Per Line'!$U$2:$U$1501,'Per Line'!$AJ$2:$AJ$1501,$A228&amp;"|"&amp;$C228,'Per Line'!$AN$2:$AN$1501,1))</f>
        <v/>
      </c>
      <c r="N228">
        <f>IF($X228="","",Settings!$C$7)</f>
        <v/>
      </c>
      <c r="O228" s="7">
        <f>IF($X228="","",SUMIFS('Per Line'!$U$2:$U$1501,'Per Line'!$AJ$2:$AJ$1501,$A228&amp;"|"&amp;$C228,'Per Line'!$AM$2:$AM$1501,0,'Per Line'!$AN$2:$AN$1501,0))</f>
        <v/>
      </c>
      <c r="P228" s="7">
        <f>IF($X228="","",O228*N228)</f>
        <v/>
      </c>
      <c r="Q228">
        <f>IF($X228="","",Settings!$C$6)</f>
        <v/>
      </c>
      <c r="R228" s="7">
        <f>IF($X228="","",SUMIFS('Per Line'!$U$2:$U$1501,'Per Line'!$AJ$2:$AJ$1501,$A228&amp;"|"&amp;$C228,'Per Line'!$AM$2:$AM$1501,1,'Per Line'!$AN$2:$AN$1501,0))</f>
        <v/>
      </c>
      <c r="S228" s="7">
        <f>IF($X228="","",R228*Q228)</f>
        <v/>
      </c>
      <c r="T228" s="7">
        <f>IF($X228="","",S228+P228)</f>
        <v/>
      </c>
      <c r="U228" s="7">
        <f>IF($X228="","",V228-T228)</f>
        <v/>
      </c>
      <c r="V228" s="7">
        <f>IF($X228="","",O228+R228+M228)</f>
        <v/>
      </c>
      <c r="W228" s="7">
        <f>IF($X228="","",V228-T228-K228)</f>
        <v/>
      </c>
      <c r="X228" s="13">
        <f>IF(ROWS($X$2:$X228)&lt;=MAX('Per Line'!$AL$2:$AL$1501),MATCH(ROWS($X$2:$X228),'Per Line'!$AL$2:$AL$1501,0),"")</f>
        <v/>
      </c>
    </row>
    <row r="229">
      <c r="A229">
        <f>IF($X229="","",INDEX('Per Line'!$C$2:$C$1501,$X229)&amp;"")</f>
        <v/>
      </c>
      <c r="B229" s="12" t="n"/>
      <c r="C229">
        <f>IF($X229="","",INDEX('Per Line'!$D$2:$D$1501,$X229)&amp;"")</f>
        <v/>
      </c>
      <c r="D229">
        <f>IF($X229="","",INDEX('Per Line'!$A$2:$A$1501,$X229))</f>
        <v/>
      </c>
      <c r="E229">
        <f>IF($X229="","",INDEX('Per Line'!$G$2:$G$1501,$X229)&amp;"")</f>
        <v/>
      </c>
      <c r="F229" s="11">
        <f>IF($X229="","",INDEX('Per Line'!$F$2:$F$1501,$X229))</f>
        <v/>
      </c>
      <c r="G229">
        <f>IF($X229="","",INDEX('Per Line'!$I$2:$I$1501,$X229)&amp;"")</f>
        <v/>
      </c>
      <c r="H229">
        <f>IF($X229="","",INDEX('Per Line'!$J$2:$J$1501,$X229)&amp;"")</f>
        <v/>
      </c>
      <c r="I229">
        <f>IF($X229="","",INDEX('Per Line'!$K$2:$K$1501,$X229)&amp;"")</f>
        <v/>
      </c>
      <c r="J229">
        <f>IF($X229="","",INDEX('Per Line'!$M$2:$M$1501,$X229))</f>
        <v/>
      </c>
      <c r="K229" s="7">
        <f>IF($X229="","",J229*V229/100)</f>
        <v/>
      </c>
      <c r="L229">
        <f>IF($X229="","",INDEX('Per Line'!$Y$2:$Y$1501,$X229)&amp;"")</f>
        <v/>
      </c>
      <c r="M229" s="7">
        <f>IF($X229="","",SUMIFS('Per Line'!$U$2:$U$1501,'Per Line'!$AJ$2:$AJ$1501,$A229&amp;"|"&amp;$C229,'Per Line'!$AN$2:$AN$1501,1))</f>
        <v/>
      </c>
      <c r="N229">
        <f>IF($X229="","",Settings!$C$7)</f>
        <v/>
      </c>
      <c r="O229" s="7">
        <f>IF($X229="","",SUMIFS('Per Line'!$U$2:$U$1501,'Per Line'!$AJ$2:$AJ$1501,$A229&amp;"|"&amp;$C229,'Per Line'!$AM$2:$AM$1501,0,'Per Line'!$AN$2:$AN$1501,0))</f>
        <v/>
      </c>
      <c r="P229" s="7">
        <f>IF($X229="","",O229*N229)</f>
        <v/>
      </c>
      <c r="Q229">
        <f>IF($X229="","",Settings!$C$6)</f>
        <v/>
      </c>
      <c r="R229" s="7">
        <f>IF($X229="","",SUMIFS('Per Line'!$U$2:$U$1501,'Per Line'!$AJ$2:$AJ$1501,$A229&amp;"|"&amp;$C229,'Per Line'!$AM$2:$AM$1501,1,'Per Line'!$AN$2:$AN$1501,0))</f>
        <v/>
      </c>
      <c r="S229" s="7">
        <f>IF($X229="","",R229*Q229)</f>
        <v/>
      </c>
      <c r="T229" s="7">
        <f>IF($X229="","",S229+P229)</f>
        <v/>
      </c>
      <c r="U229" s="7">
        <f>IF($X229="","",V229-T229)</f>
        <v/>
      </c>
      <c r="V229" s="7">
        <f>IF($X229="","",O229+R229+M229)</f>
        <v/>
      </c>
      <c r="W229" s="7">
        <f>IF($X229="","",V229-T229-K229)</f>
        <v/>
      </c>
      <c r="X229" s="13">
        <f>IF(ROWS($X$2:$X229)&lt;=MAX('Per Line'!$AL$2:$AL$1501),MATCH(ROWS($X$2:$X229),'Per Line'!$AL$2:$AL$1501,0),"")</f>
        <v/>
      </c>
    </row>
    <row r="230">
      <c r="A230">
        <f>IF($X230="","",INDEX('Per Line'!$C$2:$C$1501,$X230)&amp;"")</f>
        <v/>
      </c>
      <c r="B230" s="12" t="n"/>
      <c r="C230">
        <f>IF($X230="","",INDEX('Per Line'!$D$2:$D$1501,$X230)&amp;"")</f>
        <v/>
      </c>
      <c r="D230">
        <f>IF($X230="","",INDEX('Per Line'!$A$2:$A$1501,$X230))</f>
        <v/>
      </c>
      <c r="E230">
        <f>IF($X230="","",INDEX('Per Line'!$G$2:$G$1501,$X230)&amp;"")</f>
        <v/>
      </c>
      <c r="F230" s="11">
        <f>IF($X230="","",INDEX('Per Line'!$F$2:$F$1501,$X230))</f>
        <v/>
      </c>
      <c r="G230">
        <f>IF($X230="","",INDEX('Per Line'!$I$2:$I$1501,$X230)&amp;"")</f>
        <v/>
      </c>
      <c r="H230">
        <f>IF($X230="","",INDEX('Per Line'!$J$2:$J$1501,$X230)&amp;"")</f>
        <v/>
      </c>
      <c r="I230">
        <f>IF($X230="","",INDEX('Per Line'!$K$2:$K$1501,$X230)&amp;"")</f>
        <v/>
      </c>
      <c r="J230">
        <f>IF($X230="","",INDEX('Per Line'!$M$2:$M$1501,$X230))</f>
        <v/>
      </c>
      <c r="K230" s="7">
        <f>IF($X230="","",J230*V230/100)</f>
        <v/>
      </c>
      <c r="L230">
        <f>IF($X230="","",INDEX('Per Line'!$Y$2:$Y$1501,$X230)&amp;"")</f>
        <v/>
      </c>
      <c r="M230" s="7">
        <f>IF($X230="","",SUMIFS('Per Line'!$U$2:$U$1501,'Per Line'!$AJ$2:$AJ$1501,$A230&amp;"|"&amp;$C230,'Per Line'!$AN$2:$AN$1501,1))</f>
        <v/>
      </c>
      <c r="N230">
        <f>IF($X230="","",Settings!$C$7)</f>
        <v/>
      </c>
      <c r="O230" s="7">
        <f>IF($X230="","",SUMIFS('Per Line'!$U$2:$U$1501,'Per Line'!$AJ$2:$AJ$1501,$A230&amp;"|"&amp;$C230,'Per Line'!$AM$2:$AM$1501,0,'Per Line'!$AN$2:$AN$1501,0))</f>
        <v/>
      </c>
      <c r="P230" s="7">
        <f>IF($X230="","",O230*N230)</f>
        <v/>
      </c>
      <c r="Q230">
        <f>IF($X230="","",Settings!$C$6)</f>
        <v/>
      </c>
      <c r="R230" s="7">
        <f>IF($X230="","",SUMIFS('Per Line'!$U$2:$U$1501,'Per Line'!$AJ$2:$AJ$1501,$A230&amp;"|"&amp;$C230,'Per Line'!$AM$2:$AM$1501,1,'Per Line'!$AN$2:$AN$1501,0))</f>
        <v/>
      </c>
      <c r="S230" s="7">
        <f>IF($X230="","",R230*Q230)</f>
        <v/>
      </c>
      <c r="T230" s="7">
        <f>IF($X230="","",S230+P230)</f>
        <v/>
      </c>
      <c r="U230" s="7">
        <f>IF($X230="","",V230-T230)</f>
        <v/>
      </c>
      <c r="V230" s="7">
        <f>IF($X230="","",O230+R230+M230)</f>
        <v/>
      </c>
      <c r="W230" s="7">
        <f>IF($X230="","",V230-T230-K230)</f>
        <v/>
      </c>
      <c r="X230" s="13">
        <f>IF(ROWS($X$2:$X230)&lt;=MAX('Per Line'!$AL$2:$AL$1501),MATCH(ROWS($X$2:$X230),'Per Line'!$AL$2:$AL$1501,0),"")</f>
        <v/>
      </c>
    </row>
    <row r="231">
      <c r="A231">
        <f>IF($X231="","",INDEX('Per Line'!$C$2:$C$1501,$X231)&amp;"")</f>
        <v/>
      </c>
      <c r="B231" s="12" t="n"/>
      <c r="C231">
        <f>IF($X231="","",INDEX('Per Line'!$D$2:$D$1501,$X231)&amp;"")</f>
        <v/>
      </c>
      <c r="D231">
        <f>IF($X231="","",INDEX('Per Line'!$A$2:$A$1501,$X231))</f>
        <v/>
      </c>
      <c r="E231">
        <f>IF($X231="","",INDEX('Per Line'!$G$2:$G$1501,$X231)&amp;"")</f>
        <v/>
      </c>
      <c r="F231" s="11">
        <f>IF($X231="","",INDEX('Per Line'!$F$2:$F$1501,$X231))</f>
        <v/>
      </c>
      <c r="G231">
        <f>IF($X231="","",INDEX('Per Line'!$I$2:$I$1501,$X231)&amp;"")</f>
        <v/>
      </c>
      <c r="H231">
        <f>IF($X231="","",INDEX('Per Line'!$J$2:$J$1501,$X231)&amp;"")</f>
        <v/>
      </c>
      <c r="I231">
        <f>IF($X231="","",INDEX('Per Line'!$K$2:$K$1501,$X231)&amp;"")</f>
        <v/>
      </c>
      <c r="J231">
        <f>IF($X231="","",INDEX('Per Line'!$M$2:$M$1501,$X231))</f>
        <v/>
      </c>
      <c r="K231" s="7">
        <f>IF($X231="","",J231*V231/100)</f>
        <v/>
      </c>
      <c r="L231">
        <f>IF($X231="","",INDEX('Per Line'!$Y$2:$Y$1501,$X231)&amp;"")</f>
        <v/>
      </c>
      <c r="M231" s="7">
        <f>IF($X231="","",SUMIFS('Per Line'!$U$2:$U$1501,'Per Line'!$AJ$2:$AJ$1501,$A231&amp;"|"&amp;$C231,'Per Line'!$AN$2:$AN$1501,1))</f>
        <v/>
      </c>
      <c r="N231">
        <f>IF($X231="","",Settings!$C$7)</f>
        <v/>
      </c>
      <c r="O231" s="7">
        <f>IF($X231="","",SUMIFS('Per Line'!$U$2:$U$1501,'Per Line'!$AJ$2:$AJ$1501,$A231&amp;"|"&amp;$C231,'Per Line'!$AM$2:$AM$1501,0,'Per Line'!$AN$2:$AN$1501,0))</f>
        <v/>
      </c>
      <c r="P231" s="7">
        <f>IF($X231="","",O231*N231)</f>
        <v/>
      </c>
      <c r="Q231">
        <f>IF($X231="","",Settings!$C$6)</f>
        <v/>
      </c>
      <c r="R231" s="7">
        <f>IF($X231="","",SUMIFS('Per Line'!$U$2:$U$1501,'Per Line'!$AJ$2:$AJ$1501,$A231&amp;"|"&amp;$C231,'Per Line'!$AM$2:$AM$1501,1,'Per Line'!$AN$2:$AN$1501,0))</f>
        <v/>
      </c>
      <c r="S231" s="7">
        <f>IF($X231="","",R231*Q231)</f>
        <v/>
      </c>
      <c r="T231" s="7">
        <f>IF($X231="","",S231+P231)</f>
        <v/>
      </c>
      <c r="U231" s="7">
        <f>IF($X231="","",V231-T231)</f>
        <v/>
      </c>
      <c r="V231" s="7">
        <f>IF($X231="","",O231+R231+M231)</f>
        <v/>
      </c>
      <c r="W231" s="7">
        <f>IF($X231="","",V231-T231-K231)</f>
        <v/>
      </c>
      <c r="X231" s="13">
        <f>IF(ROWS($X$2:$X231)&lt;=MAX('Per Line'!$AL$2:$AL$1501),MATCH(ROWS($X$2:$X231),'Per Line'!$AL$2:$AL$1501,0),"")</f>
        <v/>
      </c>
    </row>
    <row r="232">
      <c r="A232">
        <f>IF($X232="","",INDEX('Per Line'!$C$2:$C$1501,$X232)&amp;"")</f>
        <v/>
      </c>
      <c r="B232" s="12" t="n"/>
      <c r="C232">
        <f>IF($X232="","",INDEX('Per Line'!$D$2:$D$1501,$X232)&amp;"")</f>
        <v/>
      </c>
      <c r="D232">
        <f>IF($X232="","",INDEX('Per Line'!$A$2:$A$1501,$X232))</f>
        <v/>
      </c>
      <c r="E232">
        <f>IF($X232="","",INDEX('Per Line'!$G$2:$G$1501,$X232)&amp;"")</f>
        <v/>
      </c>
      <c r="F232" s="11">
        <f>IF($X232="","",INDEX('Per Line'!$F$2:$F$1501,$X232))</f>
        <v/>
      </c>
      <c r="G232">
        <f>IF($X232="","",INDEX('Per Line'!$I$2:$I$1501,$X232)&amp;"")</f>
        <v/>
      </c>
      <c r="H232">
        <f>IF($X232="","",INDEX('Per Line'!$J$2:$J$1501,$X232)&amp;"")</f>
        <v/>
      </c>
      <c r="I232">
        <f>IF($X232="","",INDEX('Per Line'!$K$2:$K$1501,$X232)&amp;"")</f>
        <v/>
      </c>
      <c r="J232">
        <f>IF($X232="","",INDEX('Per Line'!$M$2:$M$1501,$X232))</f>
        <v/>
      </c>
      <c r="K232" s="7">
        <f>IF($X232="","",J232*V232/100)</f>
        <v/>
      </c>
      <c r="L232">
        <f>IF($X232="","",INDEX('Per Line'!$Y$2:$Y$1501,$X232)&amp;"")</f>
        <v/>
      </c>
      <c r="M232" s="7">
        <f>IF($X232="","",SUMIFS('Per Line'!$U$2:$U$1501,'Per Line'!$AJ$2:$AJ$1501,$A232&amp;"|"&amp;$C232,'Per Line'!$AN$2:$AN$1501,1))</f>
        <v/>
      </c>
      <c r="N232">
        <f>IF($X232="","",Settings!$C$7)</f>
        <v/>
      </c>
      <c r="O232" s="7">
        <f>IF($X232="","",SUMIFS('Per Line'!$U$2:$U$1501,'Per Line'!$AJ$2:$AJ$1501,$A232&amp;"|"&amp;$C232,'Per Line'!$AM$2:$AM$1501,0,'Per Line'!$AN$2:$AN$1501,0))</f>
        <v/>
      </c>
      <c r="P232" s="7">
        <f>IF($X232="","",O232*N232)</f>
        <v/>
      </c>
      <c r="Q232">
        <f>IF($X232="","",Settings!$C$6)</f>
        <v/>
      </c>
      <c r="R232" s="7">
        <f>IF($X232="","",SUMIFS('Per Line'!$U$2:$U$1501,'Per Line'!$AJ$2:$AJ$1501,$A232&amp;"|"&amp;$C232,'Per Line'!$AM$2:$AM$1501,1,'Per Line'!$AN$2:$AN$1501,0))</f>
        <v/>
      </c>
      <c r="S232" s="7">
        <f>IF($X232="","",R232*Q232)</f>
        <v/>
      </c>
      <c r="T232" s="7">
        <f>IF($X232="","",S232+P232)</f>
        <v/>
      </c>
      <c r="U232" s="7">
        <f>IF($X232="","",V232-T232)</f>
        <v/>
      </c>
      <c r="V232" s="7">
        <f>IF($X232="","",O232+R232+M232)</f>
        <v/>
      </c>
      <c r="W232" s="7">
        <f>IF($X232="","",V232-T232-K232)</f>
        <v/>
      </c>
      <c r="X232" s="13">
        <f>IF(ROWS($X$2:$X232)&lt;=MAX('Per Line'!$AL$2:$AL$1501),MATCH(ROWS($X$2:$X232),'Per Line'!$AL$2:$AL$1501,0),"")</f>
        <v/>
      </c>
    </row>
    <row r="233">
      <c r="A233">
        <f>IF($X233="","",INDEX('Per Line'!$C$2:$C$1501,$X233)&amp;"")</f>
        <v/>
      </c>
      <c r="B233" s="12" t="n"/>
      <c r="C233">
        <f>IF($X233="","",INDEX('Per Line'!$D$2:$D$1501,$X233)&amp;"")</f>
        <v/>
      </c>
      <c r="D233">
        <f>IF($X233="","",INDEX('Per Line'!$A$2:$A$1501,$X233))</f>
        <v/>
      </c>
      <c r="E233">
        <f>IF($X233="","",INDEX('Per Line'!$G$2:$G$1501,$X233)&amp;"")</f>
        <v/>
      </c>
      <c r="F233" s="11">
        <f>IF($X233="","",INDEX('Per Line'!$F$2:$F$1501,$X233))</f>
        <v/>
      </c>
      <c r="G233">
        <f>IF($X233="","",INDEX('Per Line'!$I$2:$I$1501,$X233)&amp;"")</f>
        <v/>
      </c>
      <c r="H233">
        <f>IF($X233="","",INDEX('Per Line'!$J$2:$J$1501,$X233)&amp;"")</f>
        <v/>
      </c>
      <c r="I233">
        <f>IF($X233="","",INDEX('Per Line'!$K$2:$K$1501,$X233)&amp;"")</f>
        <v/>
      </c>
      <c r="J233">
        <f>IF($X233="","",INDEX('Per Line'!$M$2:$M$1501,$X233))</f>
        <v/>
      </c>
      <c r="K233" s="7">
        <f>IF($X233="","",J233*V233/100)</f>
        <v/>
      </c>
      <c r="L233">
        <f>IF($X233="","",INDEX('Per Line'!$Y$2:$Y$1501,$X233)&amp;"")</f>
        <v/>
      </c>
      <c r="M233" s="7">
        <f>IF($X233="","",SUMIFS('Per Line'!$U$2:$U$1501,'Per Line'!$AJ$2:$AJ$1501,$A233&amp;"|"&amp;$C233,'Per Line'!$AN$2:$AN$1501,1))</f>
        <v/>
      </c>
      <c r="N233">
        <f>IF($X233="","",Settings!$C$7)</f>
        <v/>
      </c>
      <c r="O233" s="7">
        <f>IF($X233="","",SUMIFS('Per Line'!$U$2:$U$1501,'Per Line'!$AJ$2:$AJ$1501,$A233&amp;"|"&amp;$C233,'Per Line'!$AM$2:$AM$1501,0,'Per Line'!$AN$2:$AN$1501,0))</f>
        <v/>
      </c>
      <c r="P233" s="7">
        <f>IF($X233="","",O233*N233)</f>
        <v/>
      </c>
      <c r="Q233">
        <f>IF($X233="","",Settings!$C$6)</f>
        <v/>
      </c>
      <c r="R233" s="7">
        <f>IF($X233="","",SUMIFS('Per Line'!$U$2:$U$1501,'Per Line'!$AJ$2:$AJ$1501,$A233&amp;"|"&amp;$C233,'Per Line'!$AM$2:$AM$1501,1,'Per Line'!$AN$2:$AN$1501,0))</f>
        <v/>
      </c>
      <c r="S233" s="7">
        <f>IF($X233="","",R233*Q233)</f>
        <v/>
      </c>
      <c r="T233" s="7">
        <f>IF($X233="","",S233+P233)</f>
        <v/>
      </c>
      <c r="U233" s="7">
        <f>IF($X233="","",V233-T233)</f>
        <v/>
      </c>
      <c r="V233" s="7">
        <f>IF($X233="","",O233+R233+M233)</f>
        <v/>
      </c>
      <c r="W233" s="7">
        <f>IF($X233="","",V233-T233-K233)</f>
        <v/>
      </c>
      <c r="X233" s="13">
        <f>IF(ROWS($X$2:$X233)&lt;=MAX('Per Line'!$AL$2:$AL$1501),MATCH(ROWS($X$2:$X233),'Per Line'!$AL$2:$AL$1501,0),"")</f>
        <v/>
      </c>
    </row>
    <row r="234">
      <c r="A234">
        <f>IF($X234="","",INDEX('Per Line'!$C$2:$C$1501,$X234)&amp;"")</f>
        <v/>
      </c>
      <c r="B234" s="12" t="n"/>
      <c r="C234">
        <f>IF($X234="","",INDEX('Per Line'!$D$2:$D$1501,$X234)&amp;"")</f>
        <v/>
      </c>
      <c r="D234">
        <f>IF($X234="","",INDEX('Per Line'!$A$2:$A$1501,$X234))</f>
        <v/>
      </c>
      <c r="E234">
        <f>IF($X234="","",INDEX('Per Line'!$G$2:$G$1501,$X234)&amp;"")</f>
        <v/>
      </c>
      <c r="F234" s="11">
        <f>IF($X234="","",INDEX('Per Line'!$F$2:$F$1501,$X234))</f>
        <v/>
      </c>
      <c r="G234">
        <f>IF($X234="","",INDEX('Per Line'!$I$2:$I$1501,$X234)&amp;"")</f>
        <v/>
      </c>
      <c r="H234">
        <f>IF($X234="","",INDEX('Per Line'!$J$2:$J$1501,$X234)&amp;"")</f>
        <v/>
      </c>
      <c r="I234">
        <f>IF($X234="","",INDEX('Per Line'!$K$2:$K$1501,$X234)&amp;"")</f>
        <v/>
      </c>
      <c r="J234">
        <f>IF($X234="","",INDEX('Per Line'!$M$2:$M$1501,$X234))</f>
        <v/>
      </c>
      <c r="K234" s="7">
        <f>IF($X234="","",J234*V234/100)</f>
        <v/>
      </c>
      <c r="L234">
        <f>IF($X234="","",INDEX('Per Line'!$Y$2:$Y$1501,$X234)&amp;"")</f>
        <v/>
      </c>
      <c r="M234" s="7">
        <f>IF($X234="","",SUMIFS('Per Line'!$U$2:$U$1501,'Per Line'!$AJ$2:$AJ$1501,$A234&amp;"|"&amp;$C234,'Per Line'!$AN$2:$AN$1501,1))</f>
        <v/>
      </c>
      <c r="N234">
        <f>IF($X234="","",Settings!$C$7)</f>
        <v/>
      </c>
      <c r="O234" s="7">
        <f>IF($X234="","",SUMIFS('Per Line'!$U$2:$U$1501,'Per Line'!$AJ$2:$AJ$1501,$A234&amp;"|"&amp;$C234,'Per Line'!$AM$2:$AM$1501,0,'Per Line'!$AN$2:$AN$1501,0))</f>
        <v/>
      </c>
      <c r="P234" s="7">
        <f>IF($X234="","",O234*N234)</f>
        <v/>
      </c>
      <c r="Q234">
        <f>IF($X234="","",Settings!$C$6)</f>
        <v/>
      </c>
      <c r="R234" s="7">
        <f>IF($X234="","",SUMIFS('Per Line'!$U$2:$U$1501,'Per Line'!$AJ$2:$AJ$1501,$A234&amp;"|"&amp;$C234,'Per Line'!$AM$2:$AM$1501,1,'Per Line'!$AN$2:$AN$1501,0))</f>
        <v/>
      </c>
      <c r="S234" s="7">
        <f>IF($X234="","",R234*Q234)</f>
        <v/>
      </c>
      <c r="T234" s="7">
        <f>IF($X234="","",S234+P234)</f>
        <v/>
      </c>
      <c r="U234" s="7">
        <f>IF($X234="","",V234-T234)</f>
        <v/>
      </c>
      <c r="V234" s="7">
        <f>IF($X234="","",O234+R234+M234)</f>
        <v/>
      </c>
      <c r="W234" s="7">
        <f>IF($X234="","",V234-T234-K234)</f>
        <v/>
      </c>
      <c r="X234" s="13">
        <f>IF(ROWS($X$2:$X234)&lt;=MAX('Per Line'!$AL$2:$AL$1501),MATCH(ROWS($X$2:$X234),'Per Line'!$AL$2:$AL$1501,0),"")</f>
        <v/>
      </c>
    </row>
    <row r="235">
      <c r="A235">
        <f>IF($X235="","",INDEX('Per Line'!$C$2:$C$1501,$X235)&amp;"")</f>
        <v/>
      </c>
      <c r="B235" s="12" t="n"/>
      <c r="C235">
        <f>IF($X235="","",INDEX('Per Line'!$D$2:$D$1501,$X235)&amp;"")</f>
        <v/>
      </c>
      <c r="D235">
        <f>IF($X235="","",INDEX('Per Line'!$A$2:$A$1501,$X235))</f>
        <v/>
      </c>
      <c r="E235">
        <f>IF($X235="","",INDEX('Per Line'!$G$2:$G$1501,$X235)&amp;"")</f>
        <v/>
      </c>
      <c r="F235" s="11">
        <f>IF($X235="","",INDEX('Per Line'!$F$2:$F$1501,$X235))</f>
        <v/>
      </c>
      <c r="G235">
        <f>IF($X235="","",INDEX('Per Line'!$I$2:$I$1501,$X235)&amp;"")</f>
        <v/>
      </c>
      <c r="H235">
        <f>IF($X235="","",INDEX('Per Line'!$J$2:$J$1501,$X235)&amp;"")</f>
        <v/>
      </c>
      <c r="I235">
        <f>IF($X235="","",INDEX('Per Line'!$K$2:$K$1501,$X235)&amp;"")</f>
        <v/>
      </c>
      <c r="J235">
        <f>IF($X235="","",INDEX('Per Line'!$M$2:$M$1501,$X235))</f>
        <v/>
      </c>
      <c r="K235" s="7">
        <f>IF($X235="","",J235*V235/100)</f>
        <v/>
      </c>
      <c r="L235">
        <f>IF($X235="","",INDEX('Per Line'!$Y$2:$Y$1501,$X235)&amp;"")</f>
        <v/>
      </c>
      <c r="M235" s="7">
        <f>IF($X235="","",SUMIFS('Per Line'!$U$2:$U$1501,'Per Line'!$AJ$2:$AJ$1501,$A235&amp;"|"&amp;$C235,'Per Line'!$AN$2:$AN$1501,1))</f>
        <v/>
      </c>
      <c r="N235">
        <f>IF($X235="","",Settings!$C$7)</f>
        <v/>
      </c>
      <c r="O235" s="7">
        <f>IF($X235="","",SUMIFS('Per Line'!$U$2:$U$1501,'Per Line'!$AJ$2:$AJ$1501,$A235&amp;"|"&amp;$C235,'Per Line'!$AM$2:$AM$1501,0,'Per Line'!$AN$2:$AN$1501,0))</f>
        <v/>
      </c>
      <c r="P235" s="7">
        <f>IF($X235="","",O235*N235)</f>
        <v/>
      </c>
      <c r="Q235">
        <f>IF($X235="","",Settings!$C$6)</f>
        <v/>
      </c>
      <c r="R235" s="7">
        <f>IF($X235="","",SUMIFS('Per Line'!$U$2:$U$1501,'Per Line'!$AJ$2:$AJ$1501,$A235&amp;"|"&amp;$C235,'Per Line'!$AM$2:$AM$1501,1,'Per Line'!$AN$2:$AN$1501,0))</f>
        <v/>
      </c>
      <c r="S235" s="7">
        <f>IF($X235="","",R235*Q235)</f>
        <v/>
      </c>
      <c r="T235" s="7">
        <f>IF($X235="","",S235+P235)</f>
        <v/>
      </c>
      <c r="U235" s="7">
        <f>IF($X235="","",V235-T235)</f>
        <v/>
      </c>
      <c r="V235" s="7">
        <f>IF($X235="","",O235+R235+M235)</f>
        <v/>
      </c>
      <c r="W235" s="7">
        <f>IF($X235="","",V235-T235-K235)</f>
        <v/>
      </c>
      <c r="X235" s="13">
        <f>IF(ROWS($X$2:$X235)&lt;=MAX('Per Line'!$AL$2:$AL$1501),MATCH(ROWS($X$2:$X235),'Per Line'!$AL$2:$AL$1501,0),"")</f>
        <v/>
      </c>
    </row>
    <row r="236">
      <c r="A236">
        <f>IF($X236="","",INDEX('Per Line'!$C$2:$C$1501,$X236)&amp;"")</f>
        <v/>
      </c>
      <c r="B236" s="12" t="n"/>
      <c r="C236">
        <f>IF($X236="","",INDEX('Per Line'!$D$2:$D$1501,$X236)&amp;"")</f>
        <v/>
      </c>
      <c r="D236">
        <f>IF($X236="","",INDEX('Per Line'!$A$2:$A$1501,$X236))</f>
        <v/>
      </c>
      <c r="E236">
        <f>IF($X236="","",INDEX('Per Line'!$G$2:$G$1501,$X236)&amp;"")</f>
        <v/>
      </c>
      <c r="F236" s="11">
        <f>IF($X236="","",INDEX('Per Line'!$F$2:$F$1501,$X236))</f>
        <v/>
      </c>
      <c r="G236">
        <f>IF($X236="","",INDEX('Per Line'!$I$2:$I$1501,$X236)&amp;"")</f>
        <v/>
      </c>
      <c r="H236">
        <f>IF($X236="","",INDEX('Per Line'!$J$2:$J$1501,$X236)&amp;"")</f>
        <v/>
      </c>
      <c r="I236">
        <f>IF($X236="","",INDEX('Per Line'!$K$2:$K$1501,$X236)&amp;"")</f>
        <v/>
      </c>
      <c r="J236">
        <f>IF($X236="","",INDEX('Per Line'!$M$2:$M$1501,$X236))</f>
        <v/>
      </c>
      <c r="K236" s="7">
        <f>IF($X236="","",J236*V236/100)</f>
        <v/>
      </c>
      <c r="L236">
        <f>IF($X236="","",INDEX('Per Line'!$Y$2:$Y$1501,$X236)&amp;"")</f>
        <v/>
      </c>
      <c r="M236" s="7">
        <f>IF($X236="","",SUMIFS('Per Line'!$U$2:$U$1501,'Per Line'!$AJ$2:$AJ$1501,$A236&amp;"|"&amp;$C236,'Per Line'!$AN$2:$AN$1501,1))</f>
        <v/>
      </c>
      <c r="N236">
        <f>IF($X236="","",Settings!$C$7)</f>
        <v/>
      </c>
      <c r="O236" s="7">
        <f>IF($X236="","",SUMIFS('Per Line'!$U$2:$U$1501,'Per Line'!$AJ$2:$AJ$1501,$A236&amp;"|"&amp;$C236,'Per Line'!$AM$2:$AM$1501,0,'Per Line'!$AN$2:$AN$1501,0))</f>
        <v/>
      </c>
      <c r="P236" s="7">
        <f>IF($X236="","",O236*N236)</f>
        <v/>
      </c>
      <c r="Q236">
        <f>IF($X236="","",Settings!$C$6)</f>
        <v/>
      </c>
      <c r="R236" s="7">
        <f>IF($X236="","",SUMIFS('Per Line'!$U$2:$U$1501,'Per Line'!$AJ$2:$AJ$1501,$A236&amp;"|"&amp;$C236,'Per Line'!$AM$2:$AM$1501,1,'Per Line'!$AN$2:$AN$1501,0))</f>
        <v/>
      </c>
      <c r="S236" s="7">
        <f>IF($X236="","",R236*Q236)</f>
        <v/>
      </c>
      <c r="T236" s="7">
        <f>IF($X236="","",S236+P236)</f>
        <v/>
      </c>
      <c r="U236" s="7">
        <f>IF($X236="","",V236-T236)</f>
        <v/>
      </c>
      <c r="V236" s="7">
        <f>IF($X236="","",O236+R236+M236)</f>
        <v/>
      </c>
      <c r="W236" s="7">
        <f>IF($X236="","",V236-T236-K236)</f>
        <v/>
      </c>
      <c r="X236" s="13">
        <f>IF(ROWS($X$2:$X236)&lt;=MAX('Per Line'!$AL$2:$AL$1501),MATCH(ROWS($X$2:$X236),'Per Line'!$AL$2:$AL$1501,0),"")</f>
        <v/>
      </c>
    </row>
    <row r="237">
      <c r="A237">
        <f>IF($X237="","",INDEX('Per Line'!$C$2:$C$1501,$X237)&amp;"")</f>
        <v/>
      </c>
      <c r="B237" s="12" t="n"/>
      <c r="C237">
        <f>IF($X237="","",INDEX('Per Line'!$D$2:$D$1501,$X237)&amp;"")</f>
        <v/>
      </c>
      <c r="D237">
        <f>IF($X237="","",INDEX('Per Line'!$A$2:$A$1501,$X237))</f>
        <v/>
      </c>
      <c r="E237">
        <f>IF($X237="","",INDEX('Per Line'!$G$2:$G$1501,$X237)&amp;"")</f>
        <v/>
      </c>
      <c r="F237" s="11">
        <f>IF($X237="","",INDEX('Per Line'!$F$2:$F$1501,$X237))</f>
        <v/>
      </c>
      <c r="G237">
        <f>IF($X237="","",INDEX('Per Line'!$I$2:$I$1501,$X237)&amp;"")</f>
        <v/>
      </c>
      <c r="H237">
        <f>IF($X237="","",INDEX('Per Line'!$J$2:$J$1501,$X237)&amp;"")</f>
        <v/>
      </c>
      <c r="I237">
        <f>IF($X237="","",INDEX('Per Line'!$K$2:$K$1501,$X237)&amp;"")</f>
        <v/>
      </c>
      <c r="J237">
        <f>IF($X237="","",INDEX('Per Line'!$M$2:$M$1501,$X237))</f>
        <v/>
      </c>
      <c r="K237" s="7">
        <f>IF($X237="","",J237*V237/100)</f>
        <v/>
      </c>
      <c r="L237">
        <f>IF($X237="","",INDEX('Per Line'!$Y$2:$Y$1501,$X237)&amp;"")</f>
        <v/>
      </c>
      <c r="M237" s="7">
        <f>IF($X237="","",SUMIFS('Per Line'!$U$2:$U$1501,'Per Line'!$AJ$2:$AJ$1501,$A237&amp;"|"&amp;$C237,'Per Line'!$AN$2:$AN$1501,1))</f>
        <v/>
      </c>
      <c r="N237">
        <f>IF($X237="","",Settings!$C$7)</f>
        <v/>
      </c>
      <c r="O237" s="7">
        <f>IF($X237="","",SUMIFS('Per Line'!$U$2:$U$1501,'Per Line'!$AJ$2:$AJ$1501,$A237&amp;"|"&amp;$C237,'Per Line'!$AM$2:$AM$1501,0,'Per Line'!$AN$2:$AN$1501,0))</f>
        <v/>
      </c>
      <c r="P237" s="7">
        <f>IF($X237="","",O237*N237)</f>
        <v/>
      </c>
      <c r="Q237">
        <f>IF($X237="","",Settings!$C$6)</f>
        <v/>
      </c>
      <c r="R237" s="7">
        <f>IF($X237="","",SUMIFS('Per Line'!$U$2:$U$1501,'Per Line'!$AJ$2:$AJ$1501,$A237&amp;"|"&amp;$C237,'Per Line'!$AM$2:$AM$1501,1,'Per Line'!$AN$2:$AN$1501,0))</f>
        <v/>
      </c>
      <c r="S237" s="7">
        <f>IF($X237="","",R237*Q237)</f>
        <v/>
      </c>
      <c r="T237" s="7">
        <f>IF($X237="","",S237+P237)</f>
        <v/>
      </c>
      <c r="U237" s="7">
        <f>IF($X237="","",V237-T237)</f>
        <v/>
      </c>
      <c r="V237" s="7">
        <f>IF($X237="","",O237+R237+M237)</f>
        <v/>
      </c>
      <c r="W237" s="7">
        <f>IF($X237="","",V237-T237-K237)</f>
        <v/>
      </c>
      <c r="X237" s="13">
        <f>IF(ROWS($X$2:$X237)&lt;=MAX('Per Line'!$AL$2:$AL$1501),MATCH(ROWS($X$2:$X237),'Per Line'!$AL$2:$AL$1501,0),"")</f>
        <v/>
      </c>
    </row>
    <row r="238">
      <c r="A238">
        <f>IF($X238="","",INDEX('Per Line'!$C$2:$C$1501,$X238)&amp;"")</f>
        <v/>
      </c>
      <c r="B238" s="12" t="n"/>
      <c r="C238">
        <f>IF($X238="","",INDEX('Per Line'!$D$2:$D$1501,$X238)&amp;"")</f>
        <v/>
      </c>
      <c r="D238">
        <f>IF($X238="","",INDEX('Per Line'!$A$2:$A$1501,$X238))</f>
        <v/>
      </c>
      <c r="E238">
        <f>IF($X238="","",INDEX('Per Line'!$G$2:$G$1501,$X238)&amp;"")</f>
        <v/>
      </c>
      <c r="F238" s="11">
        <f>IF($X238="","",INDEX('Per Line'!$F$2:$F$1501,$X238))</f>
        <v/>
      </c>
      <c r="G238">
        <f>IF($X238="","",INDEX('Per Line'!$I$2:$I$1501,$X238)&amp;"")</f>
        <v/>
      </c>
      <c r="H238">
        <f>IF($X238="","",INDEX('Per Line'!$J$2:$J$1501,$X238)&amp;"")</f>
        <v/>
      </c>
      <c r="I238">
        <f>IF($X238="","",INDEX('Per Line'!$K$2:$K$1501,$X238)&amp;"")</f>
        <v/>
      </c>
      <c r="J238">
        <f>IF($X238="","",INDEX('Per Line'!$M$2:$M$1501,$X238))</f>
        <v/>
      </c>
      <c r="K238" s="7">
        <f>IF($X238="","",J238*V238/100)</f>
        <v/>
      </c>
      <c r="L238">
        <f>IF($X238="","",INDEX('Per Line'!$Y$2:$Y$1501,$X238)&amp;"")</f>
        <v/>
      </c>
      <c r="M238" s="7">
        <f>IF($X238="","",SUMIFS('Per Line'!$U$2:$U$1501,'Per Line'!$AJ$2:$AJ$1501,$A238&amp;"|"&amp;$C238,'Per Line'!$AN$2:$AN$1501,1))</f>
        <v/>
      </c>
      <c r="N238">
        <f>IF($X238="","",Settings!$C$7)</f>
        <v/>
      </c>
      <c r="O238" s="7">
        <f>IF($X238="","",SUMIFS('Per Line'!$U$2:$U$1501,'Per Line'!$AJ$2:$AJ$1501,$A238&amp;"|"&amp;$C238,'Per Line'!$AM$2:$AM$1501,0,'Per Line'!$AN$2:$AN$1501,0))</f>
        <v/>
      </c>
      <c r="P238" s="7">
        <f>IF($X238="","",O238*N238)</f>
        <v/>
      </c>
      <c r="Q238">
        <f>IF($X238="","",Settings!$C$6)</f>
        <v/>
      </c>
      <c r="R238" s="7">
        <f>IF($X238="","",SUMIFS('Per Line'!$U$2:$U$1501,'Per Line'!$AJ$2:$AJ$1501,$A238&amp;"|"&amp;$C238,'Per Line'!$AM$2:$AM$1501,1,'Per Line'!$AN$2:$AN$1501,0))</f>
        <v/>
      </c>
      <c r="S238" s="7">
        <f>IF($X238="","",R238*Q238)</f>
        <v/>
      </c>
      <c r="T238" s="7">
        <f>IF($X238="","",S238+P238)</f>
        <v/>
      </c>
      <c r="U238" s="7">
        <f>IF($X238="","",V238-T238)</f>
        <v/>
      </c>
      <c r="V238" s="7">
        <f>IF($X238="","",O238+R238+M238)</f>
        <v/>
      </c>
      <c r="W238" s="7">
        <f>IF($X238="","",V238-T238-K238)</f>
        <v/>
      </c>
      <c r="X238" s="13">
        <f>IF(ROWS($X$2:$X238)&lt;=MAX('Per Line'!$AL$2:$AL$1501),MATCH(ROWS($X$2:$X238),'Per Line'!$AL$2:$AL$1501,0),"")</f>
        <v/>
      </c>
    </row>
    <row r="239">
      <c r="A239">
        <f>IF($X239="","",INDEX('Per Line'!$C$2:$C$1501,$X239)&amp;"")</f>
        <v/>
      </c>
      <c r="B239" s="12" t="n"/>
      <c r="C239">
        <f>IF($X239="","",INDEX('Per Line'!$D$2:$D$1501,$X239)&amp;"")</f>
        <v/>
      </c>
      <c r="D239">
        <f>IF($X239="","",INDEX('Per Line'!$A$2:$A$1501,$X239))</f>
        <v/>
      </c>
      <c r="E239">
        <f>IF($X239="","",INDEX('Per Line'!$G$2:$G$1501,$X239)&amp;"")</f>
        <v/>
      </c>
      <c r="F239" s="11">
        <f>IF($X239="","",INDEX('Per Line'!$F$2:$F$1501,$X239))</f>
        <v/>
      </c>
      <c r="G239">
        <f>IF($X239="","",INDEX('Per Line'!$I$2:$I$1501,$X239)&amp;"")</f>
        <v/>
      </c>
      <c r="H239">
        <f>IF($X239="","",INDEX('Per Line'!$J$2:$J$1501,$X239)&amp;"")</f>
        <v/>
      </c>
      <c r="I239">
        <f>IF($X239="","",INDEX('Per Line'!$K$2:$K$1501,$X239)&amp;"")</f>
        <v/>
      </c>
      <c r="J239">
        <f>IF($X239="","",INDEX('Per Line'!$M$2:$M$1501,$X239))</f>
        <v/>
      </c>
      <c r="K239" s="7">
        <f>IF($X239="","",J239*V239/100)</f>
        <v/>
      </c>
      <c r="L239">
        <f>IF($X239="","",INDEX('Per Line'!$Y$2:$Y$1501,$X239)&amp;"")</f>
        <v/>
      </c>
      <c r="M239" s="7">
        <f>IF($X239="","",SUMIFS('Per Line'!$U$2:$U$1501,'Per Line'!$AJ$2:$AJ$1501,$A239&amp;"|"&amp;$C239,'Per Line'!$AN$2:$AN$1501,1))</f>
        <v/>
      </c>
      <c r="N239">
        <f>IF($X239="","",Settings!$C$7)</f>
        <v/>
      </c>
      <c r="O239" s="7">
        <f>IF($X239="","",SUMIFS('Per Line'!$U$2:$U$1501,'Per Line'!$AJ$2:$AJ$1501,$A239&amp;"|"&amp;$C239,'Per Line'!$AM$2:$AM$1501,0,'Per Line'!$AN$2:$AN$1501,0))</f>
        <v/>
      </c>
      <c r="P239" s="7">
        <f>IF($X239="","",O239*N239)</f>
        <v/>
      </c>
      <c r="Q239">
        <f>IF($X239="","",Settings!$C$6)</f>
        <v/>
      </c>
      <c r="R239" s="7">
        <f>IF($X239="","",SUMIFS('Per Line'!$U$2:$U$1501,'Per Line'!$AJ$2:$AJ$1501,$A239&amp;"|"&amp;$C239,'Per Line'!$AM$2:$AM$1501,1,'Per Line'!$AN$2:$AN$1501,0))</f>
        <v/>
      </c>
      <c r="S239" s="7">
        <f>IF($X239="","",R239*Q239)</f>
        <v/>
      </c>
      <c r="T239" s="7">
        <f>IF($X239="","",S239+P239)</f>
        <v/>
      </c>
      <c r="U239" s="7">
        <f>IF($X239="","",V239-T239)</f>
        <v/>
      </c>
      <c r="V239" s="7">
        <f>IF($X239="","",O239+R239+M239)</f>
        <v/>
      </c>
      <c r="W239" s="7">
        <f>IF($X239="","",V239-T239-K239)</f>
        <v/>
      </c>
      <c r="X239" s="13">
        <f>IF(ROWS($X$2:$X239)&lt;=MAX('Per Line'!$AL$2:$AL$1501),MATCH(ROWS($X$2:$X239),'Per Line'!$AL$2:$AL$1501,0),"")</f>
        <v/>
      </c>
    </row>
    <row r="240">
      <c r="A240">
        <f>IF($X240="","",INDEX('Per Line'!$C$2:$C$1501,$X240)&amp;"")</f>
        <v/>
      </c>
      <c r="B240" s="12" t="n"/>
      <c r="C240">
        <f>IF($X240="","",INDEX('Per Line'!$D$2:$D$1501,$X240)&amp;"")</f>
        <v/>
      </c>
      <c r="D240">
        <f>IF($X240="","",INDEX('Per Line'!$A$2:$A$1501,$X240))</f>
        <v/>
      </c>
      <c r="E240">
        <f>IF($X240="","",INDEX('Per Line'!$G$2:$G$1501,$X240)&amp;"")</f>
        <v/>
      </c>
      <c r="F240" s="11">
        <f>IF($X240="","",INDEX('Per Line'!$F$2:$F$1501,$X240))</f>
        <v/>
      </c>
      <c r="G240">
        <f>IF($X240="","",INDEX('Per Line'!$I$2:$I$1501,$X240)&amp;"")</f>
        <v/>
      </c>
      <c r="H240">
        <f>IF($X240="","",INDEX('Per Line'!$J$2:$J$1501,$X240)&amp;"")</f>
        <v/>
      </c>
      <c r="I240">
        <f>IF($X240="","",INDEX('Per Line'!$K$2:$K$1501,$X240)&amp;"")</f>
        <v/>
      </c>
      <c r="J240">
        <f>IF($X240="","",INDEX('Per Line'!$M$2:$M$1501,$X240))</f>
        <v/>
      </c>
      <c r="K240" s="7">
        <f>IF($X240="","",J240*V240/100)</f>
        <v/>
      </c>
      <c r="L240">
        <f>IF($X240="","",INDEX('Per Line'!$Y$2:$Y$1501,$X240)&amp;"")</f>
        <v/>
      </c>
      <c r="M240" s="7">
        <f>IF($X240="","",SUMIFS('Per Line'!$U$2:$U$1501,'Per Line'!$AJ$2:$AJ$1501,$A240&amp;"|"&amp;$C240,'Per Line'!$AN$2:$AN$1501,1))</f>
        <v/>
      </c>
      <c r="N240">
        <f>IF($X240="","",Settings!$C$7)</f>
        <v/>
      </c>
      <c r="O240" s="7">
        <f>IF($X240="","",SUMIFS('Per Line'!$U$2:$U$1501,'Per Line'!$AJ$2:$AJ$1501,$A240&amp;"|"&amp;$C240,'Per Line'!$AM$2:$AM$1501,0,'Per Line'!$AN$2:$AN$1501,0))</f>
        <v/>
      </c>
      <c r="P240" s="7">
        <f>IF($X240="","",O240*N240)</f>
        <v/>
      </c>
      <c r="Q240">
        <f>IF($X240="","",Settings!$C$6)</f>
        <v/>
      </c>
      <c r="R240" s="7">
        <f>IF($X240="","",SUMIFS('Per Line'!$U$2:$U$1501,'Per Line'!$AJ$2:$AJ$1501,$A240&amp;"|"&amp;$C240,'Per Line'!$AM$2:$AM$1501,1,'Per Line'!$AN$2:$AN$1501,0))</f>
        <v/>
      </c>
      <c r="S240" s="7">
        <f>IF($X240="","",R240*Q240)</f>
        <v/>
      </c>
      <c r="T240" s="7">
        <f>IF($X240="","",S240+P240)</f>
        <v/>
      </c>
      <c r="U240" s="7">
        <f>IF($X240="","",V240-T240)</f>
        <v/>
      </c>
      <c r="V240" s="7">
        <f>IF($X240="","",O240+R240+M240)</f>
        <v/>
      </c>
      <c r="W240" s="7">
        <f>IF($X240="","",V240-T240-K240)</f>
        <v/>
      </c>
      <c r="X240" s="13">
        <f>IF(ROWS($X$2:$X240)&lt;=MAX('Per Line'!$AL$2:$AL$1501),MATCH(ROWS($X$2:$X240),'Per Line'!$AL$2:$AL$1501,0),"")</f>
        <v/>
      </c>
    </row>
    <row r="241">
      <c r="A241">
        <f>IF($X241="","",INDEX('Per Line'!$C$2:$C$1501,$X241)&amp;"")</f>
        <v/>
      </c>
      <c r="B241" s="12" t="n"/>
      <c r="C241">
        <f>IF($X241="","",INDEX('Per Line'!$D$2:$D$1501,$X241)&amp;"")</f>
        <v/>
      </c>
      <c r="D241">
        <f>IF($X241="","",INDEX('Per Line'!$A$2:$A$1501,$X241))</f>
        <v/>
      </c>
      <c r="E241">
        <f>IF($X241="","",INDEX('Per Line'!$G$2:$G$1501,$X241)&amp;"")</f>
        <v/>
      </c>
      <c r="F241" s="11">
        <f>IF($X241="","",INDEX('Per Line'!$F$2:$F$1501,$X241))</f>
        <v/>
      </c>
      <c r="G241">
        <f>IF($X241="","",INDEX('Per Line'!$I$2:$I$1501,$X241)&amp;"")</f>
        <v/>
      </c>
      <c r="H241">
        <f>IF($X241="","",INDEX('Per Line'!$J$2:$J$1501,$X241)&amp;"")</f>
        <v/>
      </c>
      <c r="I241">
        <f>IF($X241="","",INDEX('Per Line'!$K$2:$K$1501,$X241)&amp;"")</f>
        <v/>
      </c>
      <c r="J241">
        <f>IF($X241="","",INDEX('Per Line'!$M$2:$M$1501,$X241))</f>
        <v/>
      </c>
      <c r="K241" s="7">
        <f>IF($X241="","",J241*V241/100)</f>
        <v/>
      </c>
      <c r="L241">
        <f>IF($X241="","",INDEX('Per Line'!$Y$2:$Y$1501,$X241)&amp;"")</f>
        <v/>
      </c>
      <c r="M241" s="7">
        <f>IF($X241="","",SUMIFS('Per Line'!$U$2:$U$1501,'Per Line'!$AJ$2:$AJ$1501,$A241&amp;"|"&amp;$C241,'Per Line'!$AN$2:$AN$1501,1))</f>
        <v/>
      </c>
      <c r="N241">
        <f>IF($X241="","",Settings!$C$7)</f>
        <v/>
      </c>
      <c r="O241" s="7">
        <f>IF($X241="","",SUMIFS('Per Line'!$U$2:$U$1501,'Per Line'!$AJ$2:$AJ$1501,$A241&amp;"|"&amp;$C241,'Per Line'!$AM$2:$AM$1501,0,'Per Line'!$AN$2:$AN$1501,0))</f>
        <v/>
      </c>
      <c r="P241" s="7">
        <f>IF($X241="","",O241*N241)</f>
        <v/>
      </c>
      <c r="Q241">
        <f>IF($X241="","",Settings!$C$6)</f>
        <v/>
      </c>
      <c r="R241" s="7">
        <f>IF($X241="","",SUMIFS('Per Line'!$U$2:$U$1501,'Per Line'!$AJ$2:$AJ$1501,$A241&amp;"|"&amp;$C241,'Per Line'!$AM$2:$AM$1501,1,'Per Line'!$AN$2:$AN$1501,0))</f>
        <v/>
      </c>
      <c r="S241" s="7">
        <f>IF($X241="","",R241*Q241)</f>
        <v/>
      </c>
      <c r="T241" s="7">
        <f>IF($X241="","",S241+P241)</f>
        <v/>
      </c>
      <c r="U241" s="7">
        <f>IF($X241="","",V241-T241)</f>
        <v/>
      </c>
      <c r="V241" s="7">
        <f>IF($X241="","",O241+R241+M241)</f>
        <v/>
      </c>
      <c r="W241" s="7">
        <f>IF($X241="","",V241-T241-K241)</f>
        <v/>
      </c>
      <c r="X241" s="13">
        <f>IF(ROWS($X$2:$X241)&lt;=MAX('Per Line'!$AL$2:$AL$1501),MATCH(ROWS($X$2:$X241),'Per Line'!$AL$2:$AL$1501,0),"")</f>
        <v/>
      </c>
    </row>
    <row r="242">
      <c r="A242">
        <f>IF($X242="","",INDEX('Per Line'!$C$2:$C$1501,$X242)&amp;"")</f>
        <v/>
      </c>
      <c r="B242" s="12" t="n"/>
      <c r="C242">
        <f>IF($X242="","",INDEX('Per Line'!$D$2:$D$1501,$X242)&amp;"")</f>
        <v/>
      </c>
      <c r="D242">
        <f>IF($X242="","",INDEX('Per Line'!$A$2:$A$1501,$X242))</f>
        <v/>
      </c>
      <c r="E242">
        <f>IF($X242="","",INDEX('Per Line'!$G$2:$G$1501,$X242)&amp;"")</f>
        <v/>
      </c>
      <c r="F242" s="11">
        <f>IF($X242="","",INDEX('Per Line'!$F$2:$F$1501,$X242))</f>
        <v/>
      </c>
      <c r="G242">
        <f>IF($X242="","",INDEX('Per Line'!$I$2:$I$1501,$X242)&amp;"")</f>
        <v/>
      </c>
      <c r="H242">
        <f>IF($X242="","",INDEX('Per Line'!$J$2:$J$1501,$X242)&amp;"")</f>
        <v/>
      </c>
      <c r="I242">
        <f>IF($X242="","",INDEX('Per Line'!$K$2:$K$1501,$X242)&amp;"")</f>
        <v/>
      </c>
      <c r="J242">
        <f>IF($X242="","",INDEX('Per Line'!$M$2:$M$1501,$X242))</f>
        <v/>
      </c>
      <c r="K242" s="7">
        <f>IF($X242="","",J242*V242/100)</f>
        <v/>
      </c>
      <c r="L242">
        <f>IF($X242="","",INDEX('Per Line'!$Y$2:$Y$1501,$X242)&amp;"")</f>
        <v/>
      </c>
      <c r="M242" s="7">
        <f>IF($X242="","",SUMIFS('Per Line'!$U$2:$U$1501,'Per Line'!$AJ$2:$AJ$1501,$A242&amp;"|"&amp;$C242,'Per Line'!$AN$2:$AN$1501,1))</f>
        <v/>
      </c>
      <c r="N242">
        <f>IF($X242="","",Settings!$C$7)</f>
        <v/>
      </c>
      <c r="O242" s="7">
        <f>IF($X242="","",SUMIFS('Per Line'!$U$2:$U$1501,'Per Line'!$AJ$2:$AJ$1501,$A242&amp;"|"&amp;$C242,'Per Line'!$AM$2:$AM$1501,0,'Per Line'!$AN$2:$AN$1501,0))</f>
        <v/>
      </c>
      <c r="P242" s="7">
        <f>IF($X242="","",O242*N242)</f>
        <v/>
      </c>
      <c r="Q242">
        <f>IF($X242="","",Settings!$C$6)</f>
        <v/>
      </c>
      <c r="R242" s="7">
        <f>IF($X242="","",SUMIFS('Per Line'!$U$2:$U$1501,'Per Line'!$AJ$2:$AJ$1501,$A242&amp;"|"&amp;$C242,'Per Line'!$AM$2:$AM$1501,1,'Per Line'!$AN$2:$AN$1501,0))</f>
        <v/>
      </c>
      <c r="S242" s="7">
        <f>IF($X242="","",R242*Q242)</f>
        <v/>
      </c>
      <c r="T242" s="7">
        <f>IF($X242="","",S242+P242)</f>
        <v/>
      </c>
      <c r="U242" s="7">
        <f>IF($X242="","",V242-T242)</f>
        <v/>
      </c>
      <c r="V242" s="7">
        <f>IF($X242="","",O242+R242+M242)</f>
        <v/>
      </c>
      <c r="W242" s="7">
        <f>IF($X242="","",V242-T242-K242)</f>
        <v/>
      </c>
      <c r="X242" s="13">
        <f>IF(ROWS($X$2:$X242)&lt;=MAX('Per Line'!$AL$2:$AL$1501),MATCH(ROWS($X$2:$X242),'Per Line'!$AL$2:$AL$1501,0),"")</f>
        <v/>
      </c>
    </row>
    <row r="243">
      <c r="A243">
        <f>IF($X243="","",INDEX('Per Line'!$C$2:$C$1501,$X243)&amp;"")</f>
        <v/>
      </c>
      <c r="B243" s="12" t="n"/>
      <c r="C243">
        <f>IF($X243="","",INDEX('Per Line'!$D$2:$D$1501,$X243)&amp;"")</f>
        <v/>
      </c>
      <c r="D243">
        <f>IF($X243="","",INDEX('Per Line'!$A$2:$A$1501,$X243))</f>
        <v/>
      </c>
      <c r="E243">
        <f>IF($X243="","",INDEX('Per Line'!$G$2:$G$1501,$X243)&amp;"")</f>
        <v/>
      </c>
      <c r="F243" s="11">
        <f>IF($X243="","",INDEX('Per Line'!$F$2:$F$1501,$X243))</f>
        <v/>
      </c>
      <c r="G243">
        <f>IF($X243="","",INDEX('Per Line'!$I$2:$I$1501,$X243)&amp;"")</f>
        <v/>
      </c>
      <c r="H243">
        <f>IF($X243="","",INDEX('Per Line'!$J$2:$J$1501,$X243)&amp;"")</f>
        <v/>
      </c>
      <c r="I243">
        <f>IF($X243="","",INDEX('Per Line'!$K$2:$K$1501,$X243)&amp;"")</f>
        <v/>
      </c>
      <c r="J243">
        <f>IF($X243="","",INDEX('Per Line'!$M$2:$M$1501,$X243))</f>
        <v/>
      </c>
      <c r="K243" s="7">
        <f>IF($X243="","",J243*V243/100)</f>
        <v/>
      </c>
      <c r="L243">
        <f>IF($X243="","",INDEX('Per Line'!$Y$2:$Y$1501,$X243)&amp;"")</f>
        <v/>
      </c>
      <c r="M243" s="7">
        <f>IF($X243="","",SUMIFS('Per Line'!$U$2:$U$1501,'Per Line'!$AJ$2:$AJ$1501,$A243&amp;"|"&amp;$C243,'Per Line'!$AN$2:$AN$1501,1))</f>
        <v/>
      </c>
      <c r="N243">
        <f>IF($X243="","",Settings!$C$7)</f>
        <v/>
      </c>
      <c r="O243" s="7">
        <f>IF($X243="","",SUMIFS('Per Line'!$U$2:$U$1501,'Per Line'!$AJ$2:$AJ$1501,$A243&amp;"|"&amp;$C243,'Per Line'!$AM$2:$AM$1501,0,'Per Line'!$AN$2:$AN$1501,0))</f>
        <v/>
      </c>
      <c r="P243" s="7">
        <f>IF($X243="","",O243*N243)</f>
        <v/>
      </c>
      <c r="Q243">
        <f>IF($X243="","",Settings!$C$6)</f>
        <v/>
      </c>
      <c r="R243" s="7">
        <f>IF($X243="","",SUMIFS('Per Line'!$U$2:$U$1501,'Per Line'!$AJ$2:$AJ$1501,$A243&amp;"|"&amp;$C243,'Per Line'!$AM$2:$AM$1501,1,'Per Line'!$AN$2:$AN$1501,0))</f>
        <v/>
      </c>
      <c r="S243" s="7">
        <f>IF($X243="","",R243*Q243)</f>
        <v/>
      </c>
      <c r="T243" s="7">
        <f>IF($X243="","",S243+P243)</f>
        <v/>
      </c>
      <c r="U243" s="7">
        <f>IF($X243="","",V243-T243)</f>
        <v/>
      </c>
      <c r="V243" s="7">
        <f>IF($X243="","",O243+R243+M243)</f>
        <v/>
      </c>
      <c r="W243" s="7">
        <f>IF($X243="","",V243-T243-K243)</f>
        <v/>
      </c>
      <c r="X243" s="13">
        <f>IF(ROWS($X$2:$X243)&lt;=MAX('Per Line'!$AL$2:$AL$1501),MATCH(ROWS($X$2:$X243),'Per Line'!$AL$2:$AL$1501,0),"")</f>
        <v/>
      </c>
    </row>
    <row r="244">
      <c r="A244">
        <f>IF($X244="","",INDEX('Per Line'!$C$2:$C$1501,$X244)&amp;"")</f>
        <v/>
      </c>
      <c r="B244" s="12" t="n"/>
      <c r="C244">
        <f>IF($X244="","",INDEX('Per Line'!$D$2:$D$1501,$X244)&amp;"")</f>
        <v/>
      </c>
      <c r="D244">
        <f>IF($X244="","",INDEX('Per Line'!$A$2:$A$1501,$X244))</f>
        <v/>
      </c>
      <c r="E244">
        <f>IF($X244="","",INDEX('Per Line'!$G$2:$G$1501,$X244)&amp;"")</f>
        <v/>
      </c>
      <c r="F244" s="11">
        <f>IF($X244="","",INDEX('Per Line'!$F$2:$F$1501,$X244))</f>
        <v/>
      </c>
      <c r="G244">
        <f>IF($X244="","",INDEX('Per Line'!$I$2:$I$1501,$X244)&amp;"")</f>
        <v/>
      </c>
      <c r="H244">
        <f>IF($X244="","",INDEX('Per Line'!$J$2:$J$1501,$X244)&amp;"")</f>
        <v/>
      </c>
      <c r="I244">
        <f>IF($X244="","",INDEX('Per Line'!$K$2:$K$1501,$X244)&amp;"")</f>
        <v/>
      </c>
      <c r="J244">
        <f>IF($X244="","",INDEX('Per Line'!$M$2:$M$1501,$X244))</f>
        <v/>
      </c>
      <c r="K244" s="7">
        <f>IF($X244="","",J244*V244/100)</f>
        <v/>
      </c>
      <c r="L244">
        <f>IF($X244="","",INDEX('Per Line'!$Y$2:$Y$1501,$X244)&amp;"")</f>
        <v/>
      </c>
      <c r="M244" s="7">
        <f>IF($X244="","",SUMIFS('Per Line'!$U$2:$U$1501,'Per Line'!$AJ$2:$AJ$1501,$A244&amp;"|"&amp;$C244,'Per Line'!$AN$2:$AN$1501,1))</f>
        <v/>
      </c>
      <c r="N244">
        <f>IF($X244="","",Settings!$C$7)</f>
        <v/>
      </c>
      <c r="O244" s="7">
        <f>IF($X244="","",SUMIFS('Per Line'!$U$2:$U$1501,'Per Line'!$AJ$2:$AJ$1501,$A244&amp;"|"&amp;$C244,'Per Line'!$AM$2:$AM$1501,0,'Per Line'!$AN$2:$AN$1501,0))</f>
        <v/>
      </c>
      <c r="P244" s="7">
        <f>IF($X244="","",O244*N244)</f>
        <v/>
      </c>
      <c r="Q244">
        <f>IF($X244="","",Settings!$C$6)</f>
        <v/>
      </c>
      <c r="R244" s="7">
        <f>IF($X244="","",SUMIFS('Per Line'!$U$2:$U$1501,'Per Line'!$AJ$2:$AJ$1501,$A244&amp;"|"&amp;$C244,'Per Line'!$AM$2:$AM$1501,1,'Per Line'!$AN$2:$AN$1501,0))</f>
        <v/>
      </c>
      <c r="S244" s="7">
        <f>IF($X244="","",R244*Q244)</f>
        <v/>
      </c>
      <c r="T244" s="7">
        <f>IF($X244="","",S244+P244)</f>
        <v/>
      </c>
      <c r="U244" s="7">
        <f>IF($X244="","",V244-T244)</f>
        <v/>
      </c>
      <c r="V244" s="7">
        <f>IF($X244="","",O244+R244+M244)</f>
        <v/>
      </c>
      <c r="W244" s="7">
        <f>IF($X244="","",V244-T244-K244)</f>
        <v/>
      </c>
      <c r="X244" s="13">
        <f>IF(ROWS($X$2:$X244)&lt;=MAX('Per Line'!$AL$2:$AL$1501),MATCH(ROWS($X$2:$X244),'Per Line'!$AL$2:$AL$1501,0),"")</f>
        <v/>
      </c>
    </row>
    <row r="245">
      <c r="A245">
        <f>IF($X245="","",INDEX('Per Line'!$C$2:$C$1501,$X245)&amp;"")</f>
        <v/>
      </c>
      <c r="B245" s="12" t="n"/>
      <c r="C245">
        <f>IF($X245="","",INDEX('Per Line'!$D$2:$D$1501,$X245)&amp;"")</f>
        <v/>
      </c>
      <c r="D245">
        <f>IF($X245="","",INDEX('Per Line'!$A$2:$A$1501,$X245))</f>
        <v/>
      </c>
      <c r="E245">
        <f>IF($X245="","",INDEX('Per Line'!$G$2:$G$1501,$X245)&amp;"")</f>
        <v/>
      </c>
      <c r="F245" s="11">
        <f>IF($X245="","",INDEX('Per Line'!$F$2:$F$1501,$X245))</f>
        <v/>
      </c>
      <c r="G245">
        <f>IF($X245="","",INDEX('Per Line'!$I$2:$I$1501,$X245)&amp;"")</f>
        <v/>
      </c>
      <c r="H245">
        <f>IF($X245="","",INDEX('Per Line'!$J$2:$J$1501,$X245)&amp;"")</f>
        <v/>
      </c>
      <c r="I245">
        <f>IF($X245="","",INDEX('Per Line'!$K$2:$K$1501,$X245)&amp;"")</f>
        <v/>
      </c>
      <c r="J245">
        <f>IF($X245="","",INDEX('Per Line'!$M$2:$M$1501,$X245))</f>
        <v/>
      </c>
      <c r="K245" s="7">
        <f>IF($X245="","",J245*V245/100)</f>
        <v/>
      </c>
      <c r="L245">
        <f>IF($X245="","",INDEX('Per Line'!$Y$2:$Y$1501,$X245)&amp;"")</f>
        <v/>
      </c>
      <c r="M245" s="7">
        <f>IF($X245="","",SUMIFS('Per Line'!$U$2:$U$1501,'Per Line'!$AJ$2:$AJ$1501,$A245&amp;"|"&amp;$C245,'Per Line'!$AN$2:$AN$1501,1))</f>
        <v/>
      </c>
      <c r="N245">
        <f>IF($X245="","",Settings!$C$7)</f>
        <v/>
      </c>
      <c r="O245" s="7">
        <f>IF($X245="","",SUMIFS('Per Line'!$U$2:$U$1501,'Per Line'!$AJ$2:$AJ$1501,$A245&amp;"|"&amp;$C245,'Per Line'!$AM$2:$AM$1501,0,'Per Line'!$AN$2:$AN$1501,0))</f>
        <v/>
      </c>
      <c r="P245" s="7">
        <f>IF($X245="","",O245*N245)</f>
        <v/>
      </c>
      <c r="Q245">
        <f>IF($X245="","",Settings!$C$6)</f>
        <v/>
      </c>
      <c r="R245" s="7">
        <f>IF($X245="","",SUMIFS('Per Line'!$U$2:$U$1501,'Per Line'!$AJ$2:$AJ$1501,$A245&amp;"|"&amp;$C245,'Per Line'!$AM$2:$AM$1501,1,'Per Line'!$AN$2:$AN$1501,0))</f>
        <v/>
      </c>
      <c r="S245" s="7">
        <f>IF($X245="","",R245*Q245)</f>
        <v/>
      </c>
      <c r="T245" s="7">
        <f>IF($X245="","",S245+P245)</f>
        <v/>
      </c>
      <c r="U245" s="7">
        <f>IF($X245="","",V245-T245)</f>
        <v/>
      </c>
      <c r="V245" s="7">
        <f>IF($X245="","",O245+R245+M245)</f>
        <v/>
      </c>
      <c r="W245" s="7">
        <f>IF($X245="","",V245-T245-K245)</f>
        <v/>
      </c>
      <c r="X245" s="13">
        <f>IF(ROWS($X$2:$X245)&lt;=MAX('Per Line'!$AL$2:$AL$1501),MATCH(ROWS($X$2:$X245),'Per Line'!$AL$2:$AL$1501,0),"")</f>
        <v/>
      </c>
    </row>
    <row r="246">
      <c r="A246">
        <f>IF($X246="","",INDEX('Per Line'!$C$2:$C$1501,$X246)&amp;"")</f>
        <v/>
      </c>
      <c r="B246" s="12" t="n"/>
      <c r="C246">
        <f>IF($X246="","",INDEX('Per Line'!$D$2:$D$1501,$X246)&amp;"")</f>
        <v/>
      </c>
      <c r="D246">
        <f>IF($X246="","",INDEX('Per Line'!$A$2:$A$1501,$X246))</f>
        <v/>
      </c>
      <c r="E246">
        <f>IF($X246="","",INDEX('Per Line'!$G$2:$G$1501,$X246)&amp;"")</f>
        <v/>
      </c>
      <c r="F246" s="11">
        <f>IF($X246="","",INDEX('Per Line'!$F$2:$F$1501,$X246))</f>
        <v/>
      </c>
      <c r="G246">
        <f>IF($X246="","",INDEX('Per Line'!$I$2:$I$1501,$X246)&amp;"")</f>
        <v/>
      </c>
      <c r="H246">
        <f>IF($X246="","",INDEX('Per Line'!$J$2:$J$1501,$X246)&amp;"")</f>
        <v/>
      </c>
      <c r="I246">
        <f>IF($X246="","",INDEX('Per Line'!$K$2:$K$1501,$X246)&amp;"")</f>
        <v/>
      </c>
      <c r="J246">
        <f>IF($X246="","",INDEX('Per Line'!$M$2:$M$1501,$X246))</f>
        <v/>
      </c>
      <c r="K246" s="7">
        <f>IF($X246="","",J246*V246/100)</f>
        <v/>
      </c>
      <c r="L246">
        <f>IF($X246="","",INDEX('Per Line'!$Y$2:$Y$1501,$X246)&amp;"")</f>
        <v/>
      </c>
      <c r="M246" s="7">
        <f>IF($X246="","",SUMIFS('Per Line'!$U$2:$U$1501,'Per Line'!$AJ$2:$AJ$1501,$A246&amp;"|"&amp;$C246,'Per Line'!$AN$2:$AN$1501,1))</f>
        <v/>
      </c>
      <c r="N246">
        <f>IF($X246="","",Settings!$C$7)</f>
        <v/>
      </c>
      <c r="O246" s="7">
        <f>IF($X246="","",SUMIFS('Per Line'!$U$2:$U$1501,'Per Line'!$AJ$2:$AJ$1501,$A246&amp;"|"&amp;$C246,'Per Line'!$AM$2:$AM$1501,0,'Per Line'!$AN$2:$AN$1501,0))</f>
        <v/>
      </c>
      <c r="P246" s="7">
        <f>IF($X246="","",O246*N246)</f>
        <v/>
      </c>
      <c r="Q246">
        <f>IF($X246="","",Settings!$C$6)</f>
        <v/>
      </c>
      <c r="R246" s="7">
        <f>IF($X246="","",SUMIFS('Per Line'!$U$2:$U$1501,'Per Line'!$AJ$2:$AJ$1501,$A246&amp;"|"&amp;$C246,'Per Line'!$AM$2:$AM$1501,1,'Per Line'!$AN$2:$AN$1501,0))</f>
        <v/>
      </c>
      <c r="S246" s="7">
        <f>IF($X246="","",R246*Q246)</f>
        <v/>
      </c>
      <c r="T246" s="7">
        <f>IF($X246="","",S246+P246)</f>
        <v/>
      </c>
      <c r="U246" s="7">
        <f>IF($X246="","",V246-T246)</f>
        <v/>
      </c>
      <c r="V246" s="7">
        <f>IF($X246="","",O246+R246+M246)</f>
        <v/>
      </c>
      <c r="W246" s="7">
        <f>IF($X246="","",V246-T246-K246)</f>
        <v/>
      </c>
      <c r="X246" s="13">
        <f>IF(ROWS($X$2:$X246)&lt;=MAX('Per Line'!$AL$2:$AL$1501),MATCH(ROWS($X$2:$X246),'Per Line'!$AL$2:$AL$1501,0),"")</f>
        <v/>
      </c>
    </row>
    <row r="247">
      <c r="A247">
        <f>IF($X247="","",INDEX('Per Line'!$C$2:$C$1501,$X247)&amp;"")</f>
        <v/>
      </c>
      <c r="B247" s="12" t="n"/>
      <c r="C247">
        <f>IF($X247="","",INDEX('Per Line'!$D$2:$D$1501,$X247)&amp;"")</f>
        <v/>
      </c>
      <c r="D247">
        <f>IF($X247="","",INDEX('Per Line'!$A$2:$A$1501,$X247))</f>
        <v/>
      </c>
      <c r="E247">
        <f>IF($X247="","",INDEX('Per Line'!$G$2:$G$1501,$X247)&amp;"")</f>
        <v/>
      </c>
      <c r="F247" s="11">
        <f>IF($X247="","",INDEX('Per Line'!$F$2:$F$1501,$X247))</f>
        <v/>
      </c>
      <c r="G247">
        <f>IF($X247="","",INDEX('Per Line'!$I$2:$I$1501,$X247)&amp;"")</f>
        <v/>
      </c>
      <c r="H247">
        <f>IF($X247="","",INDEX('Per Line'!$J$2:$J$1501,$X247)&amp;"")</f>
        <v/>
      </c>
      <c r="I247">
        <f>IF($X247="","",INDEX('Per Line'!$K$2:$K$1501,$X247)&amp;"")</f>
        <v/>
      </c>
      <c r="J247">
        <f>IF($X247="","",INDEX('Per Line'!$M$2:$M$1501,$X247))</f>
        <v/>
      </c>
      <c r="K247" s="7">
        <f>IF($X247="","",J247*V247/100)</f>
        <v/>
      </c>
      <c r="L247">
        <f>IF($X247="","",INDEX('Per Line'!$Y$2:$Y$1501,$X247)&amp;"")</f>
        <v/>
      </c>
      <c r="M247" s="7">
        <f>IF($X247="","",SUMIFS('Per Line'!$U$2:$U$1501,'Per Line'!$AJ$2:$AJ$1501,$A247&amp;"|"&amp;$C247,'Per Line'!$AN$2:$AN$1501,1))</f>
        <v/>
      </c>
      <c r="N247">
        <f>IF($X247="","",Settings!$C$7)</f>
        <v/>
      </c>
      <c r="O247" s="7">
        <f>IF($X247="","",SUMIFS('Per Line'!$U$2:$U$1501,'Per Line'!$AJ$2:$AJ$1501,$A247&amp;"|"&amp;$C247,'Per Line'!$AM$2:$AM$1501,0,'Per Line'!$AN$2:$AN$1501,0))</f>
        <v/>
      </c>
      <c r="P247" s="7">
        <f>IF($X247="","",O247*N247)</f>
        <v/>
      </c>
      <c r="Q247">
        <f>IF($X247="","",Settings!$C$6)</f>
        <v/>
      </c>
      <c r="R247" s="7">
        <f>IF($X247="","",SUMIFS('Per Line'!$U$2:$U$1501,'Per Line'!$AJ$2:$AJ$1501,$A247&amp;"|"&amp;$C247,'Per Line'!$AM$2:$AM$1501,1,'Per Line'!$AN$2:$AN$1501,0))</f>
        <v/>
      </c>
      <c r="S247" s="7">
        <f>IF($X247="","",R247*Q247)</f>
        <v/>
      </c>
      <c r="T247" s="7">
        <f>IF($X247="","",S247+P247)</f>
        <v/>
      </c>
      <c r="U247" s="7">
        <f>IF($X247="","",V247-T247)</f>
        <v/>
      </c>
      <c r="V247" s="7">
        <f>IF($X247="","",O247+R247+M247)</f>
        <v/>
      </c>
      <c r="W247" s="7">
        <f>IF($X247="","",V247-T247-K247)</f>
        <v/>
      </c>
      <c r="X247" s="13">
        <f>IF(ROWS($X$2:$X247)&lt;=MAX('Per Line'!$AL$2:$AL$1501),MATCH(ROWS($X$2:$X247),'Per Line'!$AL$2:$AL$1501,0),"")</f>
        <v/>
      </c>
    </row>
    <row r="248">
      <c r="A248">
        <f>IF($X248="","",INDEX('Per Line'!$C$2:$C$1501,$X248)&amp;"")</f>
        <v/>
      </c>
      <c r="B248" s="12" t="n"/>
      <c r="C248">
        <f>IF($X248="","",INDEX('Per Line'!$D$2:$D$1501,$X248)&amp;"")</f>
        <v/>
      </c>
      <c r="D248">
        <f>IF($X248="","",INDEX('Per Line'!$A$2:$A$1501,$X248))</f>
        <v/>
      </c>
      <c r="E248">
        <f>IF($X248="","",INDEX('Per Line'!$G$2:$G$1501,$X248)&amp;"")</f>
        <v/>
      </c>
      <c r="F248" s="11">
        <f>IF($X248="","",INDEX('Per Line'!$F$2:$F$1501,$X248))</f>
        <v/>
      </c>
      <c r="G248">
        <f>IF($X248="","",INDEX('Per Line'!$I$2:$I$1501,$X248)&amp;"")</f>
        <v/>
      </c>
      <c r="H248">
        <f>IF($X248="","",INDEX('Per Line'!$J$2:$J$1501,$X248)&amp;"")</f>
        <v/>
      </c>
      <c r="I248">
        <f>IF($X248="","",INDEX('Per Line'!$K$2:$K$1501,$X248)&amp;"")</f>
        <v/>
      </c>
      <c r="J248">
        <f>IF($X248="","",INDEX('Per Line'!$M$2:$M$1501,$X248))</f>
        <v/>
      </c>
      <c r="K248" s="7">
        <f>IF($X248="","",J248*V248/100)</f>
        <v/>
      </c>
      <c r="L248">
        <f>IF($X248="","",INDEX('Per Line'!$Y$2:$Y$1501,$X248)&amp;"")</f>
        <v/>
      </c>
      <c r="M248" s="7">
        <f>IF($X248="","",SUMIFS('Per Line'!$U$2:$U$1501,'Per Line'!$AJ$2:$AJ$1501,$A248&amp;"|"&amp;$C248,'Per Line'!$AN$2:$AN$1501,1))</f>
        <v/>
      </c>
      <c r="N248">
        <f>IF($X248="","",Settings!$C$7)</f>
        <v/>
      </c>
      <c r="O248" s="7">
        <f>IF($X248="","",SUMIFS('Per Line'!$U$2:$U$1501,'Per Line'!$AJ$2:$AJ$1501,$A248&amp;"|"&amp;$C248,'Per Line'!$AM$2:$AM$1501,0,'Per Line'!$AN$2:$AN$1501,0))</f>
        <v/>
      </c>
      <c r="P248" s="7">
        <f>IF($X248="","",O248*N248)</f>
        <v/>
      </c>
      <c r="Q248">
        <f>IF($X248="","",Settings!$C$6)</f>
        <v/>
      </c>
      <c r="R248" s="7">
        <f>IF($X248="","",SUMIFS('Per Line'!$U$2:$U$1501,'Per Line'!$AJ$2:$AJ$1501,$A248&amp;"|"&amp;$C248,'Per Line'!$AM$2:$AM$1501,1,'Per Line'!$AN$2:$AN$1501,0))</f>
        <v/>
      </c>
      <c r="S248" s="7">
        <f>IF($X248="","",R248*Q248)</f>
        <v/>
      </c>
      <c r="T248" s="7">
        <f>IF($X248="","",S248+P248)</f>
        <v/>
      </c>
      <c r="U248" s="7">
        <f>IF($X248="","",V248-T248)</f>
        <v/>
      </c>
      <c r="V248" s="7">
        <f>IF($X248="","",O248+R248+M248)</f>
        <v/>
      </c>
      <c r="W248" s="7">
        <f>IF($X248="","",V248-T248-K248)</f>
        <v/>
      </c>
      <c r="X248" s="13">
        <f>IF(ROWS($X$2:$X248)&lt;=MAX('Per Line'!$AL$2:$AL$1501),MATCH(ROWS($X$2:$X248),'Per Line'!$AL$2:$AL$1501,0),"")</f>
        <v/>
      </c>
    </row>
    <row r="249">
      <c r="A249">
        <f>IF($X249="","",INDEX('Per Line'!$C$2:$C$1501,$X249)&amp;"")</f>
        <v/>
      </c>
      <c r="B249" s="12" t="n"/>
      <c r="C249">
        <f>IF($X249="","",INDEX('Per Line'!$D$2:$D$1501,$X249)&amp;"")</f>
        <v/>
      </c>
      <c r="D249">
        <f>IF($X249="","",INDEX('Per Line'!$A$2:$A$1501,$X249))</f>
        <v/>
      </c>
      <c r="E249">
        <f>IF($X249="","",INDEX('Per Line'!$G$2:$G$1501,$X249)&amp;"")</f>
        <v/>
      </c>
      <c r="F249" s="11">
        <f>IF($X249="","",INDEX('Per Line'!$F$2:$F$1501,$X249))</f>
        <v/>
      </c>
      <c r="G249">
        <f>IF($X249="","",INDEX('Per Line'!$I$2:$I$1501,$X249)&amp;"")</f>
        <v/>
      </c>
      <c r="H249">
        <f>IF($X249="","",INDEX('Per Line'!$J$2:$J$1501,$X249)&amp;"")</f>
        <v/>
      </c>
      <c r="I249">
        <f>IF($X249="","",INDEX('Per Line'!$K$2:$K$1501,$X249)&amp;"")</f>
        <v/>
      </c>
      <c r="J249">
        <f>IF($X249="","",INDEX('Per Line'!$M$2:$M$1501,$X249))</f>
        <v/>
      </c>
      <c r="K249" s="7">
        <f>IF($X249="","",J249*V249/100)</f>
        <v/>
      </c>
      <c r="L249">
        <f>IF($X249="","",INDEX('Per Line'!$Y$2:$Y$1501,$X249)&amp;"")</f>
        <v/>
      </c>
      <c r="M249" s="7">
        <f>IF($X249="","",SUMIFS('Per Line'!$U$2:$U$1501,'Per Line'!$AJ$2:$AJ$1501,$A249&amp;"|"&amp;$C249,'Per Line'!$AN$2:$AN$1501,1))</f>
        <v/>
      </c>
      <c r="N249">
        <f>IF($X249="","",Settings!$C$7)</f>
        <v/>
      </c>
      <c r="O249" s="7">
        <f>IF($X249="","",SUMIFS('Per Line'!$U$2:$U$1501,'Per Line'!$AJ$2:$AJ$1501,$A249&amp;"|"&amp;$C249,'Per Line'!$AM$2:$AM$1501,0,'Per Line'!$AN$2:$AN$1501,0))</f>
        <v/>
      </c>
      <c r="P249" s="7">
        <f>IF($X249="","",O249*N249)</f>
        <v/>
      </c>
      <c r="Q249">
        <f>IF($X249="","",Settings!$C$6)</f>
        <v/>
      </c>
      <c r="R249" s="7">
        <f>IF($X249="","",SUMIFS('Per Line'!$U$2:$U$1501,'Per Line'!$AJ$2:$AJ$1501,$A249&amp;"|"&amp;$C249,'Per Line'!$AM$2:$AM$1501,1,'Per Line'!$AN$2:$AN$1501,0))</f>
        <v/>
      </c>
      <c r="S249" s="7">
        <f>IF($X249="","",R249*Q249)</f>
        <v/>
      </c>
      <c r="T249" s="7">
        <f>IF($X249="","",S249+P249)</f>
        <v/>
      </c>
      <c r="U249" s="7">
        <f>IF($X249="","",V249-T249)</f>
        <v/>
      </c>
      <c r="V249" s="7">
        <f>IF($X249="","",O249+R249+M249)</f>
        <v/>
      </c>
      <c r="W249" s="7">
        <f>IF($X249="","",V249-T249-K249)</f>
        <v/>
      </c>
      <c r="X249" s="13">
        <f>IF(ROWS($X$2:$X249)&lt;=MAX('Per Line'!$AL$2:$AL$1501),MATCH(ROWS($X$2:$X249),'Per Line'!$AL$2:$AL$1501,0),"")</f>
        <v/>
      </c>
    </row>
    <row r="250">
      <c r="A250">
        <f>IF($X250="","",INDEX('Per Line'!$C$2:$C$1501,$X250)&amp;"")</f>
        <v/>
      </c>
      <c r="B250" s="12" t="n"/>
      <c r="C250">
        <f>IF($X250="","",INDEX('Per Line'!$D$2:$D$1501,$X250)&amp;"")</f>
        <v/>
      </c>
      <c r="D250">
        <f>IF($X250="","",INDEX('Per Line'!$A$2:$A$1501,$X250))</f>
        <v/>
      </c>
      <c r="E250">
        <f>IF($X250="","",INDEX('Per Line'!$G$2:$G$1501,$X250)&amp;"")</f>
        <v/>
      </c>
      <c r="F250" s="11">
        <f>IF($X250="","",INDEX('Per Line'!$F$2:$F$1501,$X250))</f>
        <v/>
      </c>
      <c r="G250">
        <f>IF($X250="","",INDEX('Per Line'!$I$2:$I$1501,$X250)&amp;"")</f>
        <v/>
      </c>
      <c r="H250">
        <f>IF($X250="","",INDEX('Per Line'!$J$2:$J$1501,$X250)&amp;"")</f>
        <v/>
      </c>
      <c r="I250">
        <f>IF($X250="","",INDEX('Per Line'!$K$2:$K$1501,$X250)&amp;"")</f>
        <v/>
      </c>
      <c r="J250">
        <f>IF($X250="","",INDEX('Per Line'!$M$2:$M$1501,$X250))</f>
        <v/>
      </c>
      <c r="K250" s="7">
        <f>IF($X250="","",J250*V250/100)</f>
        <v/>
      </c>
      <c r="L250">
        <f>IF($X250="","",INDEX('Per Line'!$Y$2:$Y$1501,$X250)&amp;"")</f>
        <v/>
      </c>
      <c r="M250" s="7">
        <f>IF($X250="","",SUMIFS('Per Line'!$U$2:$U$1501,'Per Line'!$AJ$2:$AJ$1501,$A250&amp;"|"&amp;$C250,'Per Line'!$AN$2:$AN$1501,1))</f>
        <v/>
      </c>
      <c r="N250">
        <f>IF($X250="","",Settings!$C$7)</f>
        <v/>
      </c>
      <c r="O250" s="7">
        <f>IF($X250="","",SUMIFS('Per Line'!$U$2:$U$1501,'Per Line'!$AJ$2:$AJ$1501,$A250&amp;"|"&amp;$C250,'Per Line'!$AM$2:$AM$1501,0,'Per Line'!$AN$2:$AN$1501,0))</f>
        <v/>
      </c>
      <c r="P250" s="7">
        <f>IF($X250="","",O250*N250)</f>
        <v/>
      </c>
      <c r="Q250">
        <f>IF($X250="","",Settings!$C$6)</f>
        <v/>
      </c>
      <c r="R250" s="7">
        <f>IF($X250="","",SUMIFS('Per Line'!$U$2:$U$1501,'Per Line'!$AJ$2:$AJ$1501,$A250&amp;"|"&amp;$C250,'Per Line'!$AM$2:$AM$1501,1,'Per Line'!$AN$2:$AN$1501,0))</f>
        <v/>
      </c>
      <c r="S250" s="7">
        <f>IF($X250="","",R250*Q250)</f>
        <v/>
      </c>
      <c r="T250" s="7">
        <f>IF($X250="","",S250+P250)</f>
        <v/>
      </c>
      <c r="U250" s="7">
        <f>IF($X250="","",V250-T250)</f>
        <v/>
      </c>
      <c r="V250" s="7">
        <f>IF($X250="","",O250+R250+M250)</f>
        <v/>
      </c>
      <c r="W250" s="7">
        <f>IF($X250="","",V250-T250-K250)</f>
        <v/>
      </c>
      <c r="X250" s="13">
        <f>IF(ROWS($X$2:$X250)&lt;=MAX('Per Line'!$AL$2:$AL$1501),MATCH(ROWS($X$2:$X250),'Per Line'!$AL$2:$AL$1501,0),"")</f>
        <v/>
      </c>
    </row>
    <row r="251">
      <c r="A251">
        <f>IF($X251="","",INDEX('Per Line'!$C$2:$C$1501,$X251)&amp;"")</f>
        <v/>
      </c>
      <c r="B251" s="12" t="n"/>
      <c r="C251">
        <f>IF($X251="","",INDEX('Per Line'!$D$2:$D$1501,$X251)&amp;"")</f>
        <v/>
      </c>
      <c r="D251">
        <f>IF($X251="","",INDEX('Per Line'!$A$2:$A$1501,$X251))</f>
        <v/>
      </c>
      <c r="E251">
        <f>IF($X251="","",INDEX('Per Line'!$G$2:$G$1501,$X251)&amp;"")</f>
        <v/>
      </c>
      <c r="F251" s="11">
        <f>IF($X251="","",INDEX('Per Line'!$F$2:$F$1501,$X251))</f>
        <v/>
      </c>
      <c r="G251">
        <f>IF($X251="","",INDEX('Per Line'!$I$2:$I$1501,$X251)&amp;"")</f>
        <v/>
      </c>
      <c r="H251">
        <f>IF($X251="","",INDEX('Per Line'!$J$2:$J$1501,$X251)&amp;"")</f>
        <v/>
      </c>
      <c r="I251">
        <f>IF($X251="","",INDEX('Per Line'!$K$2:$K$1501,$X251)&amp;"")</f>
        <v/>
      </c>
      <c r="J251">
        <f>IF($X251="","",INDEX('Per Line'!$M$2:$M$1501,$X251))</f>
        <v/>
      </c>
      <c r="K251" s="7">
        <f>IF($X251="","",J251*V251/100)</f>
        <v/>
      </c>
      <c r="L251">
        <f>IF($X251="","",INDEX('Per Line'!$Y$2:$Y$1501,$X251)&amp;"")</f>
        <v/>
      </c>
      <c r="M251" s="7">
        <f>IF($X251="","",SUMIFS('Per Line'!$U$2:$U$1501,'Per Line'!$AJ$2:$AJ$1501,$A251&amp;"|"&amp;$C251,'Per Line'!$AN$2:$AN$1501,1))</f>
        <v/>
      </c>
      <c r="N251">
        <f>IF($X251="","",Settings!$C$7)</f>
        <v/>
      </c>
      <c r="O251" s="7">
        <f>IF($X251="","",SUMIFS('Per Line'!$U$2:$U$1501,'Per Line'!$AJ$2:$AJ$1501,$A251&amp;"|"&amp;$C251,'Per Line'!$AM$2:$AM$1501,0,'Per Line'!$AN$2:$AN$1501,0))</f>
        <v/>
      </c>
      <c r="P251" s="7">
        <f>IF($X251="","",O251*N251)</f>
        <v/>
      </c>
      <c r="Q251">
        <f>IF($X251="","",Settings!$C$6)</f>
        <v/>
      </c>
      <c r="R251" s="7">
        <f>IF($X251="","",SUMIFS('Per Line'!$U$2:$U$1501,'Per Line'!$AJ$2:$AJ$1501,$A251&amp;"|"&amp;$C251,'Per Line'!$AM$2:$AM$1501,1,'Per Line'!$AN$2:$AN$1501,0))</f>
        <v/>
      </c>
      <c r="S251" s="7">
        <f>IF($X251="","",R251*Q251)</f>
        <v/>
      </c>
      <c r="T251" s="7">
        <f>IF($X251="","",S251+P251)</f>
        <v/>
      </c>
      <c r="U251" s="7">
        <f>IF($X251="","",V251-T251)</f>
        <v/>
      </c>
      <c r="V251" s="7">
        <f>IF($X251="","",O251+R251+M251)</f>
        <v/>
      </c>
      <c r="W251" s="7">
        <f>IF($X251="","",V251-T251-K251)</f>
        <v/>
      </c>
      <c r="X251" s="13">
        <f>IF(ROWS($X$2:$X251)&lt;=MAX('Per Line'!$AL$2:$AL$1501),MATCH(ROWS($X$2:$X251),'Per Line'!$AL$2:$AL$1501,0),"")</f>
        <v/>
      </c>
    </row>
    <row r="252">
      <c r="A252">
        <f>IF($X252="","",INDEX('Per Line'!$C$2:$C$1501,$X252)&amp;"")</f>
        <v/>
      </c>
      <c r="B252" s="12" t="n"/>
      <c r="C252">
        <f>IF($X252="","",INDEX('Per Line'!$D$2:$D$1501,$X252)&amp;"")</f>
        <v/>
      </c>
      <c r="D252">
        <f>IF($X252="","",INDEX('Per Line'!$A$2:$A$1501,$X252))</f>
        <v/>
      </c>
      <c r="E252">
        <f>IF($X252="","",INDEX('Per Line'!$G$2:$G$1501,$X252)&amp;"")</f>
        <v/>
      </c>
      <c r="F252" s="11">
        <f>IF($X252="","",INDEX('Per Line'!$F$2:$F$1501,$X252))</f>
        <v/>
      </c>
      <c r="G252">
        <f>IF($X252="","",INDEX('Per Line'!$I$2:$I$1501,$X252)&amp;"")</f>
        <v/>
      </c>
      <c r="H252">
        <f>IF($X252="","",INDEX('Per Line'!$J$2:$J$1501,$X252)&amp;"")</f>
        <v/>
      </c>
      <c r="I252">
        <f>IF($X252="","",INDEX('Per Line'!$K$2:$K$1501,$X252)&amp;"")</f>
        <v/>
      </c>
      <c r="J252">
        <f>IF($X252="","",INDEX('Per Line'!$M$2:$M$1501,$X252))</f>
        <v/>
      </c>
      <c r="K252" s="7">
        <f>IF($X252="","",J252*V252/100)</f>
        <v/>
      </c>
      <c r="L252">
        <f>IF($X252="","",INDEX('Per Line'!$Y$2:$Y$1501,$X252)&amp;"")</f>
        <v/>
      </c>
      <c r="M252" s="7">
        <f>IF($X252="","",SUMIFS('Per Line'!$U$2:$U$1501,'Per Line'!$AJ$2:$AJ$1501,$A252&amp;"|"&amp;$C252,'Per Line'!$AN$2:$AN$1501,1))</f>
        <v/>
      </c>
      <c r="N252">
        <f>IF($X252="","",Settings!$C$7)</f>
        <v/>
      </c>
      <c r="O252" s="7">
        <f>IF($X252="","",SUMIFS('Per Line'!$U$2:$U$1501,'Per Line'!$AJ$2:$AJ$1501,$A252&amp;"|"&amp;$C252,'Per Line'!$AM$2:$AM$1501,0,'Per Line'!$AN$2:$AN$1501,0))</f>
        <v/>
      </c>
      <c r="P252" s="7">
        <f>IF($X252="","",O252*N252)</f>
        <v/>
      </c>
      <c r="Q252">
        <f>IF($X252="","",Settings!$C$6)</f>
        <v/>
      </c>
      <c r="R252" s="7">
        <f>IF($X252="","",SUMIFS('Per Line'!$U$2:$U$1501,'Per Line'!$AJ$2:$AJ$1501,$A252&amp;"|"&amp;$C252,'Per Line'!$AM$2:$AM$1501,1,'Per Line'!$AN$2:$AN$1501,0))</f>
        <v/>
      </c>
      <c r="S252" s="7">
        <f>IF($X252="","",R252*Q252)</f>
        <v/>
      </c>
      <c r="T252" s="7">
        <f>IF($X252="","",S252+P252)</f>
        <v/>
      </c>
      <c r="U252" s="7">
        <f>IF($X252="","",V252-T252)</f>
        <v/>
      </c>
      <c r="V252" s="7">
        <f>IF($X252="","",O252+R252+M252)</f>
        <v/>
      </c>
      <c r="W252" s="7">
        <f>IF($X252="","",V252-T252-K252)</f>
        <v/>
      </c>
      <c r="X252" s="13">
        <f>IF(ROWS($X$2:$X252)&lt;=MAX('Per Line'!$AL$2:$AL$1501),MATCH(ROWS($X$2:$X252),'Per Line'!$AL$2:$AL$1501,0),"")</f>
        <v/>
      </c>
    </row>
    <row r="253">
      <c r="A253">
        <f>IF($X253="","",INDEX('Per Line'!$C$2:$C$1501,$X253)&amp;"")</f>
        <v/>
      </c>
      <c r="B253" s="12" t="n"/>
      <c r="C253">
        <f>IF($X253="","",INDEX('Per Line'!$D$2:$D$1501,$X253)&amp;"")</f>
        <v/>
      </c>
      <c r="D253">
        <f>IF($X253="","",INDEX('Per Line'!$A$2:$A$1501,$X253))</f>
        <v/>
      </c>
      <c r="E253">
        <f>IF($X253="","",INDEX('Per Line'!$G$2:$G$1501,$X253)&amp;"")</f>
        <v/>
      </c>
      <c r="F253" s="11">
        <f>IF($X253="","",INDEX('Per Line'!$F$2:$F$1501,$X253))</f>
        <v/>
      </c>
      <c r="G253">
        <f>IF($X253="","",INDEX('Per Line'!$I$2:$I$1501,$X253)&amp;"")</f>
        <v/>
      </c>
      <c r="H253">
        <f>IF($X253="","",INDEX('Per Line'!$J$2:$J$1501,$X253)&amp;"")</f>
        <v/>
      </c>
      <c r="I253">
        <f>IF($X253="","",INDEX('Per Line'!$K$2:$K$1501,$X253)&amp;"")</f>
        <v/>
      </c>
      <c r="J253">
        <f>IF($X253="","",INDEX('Per Line'!$M$2:$M$1501,$X253))</f>
        <v/>
      </c>
      <c r="K253" s="7">
        <f>IF($X253="","",J253*V253/100)</f>
        <v/>
      </c>
      <c r="L253">
        <f>IF($X253="","",INDEX('Per Line'!$Y$2:$Y$1501,$X253)&amp;"")</f>
        <v/>
      </c>
      <c r="M253" s="7">
        <f>IF($X253="","",SUMIFS('Per Line'!$U$2:$U$1501,'Per Line'!$AJ$2:$AJ$1501,$A253&amp;"|"&amp;$C253,'Per Line'!$AN$2:$AN$1501,1))</f>
        <v/>
      </c>
      <c r="N253">
        <f>IF($X253="","",Settings!$C$7)</f>
        <v/>
      </c>
      <c r="O253" s="7">
        <f>IF($X253="","",SUMIFS('Per Line'!$U$2:$U$1501,'Per Line'!$AJ$2:$AJ$1501,$A253&amp;"|"&amp;$C253,'Per Line'!$AM$2:$AM$1501,0,'Per Line'!$AN$2:$AN$1501,0))</f>
        <v/>
      </c>
      <c r="P253" s="7">
        <f>IF($X253="","",O253*N253)</f>
        <v/>
      </c>
      <c r="Q253">
        <f>IF($X253="","",Settings!$C$6)</f>
        <v/>
      </c>
      <c r="R253" s="7">
        <f>IF($X253="","",SUMIFS('Per Line'!$U$2:$U$1501,'Per Line'!$AJ$2:$AJ$1501,$A253&amp;"|"&amp;$C253,'Per Line'!$AM$2:$AM$1501,1,'Per Line'!$AN$2:$AN$1501,0))</f>
        <v/>
      </c>
      <c r="S253" s="7">
        <f>IF($X253="","",R253*Q253)</f>
        <v/>
      </c>
      <c r="T253" s="7">
        <f>IF($X253="","",S253+P253)</f>
        <v/>
      </c>
      <c r="U253" s="7">
        <f>IF($X253="","",V253-T253)</f>
        <v/>
      </c>
      <c r="V253" s="7">
        <f>IF($X253="","",O253+R253+M253)</f>
        <v/>
      </c>
      <c r="W253" s="7">
        <f>IF($X253="","",V253-T253-K253)</f>
        <v/>
      </c>
      <c r="X253" s="13">
        <f>IF(ROWS($X$2:$X253)&lt;=MAX('Per Line'!$AL$2:$AL$1501),MATCH(ROWS($X$2:$X253),'Per Line'!$AL$2:$AL$1501,0),"")</f>
        <v/>
      </c>
    </row>
    <row r="254">
      <c r="A254">
        <f>IF($X254="","",INDEX('Per Line'!$C$2:$C$1501,$X254)&amp;"")</f>
        <v/>
      </c>
      <c r="B254" s="12" t="n"/>
      <c r="C254">
        <f>IF($X254="","",INDEX('Per Line'!$D$2:$D$1501,$X254)&amp;"")</f>
        <v/>
      </c>
      <c r="D254">
        <f>IF($X254="","",INDEX('Per Line'!$A$2:$A$1501,$X254))</f>
        <v/>
      </c>
      <c r="E254">
        <f>IF($X254="","",INDEX('Per Line'!$G$2:$G$1501,$X254)&amp;"")</f>
        <v/>
      </c>
      <c r="F254" s="11">
        <f>IF($X254="","",INDEX('Per Line'!$F$2:$F$1501,$X254))</f>
        <v/>
      </c>
      <c r="G254">
        <f>IF($X254="","",INDEX('Per Line'!$I$2:$I$1501,$X254)&amp;"")</f>
        <v/>
      </c>
      <c r="H254">
        <f>IF($X254="","",INDEX('Per Line'!$J$2:$J$1501,$X254)&amp;"")</f>
        <v/>
      </c>
      <c r="I254">
        <f>IF($X254="","",INDEX('Per Line'!$K$2:$K$1501,$X254)&amp;"")</f>
        <v/>
      </c>
      <c r="J254">
        <f>IF($X254="","",INDEX('Per Line'!$M$2:$M$1501,$X254))</f>
        <v/>
      </c>
      <c r="K254" s="7">
        <f>IF($X254="","",J254*V254/100)</f>
        <v/>
      </c>
      <c r="L254">
        <f>IF($X254="","",INDEX('Per Line'!$Y$2:$Y$1501,$X254)&amp;"")</f>
        <v/>
      </c>
      <c r="M254" s="7">
        <f>IF($X254="","",SUMIFS('Per Line'!$U$2:$U$1501,'Per Line'!$AJ$2:$AJ$1501,$A254&amp;"|"&amp;$C254,'Per Line'!$AN$2:$AN$1501,1))</f>
        <v/>
      </c>
      <c r="N254">
        <f>IF($X254="","",Settings!$C$7)</f>
        <v/>
      </c>
      <c r="O254" s="7">
        <f>IF($X254="","",SUMIFS('Per Line'!$U$2:$U$1501,'Per Line'!$AJ$2:$AJ$1501,$A254&amp;"|"&amp;$C254,'Per Line'!$AM$2:$AM$1501,0,'Per Line'!$AN$2:$AN$1501,0))</f>
        <v/>
      </c>
      <c r="P254" s="7">
        <f>IF($X254="","",O254*N254)</f>
        <v/>
      </c>
      <c r="Q254">
        <f>IF($X254="","",Settings!$C$6)</f>
        <v/>
      </c>
      <c r="R254" s="7">
        <f>IF($X254="","",SUMIFS('Per Line'!$U$2:$U$1501,'Per Line'!$AJ$2:$AJ$1501,$A254&amp;"|"&amp;$C254,'Per Line'!$AM$2:$AM$1501,1,'Per Line'!$AN$2:$AN$1501,0))</f>
        <v/>
      </c>
      <c r="S254" s="7">
        <f>IF($X254="","",R254*Q254)</f>
        <v/>
      </c>
      <c r="T254" s="7">
        <f>IF($X254="","",S254+P254)</f>
        <v/>
      </c>
      <c r="U254" s="7">
        <f>IF($X254="","",V254-T254)</f>
        <v/>
      </c>
      <c r="V254" s="7">
        <f>IF($X254="","",O254+R254+M254)</f>
        <v/>
      </c>
      <c r="W254" s="7">
        <f>IF($X254="","",V254-T254-K254)</f>
        <v/>
      </c>
      <c r="X254" s="13">
        <f>IF(ROWS($X$2:$X254)&lt;=MAX('Per Line'!$AL$2:$AL$1501),MATCH(ROWS($X$2:$X254),'Per Line'!$AL$2:$AL$1501,0),"")</f>
        <v/>
      </c>
    </row>
    <row r="255">
      <c r="A255">
        <f>IF($X255="","",INDEX('Per Line'!$C$2:$C$1501,$X255)&amp;"")</f>
        <v/>
      </c>
      <c r="B255" s="12" t="n"/>
      <c r="C255">
        <f>IF($X255="","",INDEX('Per Line'!$D$2:$D$1501,$X255)&amp;"")</f>
        <v/>
      </c>
      <c r="D255">
        <f>IF($X255="","",INDEX('Per Line'!$A$2:$A$1501,$X255))</f>
        <v/>
      </c>
      <c r="E255">
        <f>IF($X255="","",INDEX('Per Line'!$G$2:$G$1501,$X255)&amp;"")</f>
        <v/>
      </c>
      <c r="F255" s="11">
        <f>IF($X255="","",INDEX('Per Line'!$F$2:$F$1501,$X255))</f>
        <v/>
      </c>
      <c r="G255">
        <f>IF($X255="","",INDEX('Per Line'!$I$2:$I$1501,$X255)&amp;"")</f>
        <v/>
      </c>
      <c r="H255">
        <f>IF($X255="","",INDEX('Per Line'!$J$2:$J$1501,$X255)&amp;"")</f>
        <v/>
      </c>
      <c r="I255">
        <f>IF($X255="","",INDEX('Per Line'!$K$2:$K$1501,$X255)&amp;"")</f>
        <v/>
      </c>
      <c r="J255">
        <f>IF($X255="","",INDEX('Per Line'!$M$2:$M$1501,$X255))</f>
        <v/>
      </c>
      <c r="K255" s="7">
        <f>IF($X255="","",J255*V255/100)</f>
        <v/>
      </c>
      <c r="L255">
        <f>IF($X255="","",INDEX('Per Line'!$Y$2:$Y$1501,$X255)&amp;"")</f>
        <v/>
      </c>
      <c r="M255" s="7">
        <f>IF($X255="","",SUMIFS('Per Line'!$U$2:$U$1501,'Per Line'!$AJ$2:$AJ$1501,$A255&amp;"|"&amp;$C255,'Per Line'!$AN$2:$AN$1501,1))</f>
        <v/>
      </c>
      <c r="N255">
        <f>IF($X255="","",Settings!$C$7)</f>
        <v/>
      </c>
      <c r="O255" s="7">
        <f>IF($X255="","",SUMIFS('Per Line'!$U$2:$U$1501,'Per Line'!$AJ$2:$AJ$1501,$A255&amp;"|"&amp;$C255,'Per Line'!$AM$2:$AM$1501,0,'Per Line'!$AN$2:$AN$1501,0))</f>
        <v/>
      </c>
      <c r="P255" s="7">
        <f>IF($X255="","",O255*N255)</f>
        <v/>
      </c>
      <c r="Q255">
        <f>IF($X255="","",Settings!$C$6)</f>
        <v/>
      </c>
      <c r="R255" s="7">
        <f>IF($X255="","",SUMIFS('Per Line'!$U$2:$U$1501,'Per Line'!$AJ$2:$AJ$1501,$A255&amp;"|"&amp;$C255,'Per Line'!$AM$2:$AM$1501,1,'Per Line'!$AN$2:$AN$1501,0))</f>
        <v/>
      </c>
      <c r="S255" s="7">
        <f>IF($X255="","",R255*Q255)</f>
        <v/>
      </c>
      <c r="T255" s="7">
        <f>IF($X255="","",S255+P255)</f>
        <v/>
      </c>
      <c r="U255" s="7">
        <f>IF($X255="","",V255-T255)</f>
        <v/>
      </c>
      <c r="V255" s="7">
        <f>IF($X255="","",O255+R255+M255)</f>
        <v/>
      </c>
      <c r="W255" s="7">
        <f>IF($X255="","",V255-T255-K255)</f>
        <v/>
      </c>
      <c r="X255" s="13">
        <f>IF(ROWS($X$2:$X255)&lt;=MAX('Per Line'!$AL$2:$AL$1501),MATCH(ROWS($X$2:$X255),'Per Line'!$AL$2:$AL$1501,0),"")</f>
        <v/>
      </c>
    </row>
    <row r="256">
      <c r="A256">
        <f>IF($X256="","",INDEX('Per Line'!$C$2:$C$1501,$X256)&amp;"")</f>
        <v/>
      </c>
      <c r="B256" s="12" t="n"/>
      <c r="C256">
        <f>IF($X256="","",INDEX('Per Line'!$D$2:$D$1501,$X256)&amp;"")</f>
        <v/>
      </c>
      <c r="D256">
        <f>IF($X256="","",INDEX('Per Line'!$A$2:$A$1501,$X256))</f>
        <v/>
      </c>
      <c r="E256">
        <f>IF($X256="","",INDEX('Per Line'!$G$2:$G$1501,$X256)&amp;"")</f>
        <v/>
      </c>
      <c r="F256" s="11">
        <f>IF($X256="","",INDEX('Per Line'!$F$2:$F$1501,$X256))</f>
        <v/>
      </c>
      <c r="G256">
        <f>IF($X256="","",INDEX('Per Line'!$I$2:$I$1501,$X256)&amp;"")</f>
        <v/>
      </c>
      <c r="H256">
        <f>IF($X256="","",INDEX('Per Line'!$J$2:$J$1501,$X256)&amp;"")</f>
        <v/>
      </c>
      <c r="I256">
        <f>IF($X256="","",INDEX('Per Line'!$K$2:$K$1501,$X256)&amp;"")</f>
        <v/>
      </c>
      <c r="J256">
        <f>IF($X256="","",INDEX('Per Line'!$M$2:$M$1501,$X256))</f>
        <v/>
      </c>
      <c r="K256" s="7">
        <f>IF($X256="","",J256*V256/100)</f>
        <v/>
      </c>
      <c r="L256">
        <f>IF($X256="","",INDEX('Per Line'!$Y$2:$Y$1501,$X256)&amp;"")</f>
        <v/>
      </c>
      <c r="M256" s="7">
        <f>IF($X256="","",SUMIFS('Per Line'!$U$2:$U$1501,'Per Line'!$AJ$2:$AJ$1501,$A256&amp;"|"&amp;$C256,'Per Line'!$AN$2:$AN$1501,1))</f>
        <v/>
      </c>
      <c r="N256">
        <f>IF($X256="","",Settings!$C$7)</f>
        <v/>
      </c>
      <c r="O256" s="7">
        <f>IF($X256="","",SUMIFS('Per Line'!$U$2:$U$1501,'Per Line'!$AJ$2:$AJ$1501,$A256&amp;"|"&amp;$C256,'Per Line'!$AM$2:$AM$1501,0,'Per Line'!$AN$2:$AN$1501,0))</f>
        <v/>
      </c>
      <c r="P256" s="7">
        <f>IF($X256="","",O256*N256)</f>
        <v/>
      </c>
      <c r="Q256">
        <f>IF($X256="","",Settings!$C$6)</f>
        <v/>
      </c>
      <c r="R256" s="7">
        <f>IF($X256="","",SUMIFS('Per Line'!$U$2:$U$1501,'Per Line'!$AJ$2:$AJ$1501,$A256&amp;"|"&amp;$C256,'Per Line'!$AM$2:$AM$1501,1,'Per Line'!$AN$2:$AN$1501,0))</f>
        <v/>
      </c>
      <c r="S256" s="7">
        <f>IF($X256="","",R256*Q256)</f>
        <v/>
      </c>
      <c r="T256" s="7">
        <f>IF($X256="","",S256+P256)</f>
        <v/>
      </c>
      <c r="U256" s="7">
        <f>IF($X256="","",V256-T256)</f>
        <v/>
      </c>
      <c r="V256" s="7">
        <f>IF($X256="","",O256+R256+M256)</f>
        <v/>
      </c>
      <c r="W256" s="7">
        <f>IF($X256="","",V256-T256-K256)</f>
        <v/>
      </c>
      <c r="X256" s="13">
        <f>IF(ROWS($X$2:$X256)&lt;=MAX('Per Line'!$AL$2:$AL$1501),MATCH(ROWS($X$2:$X256),'Per Line'!$AL$2:$AL$1501,0),"")</f>
        <v/>
      </c>
    </row>
    <row r="257">
      <c r="A257">
        <f>IF($X257="","",INDEX('Per Line'!$C$2:$C$1501,$X257)&amp;"")</f>
        <v/>
      </c>
      <c r="B257" s="12" t="n"/>
      <c r="C257">
        <f>IF($X257="","",INDEX('Per Line'!$D$2:$D$1501,$X257)&amp;"")</f>
        <v/>
      </c>
      <c r="D257">
        <f>IF($X257="","",INDEX('Per Line'!$A$2:$A$1501,$X257))</f>
        <v/>
      </c>
      <c r="E257">
        <f>IF($X257="","",INDEX('Per Line'!$G$2:$G$1501,$X257)&amp;"")</f>
        <v/>
      </c>
      <c r="F257" s="11">
        <f>IF($X257="","",INDEX('Per Line'!$F$2:$F$1501,$X257))</f>
        <v/>
      </c>
      <c r="G257">
        <f>IF($X257="","",INDEX('Per Line'!$I$2:$I$1501,$X257)&amp;"")</f>
        <v/>
      </c>
      <c r="H257">
        <f>IF($X257="","",INDEX('Per Line'!$J$2:$J$1501,$X257)&amp;"")</f>
        <v/>
      </c>
      <c r="I257">
        <f>IF($X257="","",INDEX('Per Line'!$K$2:$K$1501,$X257)&amp;"")</f>
        <v/>
      </c>
      <c r="J257">
        <f>IF($X257="","",INDEX('Per Line'!$M$2:$M$1501,$X257))</f>
        <v/>
      </c>
      <c r="K257" s="7">
        <f>IF($X257="","",J257*V257/100)</f>
        <v/>
      </c>
      <c r="L257">
        <f>IF($X257="","",INDEX('Per Line'!$Y$2:$Y$1501,$X257)&amp;"")</f>
        <v/>
      </c>
      <c r="M257" s="7">
        <f>IF($X257="","",SUMIFS('Per Line'!$U$2:$U$1501,'Per Line'!$AJ$2:$AJ$1501,$A257&amp;"|"&amp;$C257,'Per Line'!$AN$2:$AN$1501,1))</f>
        <v/>
      </c>
      <c r="N257">
        <f>IF($X257="","",Settings!$C$7)</f>
        <v/>
      </c>
      <c r="O257" s="7">
        <f>IF($X257="","",SUMIFS('Per Line'!$U$2:$U$1501,'Per Line'!$AJ$2:$AJ$1501,$A257&amp;"|"&amp;$C257,'Per Line'!$AM$2:$AM$1501,0,'Per Line'!$AN$2:$AN$1501,0))</f>
        <v/>
      </c>
      <c r="P257" s="7">
        <f>IF($X257="","",O257*N257)</f>
        <v/>
      </c>
      <c r="Q257">
        <f>IF($X257="","",Settings!$C$6)</f>
        <v/>
      </c>
      <c r="R257" s="7">
        <f>IF($X257="","",SUMIFS('Per Line'!$U$2:$U$1501,'Per Line'!$AJ$2:$AJ$1501,$A257&amp;"|"&amp;$C257,'Per Line'!$AM$2:$AM$1501,1,'Per Line'!$AN$2:$AN$1501,0))</f>
        <v/>
      </c>
      <c r="S257" s="7">
        <f>IF($X257="","",R257*Q257)</f>
        <v/>
      </c>
      <c r="T257" s="7">
        <f>IF($X257="","",S257+P257)</f>
        <v/>
      </c>
      <c r="U257" s="7">
        <f>IF($X257="","",V257-T257)</f>
        <v/>
      </c>
      <c r="V257" s="7">
        <f>IF($X257="","",O257+R257+M257)</f>
        <v/>
      </c>
      <c r="W257" s="7">
        <f>IF($X257="","",V257-T257-K257)</f>
        <v/>
      </c>
      <c r="X257" s="13">
        <f>IF(ROWS($X$2:$X257)&lt;=MAX('Per Line'!$AL$2:$AL$1501),MATCH(ROWS($X$2:$X257),'Per Line'!$AL$2:$AL$1501,0),"")</f>
        <v/>
      </c>
    </row>
    <row r="258">
      <c r="A258">
        <f>IF($X258="","",INDEX('Per Line'!$C$2:$C$1501,$X258)&amp;"")</f>
        <v/>
      </c>
      <c r="B258" s="12" t="n"/>
      <c r="C258">
        <f>IF($X258="","",INDEX('Per Line'!$D$2:$D$1501,$X258)&amp;"")</f>
        <v/>
      </c>
      <c r="D258">
        <f>IF($X258="","",INDEX('Per Line'!$A$2:$A$1501,$X258))</f>
        <v/>
      </c>
      <c r="E258">
        <f>IF($X258="","",INDEX('Per Line'!$G$2:$G$1501,$X258)&amp;"")</f>
        <v/>
      </c>
      <c r="F258" s="11">
        <f>IF($X258="","",INDEX('Per Line'!$F$2:$F$1501,$X258))</f>
        <v/>
      </c>
      <c r="G258">
        <f>IF($X258="","",INDEX('Per Line'!$I$2:$I$1501,$X258)&amp;"")</f>
        <v/>
      </c>
      <c r="H258">
        <f>IF($X258="","",INDEX('Per Line'!$J$2:$J$1501,$X258)&amp;"")</f>
        <v/>
      </c>
      <c r="I258">
        <f>IF($X258="","",INDEX('Per Line'!$K$2:$K$1501,$X258)&amp;"")</f>
        <v/>
      </c>
      <c r="J258">
        <f>IF($X258="","",INDEX('Per Line'!$M$2:$M$1501,$X258))</f>
        <v/>
      </c>
      <c r="K258" s="7">
        <f>IF($X258="","",J258*V258/100)</f>
        <v/>
      </c>
      <c r="L258">
        <f>IF($X258="","",INDEX('Per Line'!$Y$2:$Y$1501,$X258)&amp;"")</f>
        <v/>
      </c>
      <c r="M258" s="7">
        <f>IF($X258="","",SUMIFS('Per Line'!$U$2:$U$1501,'Per Line'!$AJ$2:$AJ$1501,$A258&amp;"|"&amp;$C258,'Per Line'!$AN$2:$AN$1501,1))</f>
        <v/>
      </c>
      <c r="N258">
        <f>IF($X258="","",Settings!$C$7)</f>
        <v/>
      </c>
      <c r="O258" s="7">
        <f>IF($X258="","",SUMIFS('Per Line'!$U$2:$U$1501,'Per Line'!$AJ$2:$AJ$1501,$A258&amp;"|"&amp;$C258,'Per Line'!$AM$2:$AM$1501,0,'Per Line'!$AN$2:$AN$1501,0))</f>
        <v/>
      </c>
      <c r="P258" s="7">
        <f>IF($X258="","",O258*N258)</f>
        <v/>
      </c>
      <c r="Q258">
        <f>IF($X258="","",Settings!$C$6)</f>
        <v/>
      </c>
      <c r="R258" s="7">
        <f>IF($X258="","",SUMIFS('Per Line'!$U$2:$U$1501,'Per Line'!$AJ$2:$AJ$1501,$A258&amp;"|"&amp;$C258,'Per Line'!$AM$2:$AM$1501,1,'Per Line'!$AN$2:$AN$1501,0))</f>
        <v/>
      </c>
      <c r="S258" s="7">
        <f>IF($X258="","",R258*Q258)</f>
        <v/>
      </c>
      <c r="T258" s="7">
        <f>IF($X258="","",S258+P258)</f>
        <v/>
      </c>
      <c r="U258" s="7">
        <f>IF($X258="","",V258-T258)</f>
        <v/>
      </c>
      <c r="V258" s="7">
        <f>IF($X258="","",O258+R258+M258)</f>
        <v/>
      </c>
      <c r="W258" s="7">
        <f>IF($X258="","",V258-T258-K258)</f>
        <v/>
      </c>
      <c r="X258" s="13">
        <f>IF(ROWS($X$2:$X258)&lt;=MAX('Per Line'!$AL$2:$AL$1501),MATCH(ROWS($X$2:$X258),'Per Line'!$AL$2:$AL$1501,0),"")</f>
        <v/>
      </c>
    </row>
    <row r="259">
      <c r="A259">
        <f>IF($X259="","",INDEX('Per Line'!$C$2:$C$1501,$X259)&amp;"")</f>
        <v/>
      </c>
      <c r="B259" s="12" t="n"/>
      <c r="C259">
        <f>IF($X259="","",INDEX('Per Line'!$D$2:$D$1501,$X259)&amp;"")</f>
        <v/>
      </c>
      <c r="D259">
        <f>IF($X259="","",INDEX('Per Line'!$A$2:$A$1501,$X259))</f>
        <v/>
      </c>
      <c r="E259">
        <f>IF($X259="","",INDEX('Per Line'!$G$2:$G$1501,$X259)&amp;"")</f>
        <v/>
      </c>
      <c r="F259" s="11">
        <f>IF($X259="","",INDEX('Per Line'!$F$2:$F$1501,$X259))</f>
        <v/>
      </c>
      <c r="G259">
        <f>IF($X259="","",INDEX('Per Line'!$I$2:$I$1501,$X259)&amp;"")</f>
        <v/>
      </c>
      <c r="H259">
        <f>IF($X259="","",INDEX('Per Line'!$J$2:$J$1501,$X259)&amp;"")</f>
        <v/>
      </c>
      <c r="I259">
        <f>IF($X259="","",INDEX('Per Line'!$K$2:$K$1501,$X259)&amp;"")</f>
        <v/>
      </c>
      <c r="J259">
        <f>IF($X259="","",INDEX('Per Line'!$M$2:$M$1501,$X259))</f>
        <v/>
      </c>
      <c r="K259" s="7">
        <f>IF($X259="","",J259*V259/100)</f>
        <v/>
      </c>
      <c r="L259">
        <f>IF($X259="","",INDEX('Per Line'!$Y$2:$Y$1501,$X259)&amp;"")</f>
        <v/>
      </c>
      <c r="M259" s="7">
        <f>IF($X259="","",SUMIFS('Per Line'!$U$2:$U$1501,'Per Line'!$AJ$2:$AJ$1501,$A259&amp;"|"&amp;$C259,'Per Line'!$AN$2:$AN$1501,1))</f>
        <v/>
      </c>
      <c r="N259">
        <f>IF($X259="","",Settings!$C$7)</f>
        <v/>
      </c>
      <c r="O259" s="7">
        <f>IF($X259="","",SUMIFS('Per Line'!$U$2:$U$1501,'Per Line'!$AJ$2:$AJ$1501,$A259&amp;"|"&amp;$C259,'Per Line'!$AM$2:$AM$1501,0,'Per Line'!$AN$2:$AN$1501,0))</f>
        <v/>
      </c>
      <c r="P259" s="7">
        <f>IF($X259="","",O259*N259)</f>
        <v/>
      </c>
      <c r="Q259">
        <f>IF($X259="","",Settings!$C$6)</f>
        <v/>
      </c>
      <c r="R259" s="7">
        <f>IF($X259="","",SUMIFS('Per Line'!$U$2:$U$1501,'Per Line'!$AJ$2:$AJ$1501,$A259&amp;"|"&amp;$C259,'Per Line'!$AM$2:$AM$1501,1,'Per Line'!$AN$2:$AN$1501,0))</f>
        <v/>
      </c>
      <c r="S259" s="7">
        <f>IF($X259="","",R259*Q259)</f>
        <v/>
      </c>
      <c r="T259" s="7">
        <f>IF($X259="","",S259+P259)</f>
        <v/>
      </c>
      <c r="U259" s="7">
        <f>IF($X259="","",V259-T259)</f>
        <v/>
      </c>
      <c r="V259" s="7">
        <f>IF($X259="","",O259+R259+M259)</f>
        <v/>
      </c>
      <c r="W259" s="7">
        <f>IF($X259="","",V259-T259-K259)</f>
        <v/>
      </c>
      <c r="X259" s="13">
        <f>IF(ROWS($X$2:$X259)&lt;=MAX('Per Line'!$AL$2:$AL$1501),MATCH(ROWS($X$2:$X259),'Per Line'!$AL$2:$AL$1501,0),"")</f>
        <v/>
      </c>
    </row>
    <row r="260">
      <c r="A260">
        <f>IF($X260="","",INDEX('Per Line'!$C$2:$C$1501,$X260)&amp;"")</f>
        <v/>
      </c>
      <c r="B260" s="12" t="n"/>
      <c r="C260">
        <f>IF($X260="","",INDEX('Per Line'!$D$2:$D$1501,$X260)&amp;"")</f>
        <v/>
      </c>
      <c r="D260">
        <f>IF($X260="","",INDEX('Per Line'!$A$2:$A$1501,$X260))</f>
        <v/>
      </c>
      <c r="E260">
        <f>IF($X260="","",INDEX('Per Line'!$G$2:$G$1501,$X260)&amp;"")</f>
        <v/>
      </c>
      <c r="F260" s="11">
        <f>IF($X260="","",INDEX('Per Line'!$F$2:$F$1501,$X260))</f>
        <v/>
      </c>
      <c r="G260">
        <f>IF($X260="","",INDEX('Per Line'!$I$2:$I$1501,$X260)&amp;"")</f>
        <v/>
      </c>
      <c r="H260">
        <f>IF($X260="","",INDEX('Per Line'!$J$2:$J$1501,$X260)&amp;"")</f>
        <v/>
      </c>
      <c r="I260">
        <f>IF($X260="","",INDEX('Per Line'!$K$2:$K$1501,$X260)&amp;"")</f>
        <v/>
      </c>
      <c r="J260">
        <f>IF($X260="","",INDEX('Per Line'!$M$2:$M$1501,$X260))</f>
        <v/>
      </c>
      <c r="K260" s="7">
        <f>IF($X260="","",J260*V260/100)</f>
        <v/>
      </c>
      <c r="L260">
        <f>IF($X260="","",INDEX('Per Line'!$Y$2:$Y$1501,$X260)&amp;"")</f>
        <v/>
      </c>
      <c r="M260" s="7">
        <f>IF($X260="","",SUMIFS('Per Line'!$U$2:$U$1501,'Per Line'!$AJ$2:$AJ$1501,$A260&amp;"|"&amp;$C260,'Per Line'!$AN$2:$AN$1501,1))</f>
        <v/>
      </c>
      <c r="N260">
        <f>IF($X260="","",Settings!$C$7)</f>
        <v/>
      </c>
      <c r="O260" s="7">
        <f>IF($X260="","",SUMIFS('Per Line'!$U$2:$U$1501,'Per Line'!$AJ$2:$AJ$1501,$A260&amp;"|"&amp;$C260,'Per Line'!$AM$2:$AM$1501,0,'Per Line'!$AN$2:$AN$1501,0))</f>
        <v/>
      </c>
      <c r="P260" s="7">
        <f>IF($X260="","",O260*N260)</f>
        <v/>
      </c>
      <c r="Q260">
        <f>IF($X260="","",Settings!$C$6)</f>
        <v/>
      </c>
      <c r="R260" s="7">
        <f>IF($X260="","",SUMIFS('Per Line'!$U$2:$U$1501,'Per Line'!$AJ$2:$AJ$1501,$A260&amp;"|"&amp;$C260,'Per Line'!$AM$2:$AM$1501,1,'Per Line'!$AN$2:$AN$1501,0))</f>
        <v/>
      </c>
      <c r="S260" s="7">
        <f>IF($X260="","",R260*Q260)</f>
        <v/>
      </c>
      <c r="T260" s="7">
        <f>IF($X260="","",S260+P260)</f>
        <v/>
      </c>
      <c r="U260" s="7">
        <f>IF($X260="","",V260-T260)</f>
        <v/>
      </c>
      <c r="V260" s="7">
        <f>IF($X260="","",O260+R260+M260)</f>
        <v/>
      </c>
      <c r="W260" s="7">
        <f>IF($X260="","",V260-T260-K260)</f>
        <v/>
      </c>
      <c r="X260" s="13">
        <f>IF(ROWS($X$2:$X260)&lt;=MAX('Per Line'!$AL$2:$AL$1501),MATCH(ROWS($X$2:$X260),'Per Line'!$AL$2:$AL$1501,0),"")</f>
        <v/>
      </c>
    </row>
    <row r="261">
      <c r="A261">
        <f>IF($X261="","",INDEX('Per Line'!$C$2:$C$1501,$X261)&amp;"")</f>
        <v/>
      </c>
      <c r="B261" s="12" t="n"/>
      <c r="C261">
        <f>IF($X261="","",INDEX('Per Line'!$D$2:$D$1501,$X261)&amp;"")</f>
        <v/>
      </c>
      <c r="D261">
        <f>IF($X261="","",INDEX('Per Line'!$A$2:$A$1501,$X261))</f>
        <v/>
      </c>
      <c r="E261">
        <f>IF($X261="","",INDEX('Per Line'!$G$2:$G$1501,$X261)&amp;"")</f>
        <v/>
      </c>
      <c r="F261" s="11">
        <f>IF($X261="","",INDEX('Per Line'!$F$2:$F$1501,$X261))</f>
        <v/>
      </c>
      <c r="G261">
        <f>IF($X261="","",INDEX('Per Line'!$I$2:$I$1501,$X261)&amp;"")</f>
        <v/>
      </c>
      <c r="H261">
        <f>IF($X261="","",INDEX('Per Line'!$J$2:$J$1501,$X261)&amp;"")</f>
        <v/>
      </c>
      <c r="I261">
        <f>IF($X261="","",INDEX('Per Line'!$K$2:$K$1501,$X261)&amp;"")</f>
        <v/>
      </c>
      <c r="J261">
        <f>IF($X261="","",INDEX('Per Line'!$M$2:$M$1501,$X261))</f>
        <v/>
      </c>
      <c r="K261" s="7">
        <f>IF($X261="","",J261*V261/100)</f>
        <v/>
      </c>
      <c r="L261">
        <f>IF($X261="","",INDEX('Per Line'!$Y$2:$Y$1501,$X261)&amp;"")</f>
        <v/>
      </c>
      <c r="M261" s="7">
        <f>IF($X261="","",SUMIFS('Per Line'!$U$2:$U$1501,'Per Line'!$AJ$2:$AJ$1501,$A261&amp;"|"&amp;$C261,'Per Line'!$AN$2:$AN$1501,1))</f>
        <v/>
      </c>
      <c r="N261">
        <f>IF($X261="","",Settings!$C$7)</f>
        <v/>
      </c>
      <c r="O261" s="7">
        <f>IF($X261="","",SUMIFS('Per Line'!$U$2:$U$1501,'Per Line'!$AJ$2:$AJ$1501,$A261&amp;"|"&amp;$C261,'Per Line'!$AM$2:$AM$1501,0,'Per Line'!$AN$2:$AN$1501,0))</f>
        <v/>
      </c>
      <c r="P261" s="7">
        <f>IF($X261="","",O261*N261)</f>
        <v/>
      </c>
      <c r="Q261">
        <f>IF($X261="","",Settings!$C$6)</f>
        <v/>
      </c>
      <c r="R261" s="7">
        <f>IF($X261="","",SUMIFS('Per Line'!$U$2:$U$1501,'Per Line'!$AJ$2:$AJ$1501,$A261&amp;"|"&amp;$C261,'Per Line'!$AM$2:$AM$1501,1,'Per Line'!$AN$2:$AN$1501,0))</f>
        <v/>
      </c>
      <c r="S261" s="7">
        <f>IF($X261="","",R261*Q261)</f>
        <v/>
      </c>
      <c r="T261" s="7">
        <f>IF($X261="","",S261+P261)</f>
        <v/>
      </c>
      <c r="U261" s="7">
        <f>IF($X261="","",V261-T261)</f>
        <v/>
      </c>
      <c r="V261" s="7">
        <f>IF($X261="","",O261+R261+M261)</f>
        <v/>
      </c>
      <c r="W261" s="7">
        <f>IF($X261="","",V261-T261-K261)</f>
        <v/>
      </c>
      <c r="X261" s="13">
        <f>IF(ROWS($X$2:$X261)&lt;=MAX('Per Line'!$AL$2:$AL$1501),MATCH(ROWS($X$2:$X261),'Per Line'!$AL$2:$AL$1501,0),"")</f>
        <v/>
      </c>
    </row>
    <row r="262">
      <c r="A262">
        <f>IF($X262="","",INDEX('Per Line'!$C$2:$C$1501,$X262)&amp;"")</f>
        <v/>
      </c>
      <c r="B262" s="12" t="n"/>
      <c r="C262">
        <f>IF($X262="","",INDEX('Per Line'!$D$2:$D$1501,$X262)&amp;"")</f>
        <v/>
      </c>
      <c r="D262">
        <f>IF($X262="","",INDEX('Per Line'!$A$2:$A$1501,$X262))</f>
        <v/>
      </c>
      <c r="E262">
        <f>IF($X262="","",INDEX('Per Line'!$G$2:$G$1501,$X262)&amp;"")</f>
        <v/>
      </c>
      <c r="F262" s="11">
        <f>IF($X262="","",INDEX('Per Line'!$F$2:$F$1501,$X262))</f>
        <v/>
      </c>
      <c r="G262">
        <f>IF($X262="","",INDEX('Per Line'!$I$2:$I$1501,$X262)&amp;"")</f>
        <v/>
      </c>
      <c r="H262">
        <f>IF($X262="","",INDEX('Per Line'!$J$2:$J$1501,$X262)&amp;"")</f>
        <v/>
      </c>
      <c r="I262">
        <f>IF($X262="","",INDEX('Per Line'!$K$2:$K$1501,$X262)&amp;"")</f>
        <v/>
      </c>
      <c r="J262">
        <f>IF($X262="","",INDEX('Per Line'!$M$2:$M$1501,$X262))</f>
        <v/>
      </c>
      <c r="K262" s="7">
        <f>IF($X262="","",J262*V262/100)</f>
        <v/>
      </c>
      <c r="L262">
        <f>IF($X262="","",INDEX('Per Line'!$Y$2:$Y$1501,$X262)&amp;"")</f>
        <v/>
      </c>
      <c r="M262" s="7">
        <f>IF($X262="","",SUMIFS('Per Line'!$U$2:$U$1501,'Per Line'!$AJ$2:$AJ$1501,$A262&amp;"|"&amp;$C262,'Per Line'!$AN$2:$AN$1501,1))</f>
        <v/>
      </c>
      <c r="N262">
        <f>IF($X262="","",Settings!$C$7)</f>
        <v/>
      </c>
      <c r="O262" s="7">
        <f>IF($X262="","",SUMIFS('Per Line'!$U$2:$U$1501,'Per Line'!$AJ$2:$AJ$1501,$A262&amp;"|"&amp;$C262,'Per Line'!$AM$2:$AM$1501,0,'Per Line'!$AN$2:$AN$1501,0))</f>
        <v/>
      </c>
      <c r="P262" s="7">
        <f>IF($X262="","",O262*N262)</f>
        <v/>
      </c>
      <c r="Q262">
        <f>IF($X262="","",Settings!$C$6)</f>
        <v/>
      </c>
      <c r="R262" s="7">
        <f>IF($X262="","",SUMIFS('Per Line'!$U$2:$U$1501,'Per Line'!$AJ$2:$AJ$1501,$A262&amp;"|"&amp;$C262,'Per Line'!$AM$2:$AM$1501,1,'Per Line'!$AN$2:$AN$1501,0))</f>
        <v/>
      </c>
      <c r="S262" s="7">
        <f>IF($X262="","",R262*Q262)</f>
        <v/>
      </c>
      <c r="T262" s="7">
        <f>IF($X262="","",S262+P262)</f>
        <v/>
      </c>
      <c r="U262" s="7">
        <f>IF($X262="","",V262-T262)</f>
        <v/>
      </c>
      <c r="V262" s="7">
        <f>IF($X262="","",O262+R262+M262)</f>
        <v/>
      </c>
      <c r="W262" s="7">
        <f>IF($X262="","",V262-T262-K262)</f>
        <v/>
      </c>
      <c r="X262" s="13">
        <f>IF(ROWS($X$2:$X262)&lt;=MAX('Per Line'!$AL$2:$AL$1501),MATCH(ROWS($X$2:$X262),'Per Line'!$AL$2:$AL$1501,0),"")</f>
        <v/>
      </c>
    </row>
    <row r="263">
      <c r="A263">
        <f>IF($X263="","",INDEX('Per Line'!$C$2:$C$1501,$X263)&amp;"")</f>
        <v/>
      </c>
      <c r="B263" s="12" t="n"/>
      <c r="C263">
        <f>IF($X263="","",INDEX('Per Line'!$D$2:$D$1501,$X263)&amp;"")</f>
        <v/>
      </c>
      <c r="D263">
        <f>IF($X263="","",INDEX('Per Line'!$A$2:$A$1501,$X263))</f>
        <v/>
      </c>
      <c r="E263">
        <f>IF($X263="","",INDEX('Per Line'!$G$2:$G$1501,$X263)&amp;"")</f>
        <v/>
      </c>
      <c r="F263" s="11">
        <f>IF($X263="","",INDEX('Per Line'!$F$2:$F$1501,$X263))</f>
        <v/>
      </c>
      <c r="G263">
        <f>IF($X263="","",INDEX('Per Line'!$I$2:$I$1501,$X263)&amp;"")</f>
        <v/>
      </c>
      <c r="H263">
        <f>IF($X263="","",INDEX('Per Line'!$J$2:$J$1501,$X263)&amp;"")</f>
        <v/>
      </c>
      <c r="I263">
        <f>IF($X263="","",INDEX('Per Line'!$K$2:$K$1501,$X263)&amp;"")</f>
        <v/>
      </c>
      <c r="J263">
        <f>IF($X263="","",INDEX('Per Line'!$M$2:$M$1501,$X263))</f>
        <v/>
      </c>
      <c r="K263" s="7">
        <f>IF($X263="","",J263*V263/100)</f>
        <v/>
      </c>
      <c r="L263">
        <f>IF($X263="","",INDEX('Per Line'!$Y$2:$Y$1501,$X263)&amp;"")</f>
        <v/>
      </c>
      <c r="M263" s="7">
        <f>IF($X263="","",SUMIFS('Per Line'!$U$2:$U$1501,'Per Line'!$AJ$2:$AJ$1501,$A263&amp;"|"&amp;$C263,'Per Line'!$AN$2:$AN$1501,1))</f>
        <v/>
      </c>
      <c r="N263">
        <f>IF($X263="","",Settings!$C$7)</f>
        <v/>
      </c>
      <c r="O263" s="7">
        <f>IF($X263="","",SUMIFS('Per Line'!$U$2:$U$1501,'Per Line'!$AJ$2:$AJ$1501,$A263&amp;"|"&amp;$C263,'Per Line'!$AM$2:$AM$1501,0,'Per Line'!$AN$2:$AN$1501,0))</f>
        <v/>
      </c>
      <c r="P263" s="7">
        <f>IF($X263="","",O263*N263)</f>
        <v/>
      </c>
      <c r="Q263">
        <f>IF($X263="","",Settings!$C$6)</f>
        <v/>
      </c>
      <c r="R263" s="7">
        <f>IF($X263="","",SUMIFS('Per Line'!$U$2:$U$1501,'Per Line'!$AJ$2:$AJ$1501,$A263&amp;"|"&amp;$C263,'Per Line'!$AM$2:$AM$1501,1,'Per Line'!$AN$2:$AN$1501,0))</f>
        <v/>
      </c>
      <c r="S263" s="7">
        <f>IF($X263="","",R263*Q263)</f>
        <v/>
      </c>
      <c r="T263" s="7">
        <f>IF($X263="","",S263+P263)</f>
        <v/>
      </c>
      <c r="U263" s="7">
        <f>IF($X263="","",V263-T263)</f>
        <v/>
      </c>
      <c r="V263" s="7">
        <f>IF($X263="","",O263+R263+M263)</f>
        <v/>
      </c>
      <c r="W263" s="7">
        <f>IF($X263="","",V263-T263-K263)</f>
        <v/>
      </c>
      <c r="X263" s="13">
        <f>IF(ROWS($X$2:$X263)&lt;=MAX('Per Line'!$AL$2:$AL$1501),MATCH(ROWS($X$2:$X263),'Per Line'!$AL$2:$AL$1501,0),"")</f>
        <v/>
      </c>
    </row>
    <row r="264">
      <c r="A264">
        <f>IF($X264="","",INDEX('Per Line'!$C$2:$C$1501,$X264)&amp;"")</f>
        <v/>
      </c>
      <c r="B264" s="12" t="n"/>
      <c r="C264">
        <f>IF($X264="","",INDEX('Per Line'!$D$2:$D$1501,$X264)&amp;"")</f>
        <v/>
      </c>
      <c r="D264">
        <f>IF($X264="","",INDEX('Per Line'!$A$2:$A$1501,$X264))</f>
        <v/>
      </c>
      <c r="E264">
        <f>IF($X264="","",INDEX('Per Line'!$G$2:$G$1501,$X264)&amp;"")</f>
        <v/>
      </c>
      <c r="F264" s="11">
        <f>IF($X264="","",INDEX('Per Line'!$F$2:$F$1501,$X264))</f>
        <v/>
      </c>
      <c r="G264">
        <f>IF($X264="","",INDEX('Per Line'!$I$2:$I$1501,$X264)&amp;"")</f>
        <v/>
      </c>
      <c r="H264">
        <f>IF($X264="","",INDEX('Per Line'!$J$2:$J$1501,$X264)&amp;"")</f>
        <v/>
      </c>
      <c r="I264">
        <f>IF($X264="","",INDEX('Per Line'!$K$2:$K$1501,$X264)&amp;"")</f>
        <v/>
      </c>
      <c r="J264">
        <f>IF($X264="","",INDEX('Per Line'!$M$2:$M$1501,$X264))</f>
        <v/>
      </c>
      <c r="K264" s="7">
        <f>IF($X264="","",J264*V264/100)</f>
        <v/>
      </c>
      <c r="L264">
        <f>IF($X264="","",INDEX('Per Line'!$Y$2:$Y$1501,$X264)&amp;"")</f>
        <v/>
      </c>
      <c r="M264" s="7">
        <f>IF($X264="","",SUMIFS('Per Line'!$U$2:$U$1501,'Per Line'!$AJ$2:$AJ$1501,$A264&amp;"|"&amp;$C264,'Per Line'!$AN$2:$AN$1501,1))</f>
        <v/>
      </c>
      <c r="N264">
        <f>IF($X264="","",Settings!$C$7)</f>
        <v/>
      </c>
      <c r="O264" s="7">
        <f>IF($X264="","",SUMIFS('Per Line'!$U$2:$U$1501,'Per Line'!$AJ$2:$AJ$1501,$A264&amp;"|"&amp;$C264,'Per Line'!$AM$2:$AM$1501,0,'Per Line'!$AN$2:$AN$1501,0))</f>
        <v/>
      </c>
      <c r="P264" s="7">
        <f>IF($X264="","",O264*N264)</f>
        <v/>
      </c>
      <c r="Q264">
        <f>IF($X264="","",Settings!$C$6)</f>
        <v/>
      </c>
      <c r="R264" s="7">
        <f>IF($X264="","",SUMIFS('Per Line'!$U$2:$U$1501,'Per Line'!$AJ$2:$AJ$1501,$A264&amp;"|"&amp;$C264,'Per Line'!$AM$2:$AM$1501,1,'Per Line'!$AN$2:$AN$1501,0))</f>
        <v/>
      </c>
      <c r="S264" s="7">
        <f>IF($X264="","",R264*Q264)</f>
        <v/>
      </c>
      <c r="T264" s="7">
        <f>IF($X264="","",S264+P264)</f>
        <v/>
      </c>
      <c r="U264" s="7">
        <f>IF($X264="","",V264-T264)</f>
        <v/>
      </c>
      <c r="V264" s="7">
        <f>IF($X264="","",O264+R264+M264)</f>
        <v/>
      </c>
      <c r="W264" s="7">
        <f>IF($X264="","",V264-T264-K264)</f>
        <v/>
      </c>
      <c r="X264" s="13">
        <f>IF(ROWS($X$2:$X264)&lt;=MAX('Per Line'!$AL$2:$AL$1501),MATCH(ROWS($X$2:$X264),'Per Line'!$AL$2:$AL$1501,0),"")</f>
        <v/>
      </c>
    </row>
    <row r="265">
      <c r="A265">
        <f>IF($X265="","",INDEX('Per Line'!$C$2:$C$1501,$X265)&amp;"")</f>
        <v/>
      </c>
      <c r="B265" s="12" t="n"/>
      <c r="C265">
        <f>IF($X265="","",INDEX('Per Line'!$D$2:$D$1501,$X265)&amp;"")</f>
        <v/>
      </c>
      <c r="D265">
        <f>IF($X265="","",INDEX('Per Line'!$A$2:$A$1501,$X265))</f>
        <v/>
      </c>
      <c r="E265">
        <f>IF($X265="","",INDEX('Per Line'!$G$2:$G$1501,$X265)&amp;"")</f>
        <v/>
      </c>
      <c r="F265" s="11">
        <f>IF($X265="","",INDEX('Per Line'!$F$2:$F$1501,$X265))</f>
        <v/>
      </c>
      <c r="G265">
        <f>IF($X265="","",INDEX('Per Line'!$I$2:$I$1501,$X265)&amp;"")</f>
        <v/>
      </c>
      <c r="H265">
        <f>IF($X265="","",INDEX('Per Line'!$J$2:$J$1501,$X265)&amp;"")</f>
        <v/>
      </c>
      <c r="I265">
        <f>IF($X265="","",INDEX('Per Line'!$K$2:$K$1501,$X265)&amp;"")</f>
        <v/>
      </c>
      <c r="J265">
        <f>IF($X265="","",INDEX('Per Line'!$M$2:$M$1501,$X265))</f>
        <v/>
      </c>
      <c r="K265" s="7">
        <f>IF($X265="","",J265*V265/100)</f>
        <v/>
      </c>
      <c r="L265">
        <f>IF($X265="","",INDEX('Per Line'!$Y$2:$Y$1501,$X265)&amp;"")</f>
        <v/>
      </c>
      <c r="M265" s="7">
        <f>IF($X265="","",SUMIFS('Per Line'!$U$2:$U$1501,'Per Line'!$AJ$2:$AJ$1501,$A265&amp;"|"&amp;$C265,'Per Line'!$AN$2:$AN$1501,1))</f>
        <v/>
      </c>
      <c r="N265">
        <f>IF($X265="","",Settings!$C$7)</f>
        <v/>
      </c>
      <c r="O265" s="7">
        <f>IF($X265="","",SUMIFS('Per Line'!$U$2:$U$1501,'Per Line'!$AJ$2:$AJ$1501,$A265&amp;"|"&amp;$C265,'Per Line'!$AM$2:$AM$1501,0,'Per Line'!$AN$2:$AN$1501,0))</f>
        <v/>
      </c>
      <c r="P265" s="7">
        <f>IF($X265="","",O265*N265)</f>
        <v/>
      </c>
      <c r="Q265">
        <f>IF($X265="","",Settings!$C$6)</f>
        <v/>
      </c>
      <c r="R265" s="7">
        <f>IF($X265="","",SUMIFS('Per Line'!$U$2:$U$1501,'Per Line'!$AJ$2:$AJ$1501,$A265&amp;"|"&amp;$C265,'Per Line'!$AM$2:$AM$1501,1,'Per Line'!$AN$2:$AN$1501,0))</f>
        <v/>
      </c>
      <c r="S265" s="7">
        <f>IF($X265="","",R265*Q265)</f>
        <v/>
      </c>
      <c r="T265" s="7">
        <f>IF($X265="","",S265+P265)</f>
        <v/>
      </c>
      <c r="U265" s="7">
        <f>IF($X265="","",V265-T265)</f>
        <v/>
      </c>
      <c r="V265" s="7">
        <f>IF($X265="","",O265+R265+M265)</f>
        <v/>
      </c>
      <c r="W265" s="7">
        <f>IF($X265="","",V265-T265-K265)</f>
        <v/>
      </c>
      <c r="X265" s="13">
        <f>IF(ROWS($X$2:$X265)&lt;=MAX('Per Line'!$AL$2:$AL$1501),MATCH(ROWS($X$2:$X265),'Per Line'!$AL$2:$AL$1501,0),"")</f>
        <v/>
      </c>
    </row>
    <row r="266">
      <c r="A266">
        <f>IF($X266="","",INDEX('Per Line'!$C$2:$C$1501,$X266)&amp;"")</f>
        <v/>
      </c>
      <c r="B266" s="12" t="n"/>
      <c r="C266">
        <f>IF($X266="","",INDEX('Per Line'!$D$2:$D$1501,$X266)&amp;"")</f>
        <v/>
      </c>
      <c r="D266">
        <f>IF($X266="","",INDEX('Per Line'!$A$2:$A$1501,$X266))</f>
        <v/>
      </c>
      <c r="E266">
        <f>IF($X266="","",INDEX('Per Line'!$G$2:$G$1501,$X266)&amp;"")</f>
        <v/>
      </c>
      <c r="F266" s="11">
        <f>IF($X266="","",INDEX('Per Line'!$F$2:$F$1501,$X266))</f>
        <v/>
      </c>
      <c r="G266">
        <f>IF($X266="","",INDEX('Per Line'!$I$2:$I$1501,$X266)&amp;"")</f>
        <v/>
      </c>
      <c r="H266">
        <f>IF($X266="","",INDEX('Per Line'!$J$2:$J$1501,$X266)&amp;"")</f>
        <v/>
      </c>
      <c r="I266">
        <f>IF($X266="","",INDEX('Per Line'!$K$2:$K$1501,$X266)&amp;"")</f>
        <v/>
      </c>
      <c r="J266">
        <f>IF($X266="","",INDEX('Per Line'!$M$2:$M$1501,$X266))</f>
        <v/>
      </c>
      <c r="K266" s="7">
        <f>IF($X266="","",J266*V266/100)</f>
        <v/>
      </c>
      <c r="L266">
        <f>IF($X266="","",INDEX('Per Line'!$Y$2:$Y$1501,$X266)&amp;"")</f>
        <v/>
      </c>
      <c r="M266" s="7">
        <f>IF($X266="","",SUMIFS('Per Line'!$U$2:$U$1501,'Per Line'!$AJ$2:$AJ$1501,$A266&amp;"|"&amp;$C266,'Per Line'!$AN$2:$AN$1501,1))</f>
        <v/>
      </c>
      <c r="N266">
        <f>IF($X266="","",Settings!$C$7)</f>
        <v/>
      </c>
      <c r="O266" s="7">
        <f>IF($X266="","",SUMIFS('Per Line'!$U$2:$U$1501,'Per Line'!$AJ$2:$AJ$1501,$A266&amp;"|"&amp;$C266,'Per Line'!$AM$2:$AM$1501,0,'Per Line'!$AN$2:$AN$1501,0))</f>
        <v/>
      </c>
      <c r="P266" s="7">
        <f>IF($X266="","",O266*N266)</f>
        <v/>
      </c>
      <c r="Q266">
        <f>IF($X266="","",Settings!$C$6)</f>
        <v/>
      </c>
      <c r="R266" s="7">
        <f>IF($X266="","",SUMIFS('Per Line'!$U$2:$U$1501,'Per Line'!$AJ$2:$AJ$1501,$A266&amp;"|"&amp;$C266,'Per Line'!$AM$2:$AM$1501,1,'Per Line'!$AN$2:$AN$1501,0))</f>
        <v/>
      </c>
      <c r="S266" s="7">
        <f>IF($X266="","",R266*Q266)</f>
        <v/>
      </c>
      <c r="T266" s="7">
        <f>IF($X266="","",S266+P266)</f>
        <v/>
      </c>
      <c r="U266" s="7">
        <f>IF($X266="","",V266-T266)</f>
        <v/>
      </c>
      <c r="V266" s="7">
        <f>IF($X266="","",O266+R266+M266)</f>
        <v/>
      </c>
      <c r="W266" s="7">
        <f>IF($X266="","",V266-T266-K266)</f>
        <v/>
      </c>
      <c r="X266" s="13">
        <f>IF(ROWS($X$2:$X266)&lt;=MAX('Per Line'!$AL$2:$AL$1501),MATCH(ROWS($X$2:$X266),'Per Line'!$AL$2:$AL$1501,0),"")</f>
        <v/>
      </c>
    </row>
    <row r="267">
      <c r="A267">
        <f>IF($X267="","",INDEX('Per Line'!$C$2:$C$1501,$X267)&amp;"")</f>
        <v/>
      </c>
      <c r="B267" s="12" t="n"/>
      <c r="C267">
        <f>IF($X267="","",INDEX('Per Line'!$D$2:$D$1501,$X267)&amp;"")</f>
        <v/>
      </c>
      <c r="D267">
        <f>IF($X267="","",INDEX('Per Line'!$A$2:$A$1501,$X267))</f>
        <v/>
      </c>
      <c r="E267">
        <f>IF($X267="","",INDEX('Per Line'!$G$2:$G$1501,$X267)&amp;"")</f>
        <v/>
      </c>
      <c r="F267" s="11">
        <f>IF($X267="","",INDEX('Per Line'!$F$2:$F$1501,$X267))</f>
        <v/>
      </c>
      <c r="G267">
        <f>IF($X267="","",INDEX('Per Line'!$I$2:$I$1501,$X267)&amp;"")</f>
        <v/>
      </c>
      <c r="H267">
        <f>IF($X267="","",INDEX('Per Line'!$J$2:$J$1501,$X267)&amp;"")</f>
        <v/>
      </c>
      <c r="I267">
        <f>IF($X267="","",INDEX('Per Line'!$K$2:$K$1501,$X267)&amp;"")</f>
        <v/>
      </c>
      <c r="J267">
        <f>IF($X267="","",INDEX('Per Line'!$M$2:$M$1501,$X267))</f>
        <v/>
      </c>
      <c r="K267" s="7">
        <f>IF($X267="","",J267*V267/100)</f>
        <v/>
      </c>
      <c r="L267">
        <f>IF($X267="","",INDEX('Per Line'!$Y$2:$Y$1501,$X267)&amp;"")</f>
        <v/>
      </c>
      <c r="M267" s="7">
        <f>IF($X267="","",SUMIFS('Per Line'!$U$2:$U$1501,'Per Line'!$AJ$2:$AJ$1501,$A267&amp;"|"&amp;$C267,'Per Line'!$AN$2:$AN$1501,1))</f>
        <v/>
      </c>
      <c r="N267">
        <f>IF($X267="","",Settings!$C$7)</f>
        <v/>
      </c>
      <c r="O267" s="7">
        <f>IF($X267="","",SUMIFS('Per Line'!$U$2:$U$1501,'Per Line'!$AJ$2:$AJ$1501,$A267&amp;"|"&amp;$C267,'Per Line'!$AM$2:$AM$1501,0,'Per Line'!$AN$2:$AN$1501,0))</f>
        <v/>
      </c>
      <c r="P267" s="7">
        <f>IF($X267="","",O267*N267)</f>
        <v/>
      </c>
      <c r="Q267">
        <f>IF($X267="","",Settings!$C$6)</f>
        <v/>
      </c>
      <c r="R267" s="7">
        <f>IF($X267="","",SUMIFS('Per Line'!$U$2:$U$1501,'Per Line'!$AJ$2:$AJ$1501,$A267&amp;"|"&amp;$C267,'Per Line'!$AM$2:$AM$1501,1,'Per Line'!$AN$2:$AN$1501,0))</f>
        <v/>
      </c>
      <c r="S267" s="7">
        <f>IF($X267="","",R267*Q267)</f>
        <v/>
      </c>
      <c r="T267" s="7">
        <f>IF($X267="","",S267+P267)</f>
        <v/>
      </c>
      <c r="U267" s="7">
        <f>IF($X267="","",V267-T267)</f>
        <v/>
      </c>
      <c r="V267" s="7">
        <f>IF($X267="","",O267+R267+M267)</f>
        <v/>
      </c>
      <c r="W267" s="7">
        <f>IF($X267="","",V267-T267-K267)</f>
        <v/>
      </c>
      <c r="X267" s="13">
        <f>IF(ROWS($X$2:$X267)&lt;=MAX('Per Line'!$AL$2:$AL$1501),MATCH(ROWS($X$2:$X267),'Per Line'!$AL$2:$AL$1501,0),"")</f>
        <v/>
      </c>
    </row>
    <row r="268">
      <c r="A268">
        <f>IF($X268="","",INDEX('Per Line'!$C$2:$C$1501,$X268)&amp;"")</f>
        <v/>
      </c>
      <c r="B268" s="12" t="n"/>
      <c r="C268">
        <f>IF($X268="","",INDEX('Per Line'!$D$2:$D$1501,$X268)&amp;"")</f>
        <v/>
      </c>
      <c r="D268">
        <f>IF($X268="","",INDEX('Per Line'!$A$2:$A$1501,$X268))</f>
        <v/>
      </c>
      <c r="E268">
        <f>IF($X268="","",INDEX('Per Line'!$G$2:$G$1501,$X268)&amp;"")</f>
        <v/>
      </c>
      <c r="F268" s="11">
        <f>IF($X268="","",INDEX('Per Line'!$F$2:$F$1501,$X268))</f>
        <v/>
      </c>
      <c r="G268">
        <f>IF($X268="","",INDEX('Per Line'!$I$2:$I$1501,$X268)&amp;"")</f>
        <v/>
      </c>
      <c r="H268">
        <f>IF($X268="","",INDEX('Per Line'!$J$2:$J$1501,$X268)&amp;"")</f>
        <v/>
      </c>
      <c r="I268">
        <f>IF($X268="","",INDEX('Per Line'!$K$2:$K$1501,$X268)&amp;"")</f>
        <v/>
      </c>
      <c r="J268">
        <f>IF($X268="","",INDEX('Per Line'!$M$2:$M$1501,$X268))</f>
        <v/>
      </c>
      <c r="K268" s="7">
        <f>IF($X268="","",J268*V268/100)</f>
        <v/>
      </c>
      <c r="L268">
        <f>IF($X268="","",INDEX('Per Line'!$Y$2:$Y$1501,$X268)&amp;"")</f>
        <v/>
      </c>
      <c r="M268" s="7">
        <f>IF($X268="","",SUMIFS('Per Line'!$U$2:$U$1501,'Per Line'!$AJ$2:$AJ$1501,$A268&amp;"|"&amp;$C268,'Per Line'!$AN$2:$AN$1501,1))</f>
        <v/>
      </c>
      <c r="N268">
        <f>IF($X268="","",Settings!$C$7)</f>
        <v/>
      </c>
      <c r="O268" s="7">
        <f>IF($X268="","",SUMIFS('Per Line'!$U$2:$U$1501,'Per Line'!$AJ$2:$AJ$1501,$A268&amp;"|"&amp;$C268,'Per Line'!$AM$2:$AM$1501,0,'Per Line'!$AN$2:$AN$1501,0))</f>
        <v/>
      </c>
      <c r="P268" s="7">
        <f>IF($X268="","",O268*N268)</f>
        <v/>
      </c>
      <c r="Q268">
        <f>IF($X268="","",Settings!$C$6)</f>
        <v/>
      </c>
      <c r="R268" s="7">
        <f>IF($X268="","",SUMIFS('Per Line'!$U$2:$U$1501,'Per Line'!$AJ$2:$AJ$1501,$A268&amp;"|"&amp;$C268,'Per Line'!$AM$2:$AM$1501,1,'Per Line'!$AN$2:$AN$1501,0))</f>
        <v/>
      </c>
      <c r="S268" s="7">
        <f>IF($X268="","",R268*Q268)</f>
        <v/>
      </c>
      <c r="T268" s="7">
        <f>IF($X268="","",S268+P268)</f>
        <v/>
      </c>
      <c r="U268" s="7">
        <f>IF($X268="","",V268-T268)</f>
        <v/>
      </c>
      <c r="V268" s="7">
        <f>IF($X268="","",O268+R268+M268)</f>
        <v/>
      </c>
      <c r="W268" s="7">
        <f>IF($X268="","",V268-T268-K268)</f>
        <v/>
      </c>
      <c r="X268" s="13">
        <f>IF(ROWS($X$2:$X268)&lt;=MAX('Per Line'!$AL$2:$AL$1501),MATCH(ROWS($X$2:$X268),'Per Line'!$AL$2:$AL$1501,0),"")</f>
        <v/>
      </c>
    </row>
    <row r="269">
      <c r="A269">
        <f>IF($X269="","",INDEX('Per Line'!$C$2:$C$1501,$X269)&amp;"")</f>
        <v/>
      </c>
      <c r="B269" s="12" t="n"/>
      <c r="C269">
        <f>IF($X269="","",INDEX('Per Line'!$D$2:$D$1501,$X269)&amp;"")</f>
        <v/>
      </c>
      <c r="D269">
        <f>IF($X269="","",INDEX('Per Line'!$A$2:$A$1501,$X269))</f>
        <v/>
      </c>
      <c r="E269">
        <f>IF($X269="","",INDEX('Per Line'!$G$2:$G$1501,$X269)&amp;"")</f>
        <v/>
      </c>
      <c r="F269" s="11">
        <f>IF($X269="","",INDEX('Per Line'!$F$2:$F$1501,$X269))</f>
        <v/>
      </c>
      <c r="G269">
        <f>IF($X269="","",INDEX('Per Line'!$I$2:$I$1501,$X269)&amp;"")</f>
        <v/>
      </c>
      <c r="H269">
        <f>IF($X269="","",INDEX('Per Line'!$J$2:$J$1501,$X269)&amp;"")</f>
        <v/>
      </c>
      <c r="I269">
        <f>IF($X269="","",INDEX('Per Line'!$K$2:$K$1501,$X269)&amp;"")</f>
        <v/>
      </c>
      <c r="J269">
        <f>IF($X269="","",INDEX('Per Line'!$M$2:$M$1501,$X269))</f>
        <v/>
      </c>
      <c r="K269" s="7">
        <f>IF($X269="","",J269*V269/100)</f>
        <v/>
      </c>
      <c r="L269">
        <f>IF($X269="","",INDEX('Per Line'!$Y$2:$Y$1501,$X269)&amp;"")</f>
        <v/>
      </c>
      <c r="M269" s="7">
        <f>IF($X269="","",SUMIFS('Per Line'!$U$2:$U$1501,'Per Line'!$AJ$2:$AJ$1501,$A269&amp;"|"&amp;$C269,'Per Line'!$AN$2:$AN$1501,1))</f>
        <v/>
      </c>
      <c r="N269">
        <f>IF($X269="","",Settings!$C$7)</f>
        <v/>
      </c>
      <c r="O269" s="7">
        <f>IF($X269="","",SUMIFS('Per Line'!$U$2:$U$1501,'Per Line'!$AJ$2:$AJ$1501,$A269&amp;"|"&amp;$C269,'Per Line'!$AM$2:$AM$1501,0,'Per Line'!$AN$2:$AN$1501,0))</f>
        <v/>
      </c>
      <c r="P269" s="7">
        <f>IF($X269="","",O269*N269)</f>
        <v/>
      </c>
      <c r="Q269">
        <f>IF($X269="","",Settings!$C$6)</f>
        <v/>
      </c>
      <c r="R269" s="7">
        <f>IF($X269="","",SUMIFS('Per Line'!$U$2:$U$1501,'Per Line'!$AJ$2:$AJ$1501,$A269&amp;"|"&amp;$C269,'Per Line'!$AM$2:$AM$1501,1,'Per Line'!$AN$2:$AN$1501,0))</f>
        <v/>
      </c>
      <c r="S269" s="7">
        <f>IF($X269="","",R269*Q269)</f>
        <v/>
      </c>
      <c r="T269" s="7">
        <f>IF($X269="","",S269+P269)</f>
        <v/>
      </c>
      <c r="U269" s="7">
        <f>IF($X269="","",V269-T269)</f>
        <v/>
      </c>
      <c r="V269" s="7">
        <f>IF($X269="","",O269+R269+M269)</f>
        <v/>
      </c>
      <c r="W269" s="7">
        <f>IF($X269="","",V269-T269-K269)</f>
        <v/>
      </c>
      <c r="X269" s="13">
        <f>IF(ROWS($X$2:$X269)&lt;=MAX('Per Line'!$AL$2:$AL$1501),MATCH(ROWS($X$2:$X269),'Per Line'!$AL$2:$AL$1501,0),"")</f>
        <v/>
      </c>
    </row>
    <row r="270">
      <c r="A270">
        <f>IF($X270="","",INDEX('Per Line'!$C$2:$C$1501,$X270)&amp;"")</f>
        <v/>
      </c>
      <c r="B270" s="12" t="n"/>
      <c r="C270">
        <f>IF($X270="","",INDEX('Per Line'!$D$2:$D$1501,$X270)&amp;"")</f>
        <v/>
      </c>
      <c r="D270">
        <f>IF($X270="","",INDEX('Per Line'!$A$2:$A$1501,$X270))</f>
        <v/>
      </c>
      <c r="E270">
        <f>IF($X270="","",INDEX('Per Line'!$G$2:$G$1501,$X270)&amp;"")</f>
        <v/>
      </c>
      <c r="F270" s="11">
        <f>IF($X270="","",INDEX('Per Line'!$F$2:$F$1501,$X270))</f>
        <v/>
      </c>
      <c r="G270">
        <f>IF($X270="","",INDEX('Per Line'!$I$2:$I$1501,$X270)&amp;"")</f>
        <v/>
      </c>
      <c r="H270">
        <f>IF($X270="","",INDEX('Per Line'!$J$2:$J$1501,$X270)&amp;"")</f>
        <v/>
      </c>
      <c r="I270">
        <f>IF($X270="","",INDEX('Per Line'!$K$2:$K$1501,$X270)&amp;"")</f>
        <v/>
      </c>
      <c r="J270">
        <f>IF($X270="","",INDEX('Per Line'!$M$2:$M$1501,$X270))</f>
        <v/>
      </c>
      <c r="K270" s="7">
        <f>IF($X270="","",J270*V270/100)</f>
        <v/>
      </c>
      <c r="L270">
        <f>IF($X270="","",INDEX('Per Line'!$Y$2:$Y$1501,$X270)&amp;"")</f>
        <v/>
      </c>
      <c r="M270" s="7">
        <f>IF($X270="","",SUMIFS('Per Line'!$U$2:$U$1501,'Per Line'!$AJ$2:$AJ$1501,$A270&amp;"|"&amp;$C270,'Per Line'!$AN$2:$AN$1501,1))</f>
        <v/>
      </c>
      <c r="N270">
        <f>IF($X270="","",Settings!$C$7)</f>
        <v/>
      </c>
      <c r="O270" s="7">
        <f>IF($X270="","",SUMIFS('Per Line'!$U$2:$U$1501,'Per Line'!$AJ$2:$AJ$1501,$A270&amp;"|"&amp;$C270,'Per Line'!$AM$2:$AM$1501,0,'Per Line'!$AN$2:$AN$1501,0))</f>
        <v/>
      </c>
      <c r="P270" s="7">
        <f>IF($X270="","",O270*N270)</f>
        <v/>
      </c>
      <c r="Q270">
        <f>IF($X270="","",Settings!$C$6)</f>
        <v/>
      </c>
      <c r="R270" s="7">
        <f>IF($X270="","",SUMIFS('Per Line'!$U$2:$U$1501,'Per Line'!$AJ$2:$AJ$1501,$A270&amp;"|"&amp;$C270,'Per Line'!$AM$2:$AM$1501,1,'Per Line'!$AN$2:$AN$1501,0))</f>
        <v/>
      </c>
      <c r="S270" s="7">
        <f>IF($X270="","",R270*Q270)</f>
        <v/>
      </c>
      <c r="T270" s="7">
        <f>IF($X270="","",S270+P270)</f>
        <v/>
      </c>
      <c r="U270" s="7">
        <f>IF($X270="","",V270-T270)</f>
        <v/>
      </c>
      <c r="V270" s="7">
        <f>IF($X270="","",O270+R270+M270)</f>
        <v/>
      </c>
      <c r="W270" s="7">
        <f>IF($X270="","",V270-T270-K270)</f>
        <v/>
      </c>
      <c r="X270" s="13">
        <f>IF(ROWS($X$2:$X270)&lt;=MAX('Per Line'!$AL$2:$AL$1501),MATCH(ROWS($X$2:$X270),'Per Line'!$AL$2:$AL$1501,0),"")</f>
        <v/>
      </c>
    </row>
    <row r="271">
      <c r="A271">
        <f>IF($X271="","",INDEX('Per Line'!$C$2:$C$1501,$X271)&amp;"")</f>
        <v/>
      </c>
      <c r="B271" s="12" t="n"/>
      <c r="C271">
        <f>IF($X271="","",INDEX('Per Line'!$D$2:$D$1501,$X271)&amp;"")</f>
        <v/>
      </c>
      <c r="D271">
        <f>IF($X271="","",INDEX('Per Line'!$A$2:$A$1501,$X271))</f>
        <v/>
      </c>
      <c r="E271">
        <f>IF($X271="","",INDEX('Per Line'!$G$2:$G$1501,$X271)&amp;"")</f>
        <v/>
      </c>
      <c r="F271" s="11">
        <f>IF($X271="","",INDEX('Per Line'!$F$2:$F$1501,$X271))</f>
        <v/>
      </c>
      <c r="G271">
        <f>IF($X271="","",INDEX('Per Line'!$I$2:$I$1501,$X271)&amp;"")</f>
        <v/>
      </c>
      <c r="H271">
        <f>IF($X271="","",INDEX('Per Line'!$J$2:$J$1501,$X271)&amp;"")</f>
        <v/>
      </c>
      <c r="I271">
        <f>IF($X271="","",INDEX('Per Line'!$K$2:$K$1501,$X271)&amp;"")</f>
        <v/>
      </c>
      <c r="J271">
        <f>IF($X271="","",INDEX('Per Line'!$M$2:$M$1501,$X271))</f>
        <v/>
      </c>
      <c r="K271" s="7">
        <f>IF($X271="","",J271*V271/100)</f>
        <v/>
      </c>
      <c r="L271">
        <f>IF($X271="","",INDEX('Per Line'!$Y$2:$Y$1501,$X271)&amp;"")</f>
        <v/>
      </c>
      <c r="M271" s="7">
        <f>IF($X271="","",SUMIFS('Per Line'!$U$2:$U$1501,'Per Line'!$AJ$2:$AJ$1501,$A271&amp;"|"&amp;$C271,'Per Line'!$AN$2:$AN$1501,1))</f>
        <v/>
      </c>
      <c r="N271">
        <f>IF($X271="","",Settings!$C$7)</f>
        <v/>
      </c>
      <c r="O271" s="7">
        <f>IF($X271="","",SUMIFS('Per Line'!$U$2:$U$1501,'Per Line'!$AJ$2:$AJ$1501,$A271&amp;"|"&amp;$C271,'Per Line'!$AM$2:$AM$1501,0,'Per Line'!$AN$2:$AN$1501,0))</f>
        <v/>
      </c>
      <c r="P271" s="7">
        <f>IF($X271="","",O271*N271)</f>
        <v/>
      </c>
      <c r="Q271">
        <f>IF($X271="","",Settings!$C$6)</f>
        <v/>
      </c>
      <c r="R271" s="7">
        <f>IF($X271="","",SUMIFS('Per Line'!$U$2:$U$1501,'Per Line'!$AJ$2:$AJ$1501,$A271&amp;"|"&amp;$C271,'Per Line'!$AM$2:$AM$1501,1,'Per Line'!$AN$2:$AN$1501,0))</f>
        <v/>
      </c>
      <c r="S271" s="7">
        <f>IF($X271="","",R271*Q271)</f>
        <v/>
      </c>
      <c r="T271" s="7">
        <f>IF($X271="","",S271+P271)</f>
        <v/>
      </c>
      <c r="U271" s="7">
        <f>IF($X271="","",V271-T271)</f>
        <v/>
      </c>
      <c r="V271" s="7">
        <f>IF($X271="","",O271+R271+M271)</f>
        <v/>
      </c>
      <c r="W271" s="7">
        <f>IF($X271="","",V271-T271-K271)</f>
        <v/>
      </c>
      <c r="X271" s="13">
        <f>IF(ROWS($X$2:$X271)&lt;=MAX('Per Line'!$AL$2:$AL$1501),MATCH(ROWS($X$2:$X271),'Per Line'!$AL$2:$AL$1501,0),"")</f>
        <v/>
      </c>
    </row>
    <row r="272">
      <c r="A272">
        <f>IF($X272="","",INDEX('Per Line'!$C$2:$C$1501,$X272)&amp;"")</f>
        <v/>
      </c>
      <c r="B272" s="12" t="n"/>
      <c r="C272">
        <f>IF($X272="","",INDEX('Per Line'!$D$2:$D$1501,$X272)&amp;"")</f>
        <v/>
      </c>
      <c r="D272">
        <f>IF($X272="","",INDEX('Per Line'!$A$2:$A$1501,$X272))</f>
        <v/>
      </c>
      <c r="E272">
        <f>IF($X272="","",INDEX('Per Line'!$G$2:$G$1501,$X272)&amp;"")</f>
        <v/>
      </c>
      <c r="F272" s="11">
        <f>IF($X272="","",INDEX('Per Line'!$F$2:$F$1501,$X272))</f>
        <v/>
      </c>
      <c r="G272">
        <f>IF($X272="","",INDEX('Per Line'!$I$2:$I$1501,$X272)&amp;"")</f>
        <v/>
      </c>
      <c r="H272">
        <f>IF($X272="","",INDEX('Per Line'!$J$2:$J$1501,$X272)&amp;"")</f>
        <v/>
      </c>
      <c r="I272">
        <f>IF($X272="","",INDEX('Per Line'!$K$2:$K$1501,$X272)&amp;"")</f>
        <v/>
      </c>
      <c r="J272">
        <f>IF($X272="","",INDEX('Per Line'!$M$2:$M$1501,$X272))</f>
        <v/>
      </c>
      <c r="K272" s="7">
        <f>IF($X272="","",J272*V272/100)</f>
        <v/>
      </c>
      <c r="L272">
        <f>IF($X272="","",INDEX('Per Line'!$Y$2:$Y$1501,$X272)&amp;"")</f>
        <v/>
      </c>
      <c r="M272" s="7">
        <f>IF($X272="","",SUMIFS('Per Line'!$U$2:$U$1501,'Per Line'!$AJ$2:$AJ$1501,$A272&amp;"|"&amp;$C272,'Per Line'!$AN$2:$AN$1501,1))</f>
        <v/>
      </c>
      <c r="N272">
        <f>IF($X272="","",Settings!$C$7)</f>
        <v/>
      </c>
      <c r="O272" s="7">
        <f>IF($X272="","",SUMIFS('Per Line'!$U$2:$U$1501,'Per Line'!$AJ$2:$AJ$1501,$A272&amp;"|"&amp;$C272,'Per Line'!$AM$2:$AM$1501,0,'Per Line'!$AN$2:$AN$1501,0))</f>
        <v/>
      </c>
      <c r="P272" s="7">
        <f>IF($X272="","",O272*N272)</f>
        <v/>
      </c>
      <c r="Q272">
        <f>IF($X272="","",Settings!$C$6)</f>
        <v/>
      </c>
      <c r="R272" s="7">
        <f>IF($X272="","",SUMIFS('Per Line'!$U$2:$U$1501,'Per Line'!$AJ$2:$AJ$1501,$A272&amp;"|"&amp;$C272,'Per Line'!$AM$2:$AM$1501,1,'Per Line'!$AN$2:$AN$1501,0))</f>
        <v/>
      </c>
      <c r="S272" s="7">
        <f>IF($X272="","",R272*Q272)</f>
        <v/>
      </c>
      <c r="T272" s="7">
        <f>IF($X272="","",S272+P272)</f>
        <v/>
      </c>
      <c r="U272" s="7">
        <f>IF($X272="","",V272-T272)</f>
        <v/>
      </c>
      <c r="V272" s="7">
        <f>IF($X272="","",O272+R272+M272)</f>
        <v/>
      </c>
      <c r="W272" s="7">
        <f>IF($X272="","",V272-T272-K272)</f>
        <v/>
      </c>
      <c r="X272" s="13">
        <f>IF(ROWS($X$2:$X272)&lt;=MAX('Per Line'!$AL$2:$AL$1501),MATCH(ROWS($X$2:$X272),'Per Line'!$AL$2:$AL$1501,0),"")</f>
        <v/>
      </c>
    </row>
    <row r="273">
      <c r="A273">
        <f>IF($X273="","",INDEX('Per Line'!$C$2:$C$1501,$X273)&amp;"")</f>
        <v/>
      </c>
      <c r="B273" s="12" t="n"/>
      <c r="C273">
        <f>IF($X273="","",INDEX('Per Line'!$D$2:$D$1501,$X273)&amp;"")</f>
        <v/>
      </c>
      <c r="D273">
        <f>IF($X273="","",INDEX('Per Line'!$A$2:$A$1501,$X273))</f>
        <v/>
      </c>
      <c r="E273">
        <f>IF($X273="","",INDEX('Per Line'!$G$2:$G$1501,$X273)&amp;"")</f>
        <v/>
      </c>
      <c r="F273" s="11">
        <f>IF($X273="","",INDEX('Per Line'!$F$2:$F$1501,$X273))</f>
        <v/>
      </c>
      <c r="G273">
        <f>IF($X273="","",INDEX('Per Line'!$I$2:$I$1501,$X273)&amp;"")</f>
        <v/>
      </c>
      <c r="H273">
        <f>IF($X273="","",INDEX('Per Line'!$J$2:$J$1501,$X273)&amp;"")</f>
        <v/>
      </c>
      <c r="I273">
        <f>IF($X273="","",INDEX('Per Line'!$K$2:$K$1501,$X273)&amp;"")</f>
        <v/>
      </c>
      <c r="J273">
        <f>IF($X273="","",INDEX('Per Line'!$M$2:$M$1501,$X273))</f>
        <v/>
      </c>
      <c r="K273" s="7">
        <f>IF($X273="","",J273*V273/100)</f>
        <v/>
      </c>
      <c r="L273">
        <f>IF($X273="","",INDEX('Per Line'!$Y$2:$Y$1501,$X273)&amp;"")</f>
        <v/>
      </c>
      <c r="M273" s="7">
        <f>IF($X273="","",SUMIFS('Per Line'!$U$2:$U$1501,'Per Line'!$AJ$2:$AJ$1501,$A273&amp;"|"&amp;$C273,'Per Line'!$AN$2:$AN$1501,1))</f>
        <v/>
      </c>
      <c r="N273">
        <f>IF($X273="","",Settings!$C$7)</f>
        <v/>
      </c>
      <c r="O273" s="7">
        <f>IF($X273="","",SUMIFS('Per Line'!$U$2:$U$1501,'Per Line'!$AJ$2:$AJ$1501,$A273&amp;"|"&amp;$C273,'Per Line'!$AM$2:$AM$1501,0,'Per Line'!$AN$2:$AN$1501,0))</f>
        <v/>
      </c>
      <c r="P273" s="7">
        <f>IF($X273="","",O273*N273)</f>
        <v/>
      </c>
      <c r="Q273">
        <f>IF($X273="","",Settings!$C$6)</f>
        <v/>
      </c>
      <c r="R273" s="7">
        <f>IF($X273="","",SUMIFS('Per Line'!$U$2:$U$1501,'Per Line'!$AJ$2:$AJ$1501,$A273&amp;"|"&amp;$C273,'Per Line'!$AM$2:$AM$1501,1,'Per Line'!$AN$2:$AN$1501,0))</f>
        <v/>
      </c>
      <c r="S273" s="7">
        <f>IF($X273="","",R273*Q273)</f>
        <v/>
      </c>
      <c r="T273" s="7">
        <f>IF($X273="","",S273+P273)</f>
        <v/>
      </c>
      <c r="U273" s="7">
        <f>IF($X273="","",V273-T273)</f>
        <v/>
      </c>
      <c r="V273" s="7">
        <f>IF($X273="","",O273+R273+M273)</f>
        <v/>
      </c>
      <c r="W273" s="7">
        <f>IF($X273="","",V273-T273-K273)</f>
        <v/>
      </c>
      <c r="X273" s="13">
        <f>IF(ROWS($X$2:$X273)&lt;=MAX('Per Line'!$AL$2:$AL$1501),MATCH(ROWS($X$2:$X273),'Per Line'!$AL$2:$AL$1501,0),"")</f>
        <v/>
      </c>
    </row>
    <row r="274">
      <c r="A274">
        <f>IF($X274="","",INDEX('Per Line'!$C$2:$C$1501,$X274)&amp;"")</f>
        <v/>
      </c>
      <c r="B274" s="12" t="n"/>
      <c r="C274">
        <f>IF($X274="","",INDEX('Per Line'!$D$2:$D$1501,$X274)&amp;"")</f>
        <v/>
      </c>
      <c r="D274">
        <f>IF($X274="","",INDEX('Per Line'!$A$2:$A$1501,$X274))</f>
        <v/>
      </c>
      <c r="E274">
        <f>IF($X274="","",INDEX('Per Line'!$G$2:$G$1501,$X274)&amp;"")</f>
        <v/>
      </c>
      <c r="F274" s="11">
        <f>IF($X274="","",INDEX('Per Line'!$F$2:$F$1501,$X274))</f>
        <v/>
      </c>
      <c r="G274">
        <f>IF($X274="","",INDEX('Per Line'!$I$2:$I$1501,$X274)&amp;"")</f>
        <v/>
      </c>
      <c r="H274">
        <f>IF($X274="","",INDEX('Per Line'!$J$2:$J$1501,$X274)&amp;"")</f>
        <v/>
      </c>
      <c r="I274">
        <f>IF($X274="","",INDEX('Per Line'!$K$2:$K$1501,$X274)&amp;"")</f>
        <v/>
      </c>
      <c r="J274">
        <f>IF($X274="","",INDEX('Per Line'!$M$2:$M$1501,$X274))</f>
        <v/>
      </c>
      <c r="K274" s="7">
        <f>IF($X274="","",J274*V274/100)</f>
        <v/>
      </c>
      <c r="L274">
        <f>IF($X274="","",INDEX('Per Line'!$Y$2:$Y$1501,$X274)&amp;"")</f>
        <v/>
      </c>
      <c r="M274" s="7">
        <f>IF($X274="","",SUMIFS('Per Line'!$U$2:$U$1501,'Per Line'!$AJ$2:$AJ$1501,$A274&amp;"|"&amp;$C274,'Per Line'!$AN$2:$AN$1501,1))</f>
        <v/>
      </c>
      <c r="N274">
        <f>IF($X274="","",Settings!$C$7)</f>
        <v/>
      </c>
      <c r="O274" s="7">
        <f>IF($X274="","",SUMIFS('Per Line'!$U$2:$U$1501,'Per Line'!$AJ$2:$AJ$1501,$A274&amp;"|"&amp;$C274,'Per Line'!$AM$2:$AM$1501,0,'Per Line'!$AN$2:$AN$1501,0))</f>
        <v/>
      </c>
      <c r="P274" s="7">
        <f>IF($X274="","",O274*N274)</f>
        <v/>
      </c>
      <c r="Q274">
        <f>IF($X274="","",Settings!$C$6)</f>
        <v/>
      </c>
      <c r="R274" s="7">
        <f>IF($X274="","",SUMIFS('Per Line'!$U$2:$U$1501,'Per Line'!$AJ$2:$AJ$1501,$A274&amp;"|"&amp;$C274,'Per Line'!$AM$2:$AM$1501,1,'Per Line'!$AN$2:$AN$1501,0))</f>
        <v/>
      </c>
      <c r="S274" s="7">
        <f>IF($X274="","",R274*Q274)</f>
        <v/>
      </c>
      <c r="T274" s="7">
        <f>IF($X274="","",S274+P274)</f>
        <v/>
      </c>
      <c r="U274" s="7">
        <f>IF($X274="","",V274-T274)</f>
        <v/>
      </c>
      <c r="V274" s="7">
        <f>IF($X274="","",O274+R274+M274)</f>
        <v/>
      </c>
      <c r="W274" s="7">
        <f>IF($X274="","",V274-T274-K274)</f>
        <v/>
      </c>
      <c r="X274" s="13">
        <f>IF(ROWS($X$2:$X274)&lt;=MAX('Per Line'!$AL$2:$AL$1501),MATCH(ROWS($X$2:$X274),'Per Line'!$AL$2:$AL$1501,0),"")</f>
        <v/>
      </c>
    </row>
    <row r="275">
      <c r="A275">
        <f>IF($X275="","",INDEX('Per Line'!$C$2:$C$1501,$X275)&amp;"")</f>
        <v/>
      </c>
      <c r="B275" s="12" t="n"/>
      <c r="C275">
        <f>IF($X275="","",INDEX('Per Line'!$D$2:$D$1501,$X275)&amp;"")</f>
        <v/>
      </c>
      <c r="D275">
        <f>IF($X275="","",INDEX('Per Line'!$A$2:$A$1501,$X275))</f>
        <v/>
      </c>
      <c r="E275">
        <f>IF($X275="","",INDEX('Per Line'!$G$2:$G$1501,$X275)&amp;"")</f>
        <v/>
      </c>
      <c r="F275" s="11">
        <f>IF($X275="","",INDEX('Per Line'!$F$2:$F$1501,$X275))</f>
        <v/>
      </c>
      <c r="G275">
        <f>IF($X275="","",INDEX('Per Line'!$I$2:$I$1501,$X275)&amp;"")</f>
        <v/>
      </c>
      <c r="H275">
        <f>IF($X275="","",INDEX('Per Line'!$J$2:$J$1501,$X275)&amp;"")</f>
        <v/>
      </c>
      <c r="I275">
        <f>IF($X275="","",INDEX('Per Line'!$K$2:$K$1501,$X275)&amp;"")</f>
        <v/>
      </c>
      <c r="J275">
        <f>IF($X275="","",INDEX('Per Line'!$M$2:$M$1501,$X275))</f>
        <v/>
      </c>
      <c r="K275" s="7">
        <f>IF($X275="","",J275*V275/100)</f>
        <v/>
      </c>
      <c r="L275">
        <f>IF($X275="","",INDEX('Per Line'!$Y$2:$Y$1501,$X275)&amp;"")</f>
        <v/>
      </c>
      <c r="M275" s="7">
        <f>IF($X275="","",SUMIFS('Per Line'!$U$2:$U$1501,'Per Line'!$AJ$2:$AJ$1501,$A275&amp;"|"&amp;$C275,'Per Line'!$AN$2:$AN$1501,1))</f>
        <v/>
      </c>
      <c r="N275">
        <f>IF($X275="","",Settings!$C$7)</f>
        <v/>
      </c>
      <c r="O275" s="7">
        <f>IF($X275="","",SUMIFS('Per Line'!$U$2:$U$1501,'Per Line'!$AJ$2:$AJ$1501,$A275&amp;"|"&amp;$C275,'Per Line'!$AM$2:$AM$1501,0,'Per Line'!$AN$2:$AN$1501,0))</f>
        <v/>
      </c>
      <c r="P275" s="7">
        <f>IF($X275="","",O275*N275)</f>
        <v/>
      </c>
      <c r="Q275">
        <f>IF($X275="","",Settings!$C$6)</f>
        <v/>
      </c>
      <c r="R275" s="7">
        <f>IF($X275="","",SUMIFS('Per Line'!$U$2:$U$1501,'Per Line'!$AJ$2:$AJ$1501,$A275&amp;"|"&amp;$C275,'Per Line'!$AM$2:$AM$1501,1,'Per Line'!$AN$2:$AN$1501,0))</f>
        <v/>
      </c>
      <c r="S275" s="7">
        <f>IF($X275="","",R275*Q275)</f>
        <v/>
      </c>
      <c r="T275" s="7">
        <f>IF($X275="","",S275+P275)</f>
        <v/>
      </c>
      <c r="U275" s="7">
        <f>IF($X275="","",V275-T275)</f>
        <v/>
      </c>
      <c r="V275" s="7">
        <f>IF($X275="","",O275+R275+M275)</f>
        <v/>
      </c>
      <c r="W275" s="7">
        <f>IF($X275="","",V275-T275-K275)</f>
        <v/>
      </c>
      <c r="X275" s="13">
        <f>IF(ROWS($X$2:$X275)&lt;=MAX('Per Line'!$AL$2:$AL$1501),MATCH(ROWS($X$2:$X275),'Per Line'!$AL$2:$AL$1501,0),"")</f>
        <v/>
      </c>
    </row>
    <row r="276">
      <c r="A276">
        <f>IF($X276="","",INDEX('Per Line'!$C$2:$C$1501,$X276)&amp;"")</f>
        <v/>
      </c>
      <c r="B276" s="12" t="n"/>
      <c r="C276">
        <f>IF($X276="","",INDEX('Per Line'!$D$2:$D$1501,$X276)&amp;"")</f>
        <v/>
      </c>
      <c r="D276">
        <f>IF($X276="","",INDEX('Per Line'!$A$2:$A$1501,$X276))</f>
        <v/>
      </c>
      <c r="E276">
        <f>IF($X276="","",INDEX('Per Line'!$G$2:$G$1501,$X276)&amp;"")</f>
        <v/>
      </c>
      <c r="F276" s="11">
        <f>IF($X276="","",INDEX('Per Line'!$F$2:$F$1501,$X276))</f>
        <v/>
      </c>
      <c r="G276">
        <f>IF($X276="","",INDEX('Per Line'!$I$2:$I$1501,$X276)&amp;"")</f>
        <v/>
      </c>
      <c r="H276">
        <f>IF($X276="","",INDEX('Per Line'!$J$2:$J$1501,$X276)&amp;"")</f>
        <v/>
      </c>
      <c r="I276">
        <f>IF($X276="","",INDEX('Per Line'!$K$2:$K$1501,$X276)&amp;"")</f>
        <v/>
      </c>
      <c r="J276">
        <f>IF($X276="","",INDEX('Per Line'!$M$2:$M$1501,$X276))</f>
        <v/>
      </c>
      <c r="K276" s="7">
        <f>IF($X276="","",J276*V276/100)</f>
        <v/>
      </c>
      <c r="L276">
        <f>IF($X276="","",INDEX('Per Line'!$Y$2:$Y$1501,$X276)&amp;"")</f>
        <v/>
      </c>
      <c r="M276" s="7">
        <f>IF($X276="","",SUMIFS('Per Line'!$U$2:$U$1501,'Per Line'!$AJ$2:$AJ$1501,$A276&amp;"|"&amp;$C276,'Per Line'!$AN$2:$AN$1501,1))</f>
        <v/>
      </c>
      <c r="N276">
        <f>IF($X276="","",Settings!$C$7)</f>
        <v/>
      </c>
      <c r="O276" s="7">
        <f>IF($X276="","",SUMIFS('Per Line'!$U$2:$U$1501,'Per Line'!$AJ$2:$AJ$1501,$A276&amp;"|"&amp;$C276,'Per Line'!$AM$2:$AM$1501,0,'Per Line'!$AN$2:$AN$1501,0))</f>
        <v/>
      </c>
      <c r="P276" s="7">
        <f>IF($X276="","",O276*N276)</f>
        <v/>
      </c>
      <c r="Q276">
        <f>IF($X276="","",Settings!$C$6)</f>
        <v/>
      </c>
      <c r="R276" s="7">
        <f>IF($X276="","",SUMIFS('Per Line'!$U$2:$U$1501,'Per Line'!$AJ$2:$AJ$1501,$A276&amp;"|"&amp;$C276,'Per Line'!$AM$2:$AM$1501,1,'Per Line'!$AN$2:$AN$1501,0))</f>
        <v/>
      </c>
      <c r="S276" s="7">
        <f>IF($X276="","",R276*Q276)</f>
        <v/>
      </c>
      <c r="T276" s="7">
        <f>IF($X276="","",S276+P276)</f>
        <v/>
      </c>
      <c r="U276" s="7">
        <f>IF($X276="","",V276-T276)</f>
        <v/>
      </c>
      <c r="V276" s="7">
        <f>IF($X276="","",O276+R276+M276)</f>
        <v/>
      </c>
      <c r="W276" s="7">
        <f>IF($X276="","",V276-T276-K276)</f>
        <v/>
      </c>
      <c r="X276" s="13">
        <f>IF(ROWS($X$2:$X276)&lt;=MAX('Per Line'!$AL$2:$AL$1501),MATCH(ROWS($X$2:$X276),'Per Line'!$AL$2:$AL$1501,0),"")</f>
        <v/>
      </c>
    </row>
    <row r="277">
      <c r="A277">
        <f>IF($X277="","",INDEX('Per Line'!$C$2:$C$1501,$X277)&amp;"")</f>
        <v/>
      </c>
      <c r="B277" s="12" t="n"/>
      <c r="C277">
        <f>IF($X277="","",INDEX('Per Line'!$D$2:$D$1501,$X277)&amp;"")</f>
        <v/>
      </c>
      <c r="D277">
        <f>IF($X277="","",INDEX('Per Line'!$A$2:$A$1501,$X277))</f>
        <v/>
      </c>
      <c r="E277">
        <f>IF($X277="","",INDEX('Per Line'!$G$2:$G$1501,$X277)&amp;"")</f>
        <v/>
      </c>
      <c r="F277" s="11">
        <f>IF($X277="","",INDEX('Per Line'!$F$2:$F$1501,$X277))</f>
        <v/>
      </c>
      <c r="G277">
        <f>IF($X277="","",INDEX('Per Line'!$I$2:$I$1501,$X277)&amp;"")</f>
        <v/>
      </c>
      <c r="H277">
        <f>IF($X277="","",INDEX('Per Line'!$J$2:$J$1501,$X277)&amp;"")</f>
        <v/>
      </c>
      <c r="I277">
        <f>IF($X277="","",INDEX('Per Line'!$K$2:$K$1501,$X277)&amp;"")</f>
        <v/>
      </c>
      <c r="J277">
        <f>IF($X277="","",INDEX('Per Line'!$M$2:$M$1501,$X277))</f>
        <v/>
      </c>
      <c r="K277" s="7">
        <f>IF($X277="","",J277*V277/100)</f>
        <v/>
      </c>
      <c r="L277">
        <f>IF($X277="","",INDEX('Per Line'!$Y$2:$Y$1501,$X277)&amp;"")</f>
        <v/>
      </c>
      <c r="M277" s="7">
        <f>IF($X277="","",SUMIFS('Per Line'!$U$2:$U$1501,'Per Line'!$AJ$2:$AJ$1501,$A277&amp;"|"&amp;$C277,'Per Line'!$AN$2:$AN$1501,1))</f>
        <v/>
      </c>
      <c r="N277">
        <f>IF($X277="","",Settings!$C$7)</f>
        <v/>
      </c>
      <c r="O277" s="7">
        <f>IF($X277="","",SUMIFS('Per Line'!$U$2:$U$1501,'Per Line'!$AJ$2:$AJ$1501,$A277&amp;"|"&amp;$C277,'Per Line'!$AM$2:$AM$1501,0,'Per Line'!$AN$2:$AN$1501,0))</f>
        <v/>
      </c>
      <c r="P277" s="7">
        <f>IF($X277="","",O277*N277)</f>
        <v/>
      </c>
      <c r="Q277">
        <f>IF($X277="","",Settings!$C$6)</f>
        <v/>
      </c>
      <c r="R277" s="7">
        <f>IF($X277="","",SUMIFS('Per Line'!$U$2:$U$1501,'Per Line'!$AJ$2:$AJ$1501,$A277&amp;"|"&amp;$C277,'Per Line'!$AM$2:$AM$1501,1,'Per Line'!$AN$2:$AN$1501,0))</f>
        <v/>
      </c>
      <c r="S277" s="7">
        <f>IF($X277="","",R277*Q277)</f>
        <v/>
      </c>
      <c r="T277" s="7">
        <f>IF($X277="","",S277+P277)</f>
        <v/>
      </c>
      <c r="U277" s="7">
        <f>IF($X277="","",V277-T277)</f>
        <v/>
      </c>
      <c r="V277" s="7">
        <f>IF($X277="","",O277+R277+M277)</f>
        <v/>
      </c>
      <c r="W277" s="7">
        <f>IF($X277="","",V277-T277-K277)</f>
        <v/>
      </c>
      <c r="X277" s="13">
        <f>IF(ROWS($X$2:$X277)&lt;=MAX('Per Line'!$AL$2:$AL$1501),MATCH(ROWS($X$2:$X277),'Per Line'!$AL$2:$AL$1501,0),"")</f>
        <v/>
      </c>
    </row>
    <row r="278">
      <c r="A278">
        <f>IF($X278="","",INDEX('Per Line'!$C$2:$C$1501,$X278)&amp;"")</f>
        <v/>
      </c>
      <c r="B278" s="12" t="n"/>
      <c r="C278">
        <f>IF($X278="","",INDEX('Per Line'!$D$2:$D$1501,$X278)&amp;"")</f>
        <v/>
      </c>
      <c r="D278">
        <f>IF($X278="","",INDEX('Per Line'!$A$2:$A$1501,$X278))</f>
        <v/>
      </c>
      <c r="E278">
        <f>IF($X278="","",INDEX('Per Line'!$G$2:$G$1501,$X278)&amp;"")</f>
        <v/>
      </c>
      <c r="F278" s="11">
        <f>IF($X278="","",INDEX('Per Line'!$F$2:$F$1501,$X278))</f>
        <v/>
      </c>
      <c r="G278">
        <f>IF($X278="","",INDEX('Per Line'!$I$2:$I$1501,$X278)&amp;"")</f>
        <v/>
      </c>
      <c r="H278">
        <f>IF($X278="","",INDEX('Per Line'!$J$2:$J$1501,$X278)&amp;"")</f>
        <v/>
      </c>
      <c r="I278">
        <f>IF($X278="","",INDEX('Per Line'!$K$2:$K$1501,$X278)&amp;"")</f>
        <v/>
      </c>
      <c r="J278">
        <f>IF($X278="","",INDEX('Per Line'!$M$2:$M$1501,$X278))</f>
        <v/>
      </c>
      <c r="K278" s="7">
        <f>IF($X278="","",J278*V278/100)</f>
        <v/>
      </c>
      <c r="L278">
        <f>IF($X278="","",INDEX('Per Line'!$Y$2:$Y$1501,$X278)&amp;"")</f>
        <v/>
      </c>
      <c r="M278" s="7">
        <f>IF($X278="","",SUMIFS('Per Line'!$U$2:$U$1501,'Per Line'!$AJ$2:$AJ$1501,$A278&amp;"|"&amp;$C278,'Per Line'!$AN$2:$AN$1501,1))</f>
        <v/>
      </c>
      <c r="N278">
        <f>IF($X278="","",Settings!$C$7)</f>
        <v/>
      </c>
      <c r="O278" s="7">
        <f>IF($X278="","",SUMIFS('Per Line'!$U$2:$U$1501,'Per Line'!$AJ$2:$AJ$1501,$A278&amp;"|"&amp;$C278,'Per Line'!$AM$2:$AM$1501,0,'Per Line'!$AN$2:$AN$1501,0))</f>
        <v/>
      </c>
      <c r="P278" s="7">
        <f>IF($X278="","",O278*N278)</f>
        <v/>
      </c>
      <c r="Q278">
        <f>IF($X278="","",Settings!$C$6)</f>
        <v/>
      </c>
      <c r="R278" s="7">
        <f>IF($X278="","",SUMIFS('Per Line'!$U$2:$U$1501,'Per Line'!$AJ$2:$AJ$1501,$A278&amp;"|"&amp;$C278,'Per Line'!$AM$2:$AM$1501,1,'Per Line'!$AN$2:$AN$1501,0))</f>
        <v/>
      </c>
      <c r="S278" s="7">
        <f>IF($X278="","",R278*Q278)</f>
        <v/>
      </c>
      <c r="T278" s="7">
        <f>IF($X278="","",S278+P278)</f>
        <v/>
      </c>
      <c r="U278" s="7">
        <f>IF($X278="","",V278-T278)</f>
        <v/>
      </c>
      <c r="V278" s="7">
        <f>IF($X278="","",O278+R278+M278)</f>
        <v/>
      </c>
      <c r="W278" s="7">
        <f>IF($X278="","",V278-T278-K278)</f>
        <v/>
      </c>
      <c r="X278" s="13">
        <f>IF(ROWS($X$2:$X278)&lt;=MAX('Per Line'!$AL$2:$AL$1501),MATCH(ROWS($X$2:$X278),'Per Line'!$AL$2:$AL$1501,0),"")</f>
        <v/>
      </c>
    </row>
    <row r="279">
      <c r="A279">
        <f>IF($X279="","",INDEX('Per Line'!$C$2:$C$1501,$X279)&amp;"")</f>
        <v/>
      </c>
      <c r="B279" s="12" t="n"/>
      <c r="C279">
        <f>IF($X279="","",INDEX('Per Line'!$D$2:$D$1501,$X279)&amp;"")</f>
        <v/>
      </c>
      <c r="D279">
        <f>IF($X279="","",INDEX('Per Line'!$A$2:$A$1501,$X279))</f>
        <v/>
      </c>
      <c r="E279">
        <f>IF($X279="","",INDEX('Per Line'!$G$2:$G$1501,$X279)&amp;"")</f>
        <v/>
      </c>
      <c r="F279" s="11">
        <f>IF($X279="","",INDEX('Per Line'!$F$2:$F$1501,$X279))</f>
        <v/>
      </c>
      <c r="G279">
        <f>IF($X279="","",INDEX('Per Line'!$I$2:$I$1501,$X279)&amp;"")</f>
        <v/>
      </c>
      <c r="H279">
        <f>IF($X279="","",INDEX('Per Line'!$J$2:$J$1501,$X279)&amp;"")</f>
        <v/>
      </c>
      <c r="I279">
        <f>IF($X279="","",INDEX('Per Line'!$K$2:$K$1501,$X279)&amp;"")</f>
        <v/>
      </c>
      <c r="J279">
        <f>IF($X279="","",INDEX('Per Line'!$M$2:$M$1501,$X279))</f>
        <v/>
      </c>
      <c r="K279" s="7">
        <f>IF($X279="","",J279*V279/100)</f>
        <v/>
      </c>
      <c r="L279">
        <f>IF($X279="","",INDEX('Per Line'!$Y$2:$Y$1501,$X279)&amp;"")</f>
        <v/>
      </c>
      <c r="M279" s="7">
        <f>IF($X279="","",SUMIFS('Per Line'!$U$2:$U$1501,'Per Line'!$AJ$2:$AJ$1501,$A279&amp;"|"&amp;$C279,'Per Line'!$AN$2:$AN$1501,1))</f>
        <v/>
      </c>
      <c r="N279">
        <f>IF($X279="","",Settings!$C$7)</f>
        <v/>
      </c>
      <c r="O279" s="7">
        <f>IF($X279="","",SUMIFS('Per Line'!$U$2:$U$1501,'Per Line'!$AJ$2:$AJ$1501,$A279&amp;"|"&amp;$C279,'Per Line'!$AM$2:$AM$1501,0,'Per Line'!$AN$2:$AN$1501,0))</f>
        <v/>
      </c>
      <c r="P279" s="7">
        <f>IF($X279="","",O279*N279)</f>
        <v/>
      </c>
      <c r="Q279">
        <f>IF($X279="","",Settings!$C$6)</f>
        <v/>
      </c>
      <c r="R279" s="7">
        <f>IF($X279="","",SUMIFS('Per Line'!$U$2:$U$1501,'Per Line'!$AJ$2:$AJ$1501,$A279&amp;"|"&amp;$C279,'Per Line'!$AM$2:$AM$1501,1,'Per Line'!$AN$2:$AN$1501,0))</f>
        <v/>
      </c>
      <c r="S279" s="7">
        <f>IF($X279="","",R279*Q279)</f>
        <v/>
      </c>
      <c r="T279" s="7">
        <f>IF($X279="","",S279+P279)</f>
        <v/>
      </c>
      <c r="U279" s="7">
        <f>IF($X279="","",V279-T279)</f>
        <v/>
      </c>
      <c r="V279" s="7">
        <f>IF($X279="","",O279+R279+M279)</f>
        <v/>
      </c>
      <c r="W279" s="7">
        <f>IF($X279="","",V279-T279-K279)</f>
        <v/>
      </c>
      <c r="X279" s="13">
        <f>IF(ROWS($X$2:$X279)&lt;=MAX('Per Line'!$AL$2:$AL$1501),MATCH(ROWS($X$2:$X279),'Per Line'!$AL$2:$AL$1501,0),"")</f>
        <v/>
      </c>
    </row>
    <row r="280">
      <c r="A280">
        <f>IF($X280="","",INDEX('Per Line'!$C$2:$C$1501,$X280)&amp;"")</f>
        <v/>
      </c>
      <c r="B280" s="12" t="n"/>
      <c r="C280">
        <f>IF($X280="","",INDEX('Per Line'!$D$2:$D$1501,$X280)&amp;"")</f>
        <v/>
      </c>
      <c r="D280">
        <f>IF($X280="","",INDEX('Per Line'!$A$2:$A$1501,$X280))</f>
        <v/>
      </c>
      <c r="E280">
        <f>IF($X280="","",INDEX('Per Line'!$G$2:$G$1501,$X280)&amp;"")</f>
        <v/>
      </c>
      <c r="F280" s="11">
        <f>IF($X280="","",INDEX('Per Line'!$F$2:$F$1501,$X280))</f>
        <v/>
      </c>
      <c r="G280">
        <f>IF($X280="","",INDEX('Per Line'!$I$2:$I$1501,$X280)&amp;"")</f>
        <v/>
      </c>
      <c r="H280">
        <f>IF($X280="","",INDEX('Per Line'!$J$2:$J$1501,$X280)&amp;"")</f>
        <v/>
      </c>
      <c r="I280">
        <f>IF($X280="","",INDEX('Per Line'!$K$2:$K$1501,$X280)&amp;"")</f>
        <v/>
      </c>
      <c r="J280">
        <f>IF($X280="","",INDEX('Per Line'!$M$2:$M$1501,$X280))</f>
        <v/>
      </c>
      <c r="K280" s="7">
        <f>IF($X280="","",J280*V280/100)</f>
        <v/>
      </c>
      <c r="L280">
        <f>IF($X280="","",INDEX('Per Line'!$Y$2:$Y$1501,$X280)&amp;"")</f>
        <v/>
      </c>
      <c r="M280" s="7">
        <f>IF($X280="","",SUMIFS('Per Line'!$U$2:$U$1501,'Per Line'!$AJ$2:$AJ$1501,$A280&amp;"|"&amp;$C280,'Per Line'!$AN$2:$AN$1501,1))</f>
        <v/>
      </c>
      <c r="N280">
        <f>IF($X280="","",Settings!$C$7)</f>
        <v/>
      </c>
      <c r="O280" s="7">
        <f>IF($X280="","",SUMIFS('Per Line'!$U$2:$U$1501,'Per Line'!$AJ$2:$AJ$1501,$A280&amp;"|"&amp;$C280,'Per Line'!$AM$2:$AM$1501,0,'Per Line'!$AN$2:$AN$1501,0))</f>
        <v/>
      </c>
      <c r="P280" s="7">
        <f>IF($X280="","",O280*N280)</f>
        <v/>
      </c>
      <c r="Q280">
        <f>IF($X280="","",Settings!$C$6)</f>
        <v/>
      </c>
      <c r="R280" s="7">
        <f>IF($X280="","",SUMIFS('Per Line'!$U$2:$U$1501,'Per Line'!$AJ$2:$AJ$1501,$A280&amp;"|"&amp;$C280,'Per Line'!$AM$2:$AM$1501,1,'Per Line'!$AN$2:$AN$1501,0))</f>
        <v/>
      </c>
      <c r="S280" s="7">
        <f>IF($X280="","",R280*Q280)</f>
        <v/>
      </c>
      <c r="T280" s="7">
        <f>IF($X280="","",S280+P280)</f>
        <v/>
      </c>
      <c r="U280" s="7">
        <f>IF($X280="","",V280-T280)</f>
        <v/>
      </c>
      <c r="V280" s="7">
        <f>IF($X280="","",O280+R280+M280)</f>
        <v/>
      </c>
      <c r="W280" s="7">
        <f>IF($X280="","",V280-T280-K280)</f>
        <v/>
      </c>
      <c r="X280" s="13">
        <f>IF(ROWS($X$2:$X280)&lt;=MAX('Per Line'!$AL$2:$AL$1501),MATCH(ROWS($X$2:$X280),'Per Line'!$AL$2:$AL$1501,0),"")</f>
        <v/>
      </c>
    </row>
    <row r="281">
      <c r="A281">
        <f>IF($X281="","",INDEX('Per Line'!$C$2:$C$1501,$X281)&amp;"")</f>
        <v/>
      </c>
      <c r="B281" s="12" t="n"/>
      <c r="C281">
        <f>IF($X281="","",INDEX('Per Line'!$D$2:$D$1501,$X281)&amp;"")</f>
        <v/>
      </c>
      <c r="D281">
        <f>IF($X281="","",INDEX('Per Line'!$A$2:$A$1501,$X281))</f>
        <v/>
      </c>
      <c r="E281">
        <f>IF($X281="","",INDEX('Per Line'!$G$2:$G$1501,$X281)&amp;"")</f>
        <v/>
      </c>
      <c r="F281" s="11">
        <f>IF($X281="","",INDEX('Per Line'!$F$2:$F$1501,$X281))</f>
        <v/>
      </c>
      <c r="G281">
        <f>IF($X281="","",INDEX('Per Line'!$I$2:$I$1501,$X281)&amp;"")</f>
        <v/>
      </c>
      <c r="H281">
        <f>IF($X281="","",INDEX('Per Line'!$J$2:$J$1501,$X281)&amp;"")</f>
        <v/>
      </c>
      <c r="I281">
        <f>IF($X281="","",INDEX('Per Line'!$K$2:$K$1501,$X281)&amp;"")</f>
        <v/>
      </c>
      <c r="J281">
        <f>IF($X281="","",INDEX('Per Line'!$M$2:$M$1501,$X281))</f>
        <v/>
      </c>
      <c r="K281" s="7">
        <f>IF($X281="","",J281*V281/100)</f>
        <v/>
      </c>
      <c r="L281">
        <f>IF($X281="","",INDEX('Per Line'!$Y$2:$Y$1501,$X281)&amp;"")</f>
        <v/>
      </c>
      <c r="M281" s="7">
        <f>IF($X281="","",SUMIFS('Per Line'!$U$2:$U$1501,'Per Line'!$AJ$2:$AJ$1501,$A281&amp;"|"&amp;$C281,'Per Line'!$AN$2:$AN$1501,1))</f>
        <v/>
      </c>
      <c r="N281">
        <f>IF($X281="","",Settings!$C$7)</f>
        <v/>
      </c>
      <c r="O281" s="7">
        <f>IF($X281="","",SUMIFS('Per Line'!$U$2:$U$1501,'Per Line'!$AJ$2:$AJ$1501,$A281&amp;"|"&amp;$C281,'Per Line'!$AM$2:$AM$1501,0,'Per Line'!$AN$2:$AN$1501,0))</f>
        <v/>
      </c>
      <c r="P281" s="7">
        <f>IF($X281="","",O281*N281)</f>
        <v/>
      </c>
      <c r="Q281">
        <f>IF($X281="","",Settings!$C$6)</f>
        <v/>
      </c>
      <c r="R281" s="7">
        <f>IF($X281="","",SUMIFS('Per Line'!$U$2:$U$1501,'Per Line'!$AJ$2:$AJ$1501,$A281&amp;"|"&amp;$C281,'Per Line'!$AM$2:$AM$1501,1,'Per Line'!$AN$2:$AN$1501,0))</f>
        <v/>
      </c>
      <c r="S281" s="7">
        <f>IF($X281="","",R281*Q281)</f>
        <v/>
      </c>
      <c r="T281" s="7">
        <f>IF($X281="","",S281+P281)</f>
        <v/>
      </c>
      <c r="U281" s="7">
        <f>IF($X281="","",V281-T281)</f>
        <v/>
      </c>
      <c r="V281" s="7">
        <f>IF($X281="","",O281+R281+M281)</f>
        <v/>
      </c>
      <c r="W281" s="7">
        <f>IF($X281="","",V281-T281-K281)</f>
        <v/>
      </c>
      <c r="X281" s="13">
        <f>IF(ROWS($X$2:$X281)&lt;=MAX('Per Line'!$AL$2:$AL$1501),MATCH(ROWS($X$2:$X281),'Per Line'!$AL$2:$AL$1501,0),"")</f>
        <v/>
      </c>
    </row>
    <row r="282">
      <c r="A282">
        <f>IF($X282="","",INDEX('Per Line'!$C$2:$C$1501,$X282)&amp;"")</f>
        <v/>
      </c>
      <c r="B282" s="12" t="n"/>
      <c r="C282">
        <f>IF($X282="","",INDEX('Per Line'!$D$2:$D$1501,$X282)&amp;"")</f>
        <v/>
      </c>
      <c r="D282">
        <f>IF($X282="","",INDEX('Per Line'!$A$2:$A$1501,$X282))</f>
        <v/>
      </c>
      <c r="E282">
        <f>IF($X282="","",INDEX('Per Line'!$G$2:$G$1501,$X282)&amp;"")</f>
        <v/>
      </c>
      <c r="F282" s="11">
        <f>IF($X282="","",INDEX('Per Line'!$F$2:$F$1501,$X282))</f>
        <v/>
      </c>
      <c r="G282">
        <f>IF($X282="","",INDEX('Per Line'!$I$2:$I$1501,$X282)&amp;"")</f>
        <v/>
      </c>
      <c r="H282">
        <f>IF($X282="","",INDEX('Per Line'!$J$2:$J$1501,$X282)&amp;"")</f>
        <v/>
      </c>
      <c r="I282">
        <f>IF($X282="","",INDEX('Per Line'!$K$2:$K$1501,$X282)&amp;"")</f>
        <v/>
      </c>
      <c r="J282">
        <f>IF($X282="","",INDEX('Per Line'!$M$2:$M$1501,$X282))</f>
        <v/>
      </c>
      <c r="K282" s="7">
        <f>IF($X282="","",J282*V282/100)</f>
        <v/>
      </c>
      <c r="L282">
        <f>IF($X282="","",INDEX('Per Line'!$Y$2:$Y$1501,$X282)&amp;"")</f>
        <v/>
      </c>
      <c r="M282" s="7">
        <f>IF($X282="","",SUMIFS('Per Line'!$U$2:$U$1501,'Per Line'!$AJ$2:$AJ$1501,$A282&amp;"|"&amp;$C282,'Per Line'!$AN$2:$AN$1501,1))</f>
        <v/>
      </c>
      <c r="N282">
        <f>IF($X282="","",Settings!$C$7)</f>
        <v/>
      </c>
      <c r="O282" s="7">
        <f>IF($X282="","",SUMIFS('Per Line'!$U$2:$U$1501,'Per Line'!$AJ$2:$AJ$1501,$A282&amp;"|"&amp;$C282,'Per Line'!$AM$2:$AM$1501,0,'Per Line'!$AN$2:$AN$1501,0))</f>
        <v/>
      </c>
      <c r="P282" s="7">
        <f>IF($X282="","",O282*N282)</f>
        <v/>
      </c>
      <c r="Q282">
        <f>IF($X282="","",Settings!$C$6)</f>
        <v/>
      </c>
      <c r="R282" s="7">
        <f>IF($X282="","",SUMIFS('Per Line'!$U$2:$U$1501,'Per Line'!$AJ$2:$AJ$1501,$A282&amp;"|"&amp;$C282,'Per Line'!$AM$2:$AM$1501,1,'Per Line'!$AN$2:$AN$1501,0))</f>
        <v/>
      </c>
      <c r="S282" s="7">
        <f>IF($X282="","",R282*Q282)</f>
        <v/>
      </c>
      <c r="T282" s="7">
        <f>IF($X282="","",S282+P282)</f>
        <v/>
      </c>
      <c r="U282" s="7">
        <f>IF($X282="","",V282-T282)</f>
        <v/>
      </c>
      <c r="V282" s="7">
        <f>IF($X282="","",O282+R282+M282)</f>
        <v/>
      </c>
      <c r="W282" s="7">
        <f>IF($X282="","",V282-T282-K282)</f>
        <v/>
      </c>
      <c r="X282" s="13">
        <f>IF(ROWS($X$2:$X282)&lt;=MAX('Per Line'!$AL$2:$AL$1501),MATCH(ROWS($X$2:$X282),'Per Line'!$AL$2:$AL$1501,0),"")</f>
        <v/>
      </c>
    </row>
    <row r="283">
      <c r="A283">
        <f>IF($X283="","",INDEX('Per Line'!$C$2:$C$1501,$X283)&amp;"")</f>
        <v/>
      </c>
      <c r="B283" s="12" t="n"/>
      <c r="C283">
        <f>IF($X283="","",INDEX('Per Line'!$D$2:$D$1501,$X283)&amp;"")</f>
        <v/>
      </c>
      <c r="D283">
        <f>IF($X283="","",INDEX('Per Line'!$A$2:$A$1501,$X283))</f>
        <v/>
      </c>
      <c r="E283">
        <f>IF($X283="","",INDEX('Per Line'!$G$2:$G$1501,$X283)&amp;"")</f>
        <v/>
      </c>
      <c r="F283" s="11">
        <f>IF($X283="","",INDEX('Per Line'!$F$2:$F$1501,$X283))</f>
        <v/>
      </c>
      <c r="G283">
        <f>IF($X283="","",INDEX('Per Line'!$I$2:$I$1501,$X283)&amp;"")</f>
        <v/>
      </c>
      <c r="H283">
        <f>IF($X283="","",INDEX('Per Line'!$J$2:$J$1501,$X283)&amp;"")</f>
        <v/>
      </c>
      <c r="I283">
        <f>IF($X283="","",INDEX('Per Line'!$K$2:$K$1501,$X283)&amp;"")</f>
        <v/>
      </c>
      <c r="J283">
        <f>IF($X283="","",INDEX('Per Line'!$M$2:$M$1501,$X283))</f>
        <v/>
      </c>
      <c r="K283" s="7">
        <f>IF($X283="","",J283*V283/100)</f>
        <v/>
      </c>
      <c r="L283">
        <f>IF($X283="","",INDEX('Per Line'!$Y$2:$Y$1501,$X283)&amp;"")</f>
        <v/>
      </c>
      <c r="M283" s="7">
        <f>IF($X283="","",SUMIFS('Per Line'!$U$2:$U$1501,'Per Line'!$AJ$2:$AJ$1501,$A283&amp;"|"&amp;$C283,'Per Line'!$AN$2:$AN$1501,1))</f>
        <v/>
      </c>
      <c r="N283">
        <f>IF($X283="","",Settings!$C$7)</f>
        <v/>
      </c>
      <c r="O283" s="7">
        <f>IF($X283="","",SUMIFS('Per Line'!$U$2:$U$1501,'Per Line'!$AJ$2:$AJ$1501,$A283&amp;"|"&amp;$C283,'Per Line'!$AM$2:$AM$1501,0,'Per Line'!$AN$2:$AN$1501,0))</f>
        <v/>
      </c>
      <c r="P283" s="7">
        <f>IF($X283="","",O283*N283)</f>
        <v/>
      </c>
      <c r="Q283">
        <f>IF($X283="","",Settings!$C$6)</f>
        <v/>
      </c>
      <c r="R283" s="7">
        <f>IF($X283="","",SUMIFS('Per Line'!$U$2:$U$1501,'Per Line'!$AJ$2:$AJ$1501,$A283&amp;"|"&amp;$C283,'Per Line'!$AM$2:$AM$1501,1,'Per Line'!$AN$2:$AN$1501,0))</f>
        <v/>
      </c>
      <c r="S283" s="7">
        <f>IF($X283="","",R283*Q283)</f>
        <v/>
      </c>
      <c r="T283" s="7">
        <f>IF($X283="","",S283+P283)</f>
        <v/>
      </c>
      <c r="U283" s="7">
        <f>IF($X283="","",V283-T283)</f>
        <v/>
      </c>
      <c r="V283" s="7">
        <f>IF($X283="","",O283+R283+M283)</f>
        <v/>
      </c>
      <c r="W283" s="7">
        <f>IF($X283="","",V283-T283-K283)</f>
        <v/>
      </c>
      <c r="X283" s="13">
        <f>IF(ROWS($X$2:$X283)&lt;=MAX('Per Line'!$AL$2:$AL$1501),MATCH(ROWS($X$2:$X283),'Per Line'!$AL$2:$AL$1501,0),"")</f>
        <v/>
      </c>
    </row>
    <row r="284">
      <c r="A284">
        <f>IF($X284="","",INDEX('Per Line'!$C$2:$C$1501,$X284)&amp;"")</f>
        <v/>
      </c>
      <c r="B284" s="12" t="n"/>
      <c r="C284">
        <f>IF($X284="","",INDEX('Per Line'!$D$2:$D$1501,$X284)&amp;"")</f>
        <v/>
      </c>
      <c r="D284">
        <f>IF($X284="","",INDEX('Per Line'!$A$2:$A$1501,$X284))</f>
        <v/>
      </c>
      <c r="E284">
        <f>IF($X284="","",INDEX('Per Line'!$G$2:$G$1501,$X284)&amp;"")</f>
        <v/>
      </c>
      <c r="F284" s="11">
        <f>IF($X284="","",INDEX('Per Line'!$F$2:$F$1501,$X284))</f>
        <v/>
      </c>
      <c r="G284">
        <f>IF($X284="","",INDEX('Per Line'!$I$2:$I$1501,$X284)&amp;"")</f>
        <v/>
      </c>
      <c r="H284">
        <f>IF($X284="","",INDEX('Per Line'!$J$2:$J$1501,$X284)&amp;"")</f>
        <v/>
      </c>
      <c r="I284">
        <f>IF($X284="","",INDEX('Per Line'!$K$2:$K$1501,$X284)&amp;"")</f>
        <v/>
      </c>
      <c r="J284">
        <f>IF($X284="","",INDEX('Per Line'!$M$2:$M$1501,$X284))</f>
        <v/>
      </c>
      <c r="K284" s="7">
        <f>IF($X284="","",J284*V284/100)</f>
        <v/>
      </c>
      <c r="L284">
        <f>IF($X284="","",INDEX('Per Line'!$Y$2:$Y$1501,$X284)&amp;"")</f>
        <v/>
      </c>
      <c r="M284" s="7">
        <f>IF($X284="","",SUMIFS('Per Line'!$U$2:$U$1501,'Per Line'!$AJ$2:$AJ$1501,$A284&amp;"|"&amp;$C284,'Per Line'!$AN$2:$AN$1501,1))</f>
        <v/>
      </c>
      <c r="N284">
        <f>IF($X284="","",Settings!$C$7)</f>
        <v/>
      </c>
      <c r="O284" s="7">
        <f>IF($X284="","",SUMIFS('Per Line'!$U$2:$U$1501,'Per Line'!$AJ$2:$AJ$1501,$A284&amp;"|"&amp;$C284,'Per Line'!$AM$2:$AM$1501,0,'Per Line'!$AN$2:$AN$1501,0))</f>
        <v/>
      </c>
      <c r="P284" s="7">
        <f>IF($X284="","",O284*N284)</f>
        <v/>
      </c>
      <c r="Q284">
        <f>IF($X284="","",Settings!$C$6)</f>
        <v/>
      </c>
      <c r="R284" s="7">
        <f>IF($X284="","",SUMIFS('Per Line'!$U$2:$U$1501,'Per Line'!$AJ$2:$AJ$1501,$A284&amp;"|"&amp;$C284,'Per Line'!$AM$2:$AM$1501,1,'Per Line'!$AN$2:$AN$1501,0))</f>
        <v/>
      </c>
      <c r="S284" s="7">
        <f>IF($X284="","",R284*Q284)</f>
        <v/>
      </c>
      <c r="T284" s="7">
        <f>IF($X284="","",S284+P284)</f>
        <v/>
      </c>
      <c r="U284" s="7">
        <f>IF($X284="","",V284-T284)</f>
        <v/>
      </c>
      <c r="V284" s="7">
        <f>IF($X284="","",O284+R284+M284)</f>
        <v/>
      </c>
      <c r="W284" s="7">
        <f>IF($X284="","",V284-T284-K284)</f>
        <v/>
      </c>
      <c r="X284" s="13">
        <f>IF(ROWS($X$2:$X284)&lt;=MAX('Per Line'!$AL$2:$AL$1501),MATCH(ROWS($X$2:$X284),'Per Line'!$AL$2:$AL$1501,0),"")</f>
        <v/>
      </c>
    </row>
    <row r="285">
      <c r="A285">
        <f>IF($X285="","",INDEX('Per Line'!$C$2:$C$1501,$X285)&amp;"")</f>
        <v/>
      </c>
      <c r="B285" s="12" t="n"/>
      <c r="C285">
        <f>IF($X285="","",INDEX('Per Line'!$D$2:$D$1501,$X285)&amp;"")</f>
        <v/>
      </c>
      <c r="D285">
        <f>IF($X285="","",INDEX('Per Line'!$A$2:$A$1501,$X285))</f>
        <v/>
      </c>
      <c r="E285">
        <f>IF($X285="","",INDEX('Per Line'!$G$2:$G$1501,$X285)&amp;"")</f>
        <v/>
      </c>
      <c r="F285" s="11">
        <f>IF($X285="","",INDEX('Per Line'!$F$2:$F$1501,$X285))</f>
        <v/>
      </c>
      <c r="G285">
        <f>IF($X285="","",INDEX('Per Line'!$I$2:$I$1501,$X285)&amp;"")</f>
        <v/>
      </c>
      <c r="H285">
        <f>IF($X285="","",INDEX('Per Line'!$J$2:$J$1501,$X285)&amp;"")</f>
        <v/>
      </c>
      <c r="I285">
        <f>IF($X285="","",INDEX('Per Line'!$K$2:$K$1501,$X285)&amp;"")</f>
        <v/>
      </c>
      <c r="J285">
        <f>IF($X285="","",INDEX('Per Line'!$M$2:$M$1501,$X285))</f>
        <v/>
      </c>
      <c r="K285" s="7">
        <f>IF($X285="","",J285*V285/100)</f>
        <v/>
      </c>
      <c r="L285">
        <f>IF($X285="","",INDEX('Per Line'!$Y$2:$Y$1501,$X285)&amp;"")</f>
        <v/>
      </c>
      <c r="M285" s="7">
        <f>IF($X285="","",SUMIFS('Per Line'!$U$2:$U$1501,'Per Line'!$AJ$2:$AJ$1501,$A285&amp;"|"&amp;$C285,'Per Line'!$AN$2:$AN$1501,1))</f>
        <v/>
      </c>
      <c r="N285">
        <f>IF($X285="","",Settings!$C$7)</f>
        <v/>
      </c>
      <c r="O285" s="7">
        <f>IF($X285="","",SUMIFS('Per Line'!$U$2:$U$1501,'Per Line'!$AJ$2:$AJ$1501,$A285&amp;"|"&amp;$C285,'Per Line'!$AM$2:$AM$1501,0,'Per Line'!$AN$2:$AN$1501,0))</f>
        <v/>
      </c>
      <c r="P285" s="7">
        <f>IF($X285="","",O285*N285)</f>
        <v/>
      </c>
      <c r="Q285">
        <f>IF($X285="","",Settings!$C$6)</f>
        <v/>
      </c>
      <c r="R285" s="7">
        <f>IF($X285="","",SUMIFS('Per Line'!$U$2:$U$1501,'Per Line'!$AJ$2:$AJ$1501,$A285&amp;"|"&amp;$C285,'Per Line'!$AM$2:$AM$1501,1,'Per Line'!$AN$2:$AN$1501,0))</f>
        <v/>
      </c>
      <c r="S285" s="7">
        <f>IF($X285="","",R285*Q285)</f>
        <v/>
      </c>
      <c r="T285" s="7">
        <f>IF($X285="","",S285+P285)</f>
        <v/>
      </c>
      <c r="U285" s="7">
        <f>IF($X285="","",V285-T285)</f>
        <v/>
      </c>
      <c r="V285" s="7">
        <f>IF($X285="","",O285+R285+M285)</f>
        <v/>
      </c>
      <c r="W285" s="7">
        <f>IF($X285="","",V285-T285-K285)</f>
        <v/>
      </c>
      <c r="X285" s="13">
        <f>IF(ROWS($X$2:$X285)&lt;=MAX('Per Line'!$AL$2:$AL$1501),MATCH(ROWS($X$2:$X285),'Per Line'!$AL$2:$AL$1501,0),"")</f>
        <v/>
      </c>
    </row>
    <row r="286">
      <c r="A286">
        <f>IF($X286="","",INDEX('Per Line'!$C$2:$C$1501,$X286)&amp;"")</f>
        <v/>
      </c>
      <c r="B286" s="12" t="n"/>
      <c r="C286">
        <f>IF($X286="","",INDEX('Per Line'!$D$2:$D$1501,$X286)&amp;"")</f>
        <v/>
      </c>
      <c r="D286">
        <f>IF($X286="","",INDEX('Per Line'!$A$2:$A$1501,$X286))</f>
        <v/>
      </c>
      <c r="E286">
        <f>IF($X286="","",INDEX('Per Line'!$G$2:$G$1501,$X286)&amp;"")</f>
        <v/>
      </c>
      <c r="F286" s="11">
        <f>IF($X286="","",INDEX('Per Line'!$F$2:$F$1501,$X286))</f>
        <v/>
      </c>
      <c r="G286">
        <f>IF($X286="","",INDEX('Per Line'!$I$2:$I$1501,$X286)&amp;"")</f>
        <v/>
      </c>
      <c r="H286">
        <f>IF($X286="","",INDEX('Per Line'!$J$2:$J$1501,$X286)&amp;"")</f>
        <v/>
      </c>
      <c r="I286">
        <f>IF($X286="","",INDEX('Per Line'!$K$2:$K$1501,$X286)&amp;"")</f>
        <v/>
      </c>
      <c r="J286">
        <f>IF($X286="","",INDEX('Per Line'!$M$2:$M$1501,$X286))</f>
        <v/>
      </c>
      <c r="K286" s="7">
        <f>IF($X286="","",J286*V286/100)</f>
        <v/>
      </c>
      <c r="L286">
        <f>IF($X286="","",INDEX('Per Line'!$Y$2:$Y$1501,$X286)&amp;"")</f>
        <v/>
      </c>
      <c r="M286" s="7">
        <f>IF($X286="","",SUMIFS('Per Line'!$U$2:$U$1501,'Per Line'!$AJ$2:$AJ$1501,$A286&amp;"|"&amp;$C286,'Per Line'!$AN$2:$AN$1501,1))</f>
        <v/>
      </c>
      <c r="N286">
        <f>IF($X286="","",Settings!$C$7)</f>
        <v/>
      </c>
      <c r="O286" s="7">
        <f>IF($X286="","",SUMIFS('Per Line'!$U$2:$U$1501,'Per Line'!$AJ$2:$AJ$1501,$A286&amp;"|"&amp;$C286,'Per Line'!$AM$2:$AM$1501,0,'Per Line'!$AN$2:$AN$1501,0))</f>
        <v/>
      </c>
      <c r="P286" s="7">
        <f>IF($X286="","",O286*N286)</f>
        <v/>
      </c>
      <c r="Q286">
        <f>IF($X286="","",Settings!$C$6)</f>
        <v/>
      </c>
      <c r="R286" s="7">
        <f>IF($X286="","",SUMIFS('Per Line'!$U$2:$U$1501,'Per Line'!$AJ$2:$AJ$1501,$A286&amp;"|"&amp;$C286,'Per Line'!$AM$2:$AM$1501,1,'Per Line'!$AN$2:$AN$1501,0))</f>
        <v/>
      </c>
      <c r="S286" s="7">
        <f>IF($X286="","",R286*Q286)</f>
        <v/>
      </c>
      <c r="T286" s="7">
        <f>IF($X286="","",S286+P286)</f>
        <v/>
      </c>
      <c r="U286" s="7">
        <f>IF($X286="","",V286-T286)</f>
        <v/>
      </c>
      <c r="V286" s="7">
        <f>IF($X286="","",O286+R286+M286)</f>
        <v/>
      </c>
      <c r="W286" s="7">
        <f>IF($X286="","",V286-T286-K286)</f>
        <v/>
      </c>
      <c r="X286" s="13">
        <f>IF(ROWS($X$2:$X286)&lt;=MAX('Per Line'!$AL$2:$AL$1501),MATCH(ROWS($X$2:$X286),'Per Line'!$AL$2:$AL$1501,0),"")</f>
        <v/>
      </c>
    </row>
    <row r="287">
      <c r="A287">
        <f>IF($X287="","",INDEX('Per Line'!$C$2:$C$1501,$X287)&amp;"")</f>
        <v/>
      </c>
      <c r="B287" s="12" t="n"/>
      <c r="C287">
        <f>IF($X287="","",INDEX('Per Line'!$D$2:$D$1501,$X287)&amp;"")</f>
        <v/>
      </c>
      <c r="D287">
        <f>IF($X287="","",INDEX('Per Line'!$A$2:$A$1501,$X287))</f>
        <v/>
      </c>
      <c r="E287">
        <f>IF($X287="","",INDEX('Per Line'!$G$2:$G$1501,$X287)&amp;"")</f>
        <v/>
      </c>
      <c r="F287" s="11">
        <f>IF($X287="","",INDEX('Per Line'!$F$2:$F$1501,$X287))</f>
        <v/>
      </c>
      <c r="G287">
        <f>IF($X287="","",INDEX('Per Line'!$I$2:$I$1501,$X287)&amp;"")</f>
        <v/>
      </c>
      <c r="H287">
        <f>IF($X287="","",INDEX('Per Line'!$J$2:$J$1501,$X287)&amp;"")</f>
        <v/>
      </c>
      <c r="I287">
        <f>IF($X287="","",INDEX('Per Line'!$K$2:$K$1501,$X287)&amp;"")</f>
        <v/>
      </c>
      <c r="J287">
        <f>IF($X287="","",INDEX('Per Line'!$M$2:$M$1501,$X287))</f>
        <v/>
      </c>
      <c r="K287" s="7">
        <f>IF($X287="","",J287*V287/100)</f>
        <v/>
      </c>
      <c r="L287">
        <f>IF($X287="","",INDEX('Per Line'!$Y$2:$Y$1501,$X287)&amp;"")</f>
        <v/>
      </c>
      <c r="M287" s="7">
        <f>IF($X287="","",SUMIFS('Per Line'!$U$2:$U$1501,'Per Line'!$AJ$2:$AJ$1501,$A287&amp;"|"&amp;$C287,'Per Line'!$AN$2:$AN$1501,1))</f>
        <v/>
      </c>
      <c r="N287">
        <f>IF($X287="","",Settings!$C$7)</f>
        <v/>
      </c>
      <c r="O287" s="7">
        <f>IF($X287="","",SUMIFS('Per Line'!$U$2:$U$1501,'Per Line'!$AJ$2:$AJ$1501,$A287&amp;"|"&amp;$C287,'Per Line'!$AM$2:$AM$1501,0,'Per Line'!$AN$2:$AN$1501,0))</f>
        <v/>
      </c>
      <c r="P287" s="7">
        <f>IF($X287="","",O287*N287)</f>
        <v/>
      </c>
      <c r="Q287">
        <f>IF($X287="","",Settings!$C$6)</f>
        <v/>
      </c>
      <c r="R287" s="7">
        <f>IF($X287="","",SUMIFS('Per Line'!$U$2:$U$1501,'Per Line'!$AJ$2:$AJ$1501,$A287&amp;"|"&amp;$C287,'Per Line'!$AM$2:$AM$1501,1,'Per Line'!$AN$2:$AN$1501,0))</f>
        <v/>
      </c>
      <c r="S287" s="7">
        <f>IF($X287="","",R287*Q287)</f>
        <v/>
      </c>
      <c r="T287" s="7">
        <f>IF($X287="","",S287+P287)</f>
        <v/>
      </c>
      <c r="U287" s="7">
        <f>IF($X287="","",V287-T287)</f>
        <v/>
      </c>
      <c r="V287" s="7">
        <f>IF($X287="","",O287+R287+M287)</f>
        <v/>
      </c>
      <c r="W287" s="7">
        <f>IF($X287="","",V287-T287-K287)</f>
        <v/>
      </c>
      <c r="X287" s="13">
        <f>IF(ROWS($X$2:$X287)&lt;=MAX('Per Line'!$AL$2:$AL$1501),MATCH(ROWS($X$2:$X287),'Per Line'!$AL$2:$AL$1501,0),"")</f>
        <v/>
      </c>
    </row>
    <row r="288">
      <c r="A288">
        <f>IF($X288="","",INDEX('Per Line'!$C$2:$C$1501,$X288)&amp;"")</f>
        <v/>
      </c>
      <c r="B288" s="12" t="n"/>
      <c r="C288">
        <f>IF($X288="","",INDEX('Per Line'!$D$2:$D$1501,$X288)&amp;"")</f>
        <v/>
      </c>
      <c r="D288">
        <f>IF($X288="","",INDEX('Per Line'!$A$2:$A$1501,$X288))</f>
        <v/>
      </c>
      <c r="E288">
        <f>IF($X288="","",INDEX('Per Line'!$G$2:$G$1501,$X288)&amp;"")</f>
        <v/>
      </c>
      <c r="F288" s="11">
        <f>IF($X288="","",INDEX('Per Line'!$F$2:$F$1501,$X288))</f>
        <v/>
      </c>
      <c r="G288">
        <f>IF($X288="","",INDEX('Per Line'!$I$2:$I$1501,$X288)&amp;"")</f>
        <v/>
      </c>
      <c r="H288">
        <f>IF($X288="","",INDEX('Per Line'!$J$2:$J$1501,$X288)&amp;"")</f>
        <v/>
      </c>
      <c r="I288">
        <f>IF($X288="","",INDEX('Per Line'!$K$2:$K$1501,$X288)&amp;"")</f>
        <v/>
      </c>
      <c r="J288">
        <f>IF($X288="","",INDEX('Per Line'!$M$2:$M$1501,$X288))</f>
        <v/>
      </c>
      <c r="K288" s="7">
        <f>IF($X288="","",J288*V288/100)</f>
        <v/>
      </c>
      <c r="L288">
        <f>IF($X288="","",INDEX('Per Line'!$Y$2:$Y$1501,$X288)&amp;"")</f>
        <v/>
      </c>
      <c r="M288" s="7">
        <f>IF($X288="","",SUMIFS('Per Line'!$U$2:$U$1501,'Per Line'!$AJ$2:$AJ$1501,$A288&amp;"|"&amp;$C288,'Per Line'!$AN$2:$AN$1501,1))</f>
        <v/>
      </c>
      <c r="N288">
        <f>IF($X288="","",Settings!$C$7)</f>
        <v/>
      </c>
      <c r="O288" s="7">
        <f>IF($X288="","",SUMIFS('Per Line'!$U$2:$U$1501,'Per Line'!$AJ$2:$AJ$1501,$A288&amp;"|"&amp;$C288,'Per Line'!$AM$2:$AM$1501,0,'Per Line'!$AN$2:$AN$1501,0))</f>
        <v/>
      </c>
      <c r="P288" s="7">
        <f>IF($X288="","",O288*N288)</f>
        <v/>
      </c>
      <c r="Q288">
        <f>IF($X288="","",Settings!$C$6)</f>
        <v/>
      </c>
      <c r="R288" s="7">
        <f>IF($X288="","",SUMIFS('Per Line'!$U$2:$U$1501,'Per Line'!$AJ$2:$AJ$1501,$A288&amp;"|"&amp;$C288,'Per Line'!$AM$2:$AM$1501,1,'Per Line'!$AN$2:$AN$1501,0))</f>
        <v/>
      </c>
      <c r="S288" s="7">
        <f>IF($X288="","",R288*Q288)</f>
        <v/>
      </c>
      <c r="T288" s="7">
        <f>IF($X288="","",S288+P288)</f>
        <v/>
      </c>
      <c r="U288" s="7">
        <f>IF($X288="","",V288-T288)</f>
        <v/>
      </c>
      <c r="V288" s="7">
        <f>IF($X288="","",O288+R288+M288)</f>
        <v/>
      </c>
      <c r="W288" s="7">
        <f>IF($X288="","",V288-T288-K288)</f>
        <v/>
      </c>
      <c r="X288" s="13">
        <f>IF(ROWS($X$2:$X288)&lt;=MAX('Per Line'!$AL$2:$AL$1501),MATCH(ROWS($X$2:$X288),'Per Line'!$AL$2:$AL$1501,0),"")</f>
        <v/>
      </c>
    </row>
    <row r="289">
      <c r="A289">
        <f>IF($X289="","",INDEX('Per Line'!$C$2:$C$1501,$X289)&amp;"")</f>
        <v/>
      </c>
      <c r="B289" s="12" t="n"/>
      <c r="C289">
        <f>IF($X289="","",INDEX('Per Line'!$D$2:$D$1501,$X289)&amp;"")</f>
        <v/>
      </c>
      <c r="D289">
        <f>IF($X289="","",INDEX('Per Line'!$A$2:$A$1501,$X289))</f>
        <v/>
      </c>
      <c r="E289">
        <f>IF($X289="","",INDEX('Per Line'!$G$2:$G$1501,$X289)&amp;"")</f>
        <v/>
      </c>
      <c r="F289" s="11">
        <f>IF($X289="","",INDEX('Per Line'!$F$2:$F$1501,$X289))</f>
        <v/>
      </c>
      <c r="G289">
        <f>IF($X289="","",INDEX('Per Line'!$I$2:$I$1501,$X289)&amp;"")</f>
        <v/>
      </c>
      <c r="H289">
        <f>IF($X289="","",INDEX('Per Line'!$J$2:$J$1501,$X289)&amp;"")</f>
        <v/>
      </c>
      <c r="I289">
        <f>IF($X289="","",INDEX('Per Line'!$K$2:$K$1501,$X289)&amp;"")</f>
        <v/>
      </c>
      <c r="J289">
        <f>IF($X289="","",INDEX('Per Line'!$M$2:$M$1501,$X289))</f>
        <v/>
      </c>
      <c r="K289" s="7">
        <f>IF($X289="","",J289*V289/100)</f>
        <v/>
      </c>
      <c r="L289">
        <f>IF($X289="","",INDEX('Per Line'!$Y$2:$Y$1501,$X289)&amp;"")</f>
        <v/>
      </c>
      <c r="M289" s="7">
        <f>IF($X289="","",SUMIFS('Per Line'!$U$2:$U$1501,'Per Line'!$AJ$2:$AJ$1501,$A289&amp;"|"&amp;$C289,'Per Line'!$AN$2:$AN$1501,1))</f>
        <v/>
      </c>
      <c r="N289">
        <f>IF($X289="","",Settings!$C$7)</f>
        <v/>
      </c>
      <c r="O289" s="7">
        <f>IF($X289="","",SUMIFS('Per Line'!$U$2:$U$1501,'Per Line'!$AJ$2:$AJ$1501,$A289&amp;"|"&amp;$C289,'Per Line'!$AM$2:$AM$1501,0,'Per Line'!$AN$2:$AN$1501,0))</f>
        <v/>
      </c>
      <c r="P289" s="7">
        <f>IF($X289="","",O289*N289)</f>
        <v/>
      </c>
      <c r="Q289">
        <f>IF($X289="","",Settings!$C$6)</f>
        <v/>
      </c>
      <c r="R289" s="7">
        <f>IF($X289="","",SUMIFS('Per Line'!$U$2:$U$1501,'Per Line'!$AJ$2:$AJ$1501,$A289&amp;"|"&amp;$C289,'Per Line'!$AM$2:$AM$1501,1,'Per Line'!$AN$2:$AN$1501,0))</f>
        <v/>
      </c>
      <c r="S289" s="7">
        <f>IF($X289="","",R289*Q289)</f>
        <v/>
      </c>
      <c r="T289" s="7">
        <f>IF($X289="","",S289+P289)</f>
        <v/>
      </c>
      <c r="U289" s="7">
        <f>IF($X289="","",V289-T289)</f>
        <v/>
      </c>
      <c r="V289" s="7">
        <f>IF($X289="","",O289+R289+M289)</f>
        <v/>
      </c>
      <c r="W289" s="7">
        <f>IF($X289="","",V289-T289-K289)</f>
        <v/>
      </c>
      <c r="X289" s="13">
        <f>IF(ROWS($X$2:$X289)&lt;=MAX('Per Line'!$AL$2:$AL$1501),MATCH(ROWS($X$2:$X289),'Per Line'!$AL$2:$AL$1501,0),"")</f>
        <v/>
      </c>
    </row>
    <row r="290">
      <c r="A290">
        <f>IF($X290="","",INDEX('Per Line'!$C$2:$C$1501,$X290)&amp;"")</f>
        <v/>
      </c>
      <c r="B290" s="12" t="n"/>
      <c r="C290">
        <f>IF($X290="","",INDEX('Per Line'!$D$2:$D$1501,$X290)&amp;"")</f>
        <v/>
      </c>
      <c r="D290">
        <f>IF($X290="","",INDEX('Per Line'!$A$2:$A$1501,$X290))</f>
        <v/>
      </c>
      <c r="E290">
        <f>IF($X290="","",INDEX('Per Line'!$G$2:$G$1501,$X290)&amp;"")</f>
        <v/>
      </c>
      <c r="F290" s="11">
        <f>IF($X290="","",INDEX('Per Line'!$F$2:$F$1501,$X290))</f>
        <v/>
      </c>
      <c r="G290">
        <f>IF($X290="","",INDEX('Per Line'!$I$2:$I$1501,$X290)&amp;"")</f>
        <v/>
      </c>
      <c r="H290">
        <f>IF($X290="","",INDEX('Per Line'!$J$2:$J$1501,$X290)&amp;"")</f>
        <v/>
      </c>
      <c r="I290">
        <f>IF($X290="","",INDEX('Per Line'!$K$2:$K$1501,$X290)&amp;"")</f>
        <v/>
      </c>
      <c r="J290">
        <f>IF($X290="","",INDEX('Per Line'!$M$2:$M$1501,$X290))</f>
        <v/>
      </c>
      <c r="K290" s="7">
        <f>IF($X290="","",J290*V290/100)</f>
        <v/>
      </c>
      <c r="L290">
        <f>IF($X290="","",INDEX('Per Line'!$Y$2:$Y$1501,$X290)&amp;"")</f>
        <v/>
      </c>
      <c r="M290" s="7">
        <f>IF($X290="","",SUMIFS('Per Line'!$U$2:$U$1501,'Per Line'!$AJ$2:$AJ$1501,$A290&amp;"|"&amp;$C290,'Per Line'!$AN$2:$AN$1501,1))</f>
        <v/>
      </c>
      <c r="N290">
        <f>IF($X290="","",Settings!$C$7)</f>
        <v/>
      </c>
      <c r="O290" s="7">
        <f>IF($X290="","",SUMIFS('Per Line'!$U$2:$U$1501,'Per Line'!$AJ$2:$AJ$1501,$A290&amp;"|"&amp;$C290,'Per Line'!$AM$2:$AM$1501,0,'Per Line'!$AN$2:$AN$1501,0))</f>
        <v/>
      </c>
      <c r="P290" s="7">
        <f>IF($X290="","",O290*N290)</f>
        <v/>
      </c>
      <c r="Q290">
        <f>IF($X290="","",Settings!$C$6)</f>
        <v/>
      </c>
      <c r="R290" s="7">
        <f>IF($X290="","",SUMIFS('Per Line'!$U$2:$U$1501,'Per Line'!$AJ$2:$AJ$1501,$A290&amp;"|"&amp;$C290,'Per Line'!$AM$2:$AM$1501,1,'Per Line'!$AN$2:$AN$1501,0))</f>
        <v/>
      </c>
      <c r="S290" s="7">
        <f>IF($X290="","",R290*Q290)</f>
        <v/>
      </c>
      <c r="T290" s="7">
        <f>IF($X290="","",S290+P290)</f>
        <v/>
      </c>
      <c r="U290" s="7">
        <f>IF($X290="","",V290-T290)</f>
        <v/>
      </c>
      <c r="V290" s="7">
        <f>IF($X290="","",O290+R290+M290)</f>
        <v/>
      </c>
      <c r="W290" s="7">
        <f>IF($X290="","",V290-T290-K290)</f>
        <v/>
      </c>
      <c r="X290" s="13">
        <f>IF(ROWS($X$2:$X290)&lt;=MAX('Per Line'!$AL$2:$AL$1501),MATCH(ROWS($X$2:$X290),'Per Line'!$AL$2:$AL$1501,0),"")</f>
        <v/>
      </c>
    </row>
    <row r="291">
      <c r="A291">
        <f>IF($X291="","",INDEX('Per Line'!$C$2:$C$1501,$X291)&amp;"")</f>
        <v/>
      </c>
      <c r="B291" s="12" t="n"/>
      <c r="C291">
        <f>IF($X291="","",INDEX('Per Line'!$D$2:$D$1501,$X291)&amp;"")</f>
        <v/>
      </c>
      <c r="D291">
        <f>IF($X291="","",INDEX('Per Line'!$A$2:$A$1501,$X291))</f>
        <v/>
      </c>
      <c r="E291">
        <f>IF($X291="","",INDEX('Per Line'!$G$2:$G$1501,$X291)&amp;"")</f>
        <v/>
      </c>
      <c r="F291" s="11">
        <f>IF($X291="","",INDEX('Per Line'!$F$2:$F$1501,$X291))</f>
        <v/>
      </c>
      <c r="G291">
        <f>IF($X291="","",INDEX('Per Line'!$I$2:$I$1501,$X291)&amp;"")</f>
        <v/>
      </c>
      <c r="H291">
        <f>IF($X291="","",INDEX('Per Line'!$J$2:$J$1501,$X291)&amp;"")</f>
        <v/>
      </c>
      <c r="I291">
        <f>IF($X291="","",INDEX('Per Line'!$K$2:$K$1501,$X291)&amp;"")</f>
        <v/>
      </c>
      <c r="J291">
        <f>IF($X291="","",INDEX('Per Line'!$M$2:$M$1501,$X291))</f>
        <v/>
      </c>
      <c r="K291" s="7">
        <f>IF($X291="","",J291*V291/100)</f>
        <v/>
      </c>
      <c r="L291">
        <f>IF($X291="","",INDEX('Per Line'!$Y$2:$Y$1501,$X291)&amp;"")</f>
        <v/>
      </c>
      <c r="M291" s="7">
        <f>IF($X291="","",SUMIFS('Per Line'!$U$2:$U$1501,'Per Line'!$AJ$2:$AJ$1501,$A291&amp;"|"&amp;$C291,'Per Line'!$AN$2:$AN$1501,1))</f>
        <v/>
      </c>
      <c r="N291">
        <f>IF($X291="","",Settings!$C$7)</f>
        <v/>
      </c>
      <c r="O291" s="7">
        <f>IF($X291="","",SUMIFS('Per Line'!$U$2:$U$1501,'Per Line'!$AJ$2:$AJ$1501,$A291&amp;"|"&amp;$C291,'Per Line'!$AM$2:$AM$1501,0,'Per Line'!$AN$2:$AN$1501,0))</f>
        <v/>
      </c>
      <c r="P291" s="7">
        <f>IF($X291="","",O291*N291)</f>
        <v/>
      </c>
      <c r="Q291">
        <f>IF($X291="","",Settings!$C$6)</f>
        <v/>
      </c>
      <c r="R291" s="7">
        <f>IF($X291="","",SUMIFS('Per Line'!$U$2:$U$1501,'Per Line'!$AJ$2:$AJ$1501,$A291&amp;"|"&amp;$C291,'Per Line'!$AM$2:$AM$1501,1,'Per Line'!$AN$2:$AN$1501,0))</f>
        <v/>
      </c>
      <c r="S291" s="7">
        <f>IF($X291="","",R291*Q291)</f>
        <v/>
      </c>
      <c r="T291" s="7">
        <f>IF($X291="","",S291+P291)</f>
        <v/>
      </c>
      <c r="U291" s="7">
        <f>IF($X291="","",V291-T291)</f>
        <v/>
      </c>
      <c r="V291" s="7">
        <f>IF($X291="","",O291+R291+M291)</f>
        <v/>
      </c>
      <c r="W291" s="7">
        <f>IF($X291="","",V291-T291-K291)</f>
        <v/>
      </c>
      <c r="X291" s="13">
        <f>IF(ROWS($X$2:$X291)&lt;=MAX('Per Line'!$AL$2:$AL$1501),MATCH(ROWS($X$2:$X291),'Per Line'!$AL$2:$AL$1501,0),"")</f>
        <v/>
      </c>
    </row>
    <row r="292">
      <c r="A292">
        <f>IF($X292="","",INDEX('Per Line'!$C$2:$C$1501,$X292)&amp;"")</f>
        <v/>
      </c>
      <c r="B292" s="12" t="n"/>
      <c r="C292">
        <f>IF($X292="","",INDEX('Per Line'!$D$2:$D$1501,$X292)&amp;"")</f>
        <v/>
      </c>
      <c r="D292">
        <f>IF($X292="","",INDEX('Per Line'!$A$2:$A$1501,$X292))</f>
        <v/>
      </c>
      <c r="E292">
        <f>IF($X292="","",INDEX('Per Line'!$G$2:$G$1501,$X292)&amp;"")</f>
        <v/>
      </c>
      <c r="F292" s="11">
        <f>IF($X292="","",INDEX('Per Line'!$F$2:$F$1501,$X292))</f>
        <v/>
      </c>
      <c r="G292">
        <f>IF($X292="","",INDEX('Per Line'!$I$2:$I$1501,$X292)&amp;"")</f>
        <v/>
      </c>
      <c r="H292">
        <f>IF($X292="","",INDEX('Per Line'!$J$2:$J$1501,$X292)&amp;"")</f>
        <v/>
      </c>
      <c r="I292">
        <f>IF($X292="","",INDEX('Per Line'!$K$2:$K$1501,$X292)&amp;"")</f>
        <v/>
      </c>
      <c r="J292">
        <f>IF($X292="","",INDEX('Per Line'!$M$2:$M$1501,$X292))</f>
        <v/>
      </c>
      <c r="K292" s="7">
        <f>IF($X292="","",J292*V292/100)</f>
        <v/>
      </c>
      <c r="L292">
        <f>IF($X292="","",INDEX('Per Line'!$Y$2:$Y$1501,$X292)&amp;"")</f>
        <v/>
      </c>
      <c r="M292" s="7">
        <f>IF($X292="","",SUMIFS('Per Line'!$U$2:$U$1501,'Per Line'!$AJ$2:$AJ$1501,$A292&amp;"|"&amp;$C292,'Per Line'!$AN$2:$AN$1501,1))</f>
        <v/>
      </c>
      <c r="N292">
        <f>IF($X292="","",Settings!$C$7)</f>
        <v/>
      </c>
      <c r="O292" s="7">
        <f>IF($X292="","",SUMIFS('Per Line'!$U$2:$U$1501,'Per Line'!$AJ$2:$AJ$1501,$A292&amp;"|"&amp;$C292,'Per Line'!$AM$2:$AM$1501,0,'Per Line'!$AN$2:$AN$1501,0))</f>
        <v/>
      </c>
      <c r="P292" s="7">
        <f>IF($X292="","",O292*N292)</f>
        <v/>
      </c>
      <c r="Q292">
        <f>IF($X292="","",Settings!$C$6)</f>
        <v/>
      </c>
      <c r="R292" s="7">
        <f>IF($X292="","",SUMIFS('Per Line'!$U$2:$U$1501,'Per Line'!$AJ$2:$AJ$1501,$A292&amp;"|"&amp;$C292,'Per Line'!$AM$2:$AM$1501,1,'Per Line'!$AN$2:$AN$1501,0))</f>
        <v/>
      </c>
      <c r="S292" s="7">
        <f>IF($X292="","",R292*Q292)</f>
        <v/>
      </c>
      <c r="T292" s="7">
        <f>IF($X292="","",S292+P292)</f>
        <v/>
      </c>
      <c r="U292" s="7">
        <f>IF($X292="","",V292-T292)</f>
        <v/>
      </c>
      <c r="V292" s="7">
        <f>IF($X292="","",O292+R292+M292)</f>
        <v/>
      </c>
      <c r="W292" s="7">
        <f>IF($X292="","",V292-T292-K292)</f>
        <v/>
      </c>
      <c r="X292" s="13">
        <f>IF(ROWS($X$2:$X292)&lt;=MAX('Per Line'!$AL$2:$AL$1501),MATCH(ROWS($X$2:$X292),'Per Line'!$AL$2:$AL$1501,0),"")</f>
        <v/>
      </c>
    </row>
    <row r="293">
      <c r="A293">
        <f>IF($X293="","",INDEX('Per Line'!$C$2:$C$1501,$X293)&amp;"")</f>
        <v/>
      </c>
      <c r="B293" s="12" t="n"/>
      <c r="C293">
        <f>IF($X293="","",INDEX('Per Line'!$D$2:$D$1501,$X293)&amp;"")</f>
        <v/>
      </c>
      <c r="D293">
        <f>IF($X293="","",INDEX('Per Line'!$A$2:$A$1501,$X293))</f>
        <v/>
      </c>
      <c r="E293">
        <f>IF($X293="","",INDEX('Per Line'!$G$2:$G$1501,$X293)&amp;"")</f>
        <v/>
      </c>
      <c r="F293" s="11">
        <f>IF($X293="","",INDEX('Per Line'!$F$2:$F$1501,$X293))</f>
        <v/>
      </c>
      <c r="G293">
        <f>IF($X293="","",INDEX('Per Line'!$I$2:$I$1501,$X293)&amp;"")</f>
        <v/>
      </c>
      <c r="H293">
        <f>IF($X293="","",INDEX('Per Line'!$J$2:$J$1501,$X293)&amp;"")</f>
        <v/>
      </c>
      <c r="I293">
        <f>IF($X293="","",INDEX('Per Line'!$K$2:$K$1501,$X293)&amp;"")</f>
        <v/>
      </c>
      <c r="J293">
        <f>IF($X293="","",INDEX('Per Line'!$M$2:$M$1501,$X293))</f>
        <v/>
      </c>
      <c r="K293" s="7">
        <f>IF($X293="","",J293*V293/100)</f>
        <v/>
      </c>
      <c r="L293">
        <f>IF($X293="","",INDEX('Per Line'!$Y$2:$Y$1501,$X293)&amp;"")</f>
        <v/>
      </c>
      <c r="M293" s="7">
        <f>IF($X293="","",SUMIFS('Per Line'!$U$2:$U$1501,'Per Line'!$AJ$2:$AJ$1501,$A293&amp;"|"&amp;$C293,'Per Line'!$AN$2:$AN$1501,1))</f>
        <v/>
      </c>
      <c r="N293">
        <f>IF($X293="","",Settings!$C$7)</f>
        <v/>
      </c>
      <c r="O293" s="7">
        <f>IF($X293="","",SUMIFS('Per Line'!$U$2:$U$1501,'Per Line'!$AJ$2:$AJ$1501,$A293&amp;"|"&amp;$C293,'Per Line'!$AM$2:$AM$1501,0,'Per Line'!$AN$2:$AN$1501,0))</f>
        <v/>
      </c>
      <c r="P293" s="7">
        <f>IF($X293="","",O293*N293)</f>
        <v/>
      </c>
      <c r="Q293">
        <f>IF($X293="","",Settings!$C$6)</f>
        <v/>
      </c>
      <c r="R293" s="7">
        <f>IF($X293="","",SUMIFS('Per Line'!$U$2:$U$1501,'Per Line'!$AJ$2:$AJ$1501,$A293&amp;"|"&amp;$C293,'Per Line'!$AM$2:$AM$1501,1,'Per Line'!$AN$2:$AN$1501,0))</f>
        <v/>
      </c>
      <c r="S293" s="7">
        <f>IF($X293="","",R293*Q293)</f>
        <v/>
      </c>
      <c r="T293" s="7">
        <f>IF($X293="","",S293+P293)</f>
        <v/>
      </c>
      <c r="U293" s="7">
        <f>IF($X293="","",V293-T293)</f>
        <v/>
      </c>
      <c r="V293" s="7">
        <f>IF($X293="","",O293+R293+M293)</f>
        <v/>
      </c>
      <c r="W293" s="7">
        <f>IF($X293="","",V293-T293-K293)</f>
        <v/>
      </c>
      <c r="X293" s="13">
        <f>IF(ROWS($X$2:$X293)&lt;=MAX('Per Line'!$AL$2:$AL$1501),MATCH(ROWS($X$2:$X293),'Per Line'!$AL$2:$AL$1501,0),"")</f>
        <v/>
      </c>
    </row>
    <row r="294">
      <c r="A294">
        <f>IF($X294="","",INDEX('Per Line'!$C$2:$C$1501,$X294)&amp;"")</f>
        <v/>
      </c>
      <c r="B294" s="12" t="n"/>
      <c r="C294">
        <f>IF($X294="","",INDEX('Per Line'!$D$2:$D$1501,$X294)&amp;"")</f>
        <v/>
      </c>
      <c r="D294">
        <f>IF($X294="","",INDEX('Per Line'!$A$2:$A$1501,$X294))</f>
        <v/>
      </c>
      <c r="E294">
        <f>IF($X294="","",INDEX('Per Line'!$G$2:$G$1501,$X294)&amp;"")</f>
        <v/>
      </c>
      <c r="F294" s="11">
        <f>IF($X294="","",INDEX('Per Line'!$F$2:$F$1501,$X294))</f>
        <v/>
      </c>
      <c r="G294">
        <f>IF($X294="","",INDEX('Per Line'!$I$2:$I$1501,$X294)&amp;"")</f>
        <v/>
      </c>
      <c r="H294">
        <f>IF($X294="","",INDEX('Per Line'!$J$2:$J$1501,$X294)&amp;"")</f>
        <v/>
      </c>
      <c r="I294">
        <f>IF($X294="","",INDEX('Per Line'!$K$2:$K$1501,$X294)&amp;"")</f>
        <v/>
      </c>
      <c r="J294">
        <f>IF($X294="","",INDEX('Per Line'!$M$2:$M$1501,$X294))</f>
        <v/>
      </c>
      <c r="K294" s="7">
        <f>IF($X294="","",J294*V294/100)</f>
        <v/>
      </c>
      <c r="L294">
        <f>IF($X294="","",INDEX('Per Line'!$Y$2:$Y$1501,$X294)&amp;"")</f>
        <v/>
      </c>
      <c r="M294" s="7">
        <f>IF($X294="","",SUMIFS('Per Line'!$U$2:$U$1501,'Per Line'!$AJ$2:$AJ$1501,$A294&amp;"|"&amp;$C294,'Per Line'!$AN$2:$AN$1501,1))</f>
        <v/>
      </c>
      <c r="N294">
        <f>IF($X294="","",Settings!$C$7)</f>
        <v/>
      </c>
      <c r="O294" s="7">
        <f>IF($X294="","",SUMIFS('Per Line'!$U$2:$U$1501,'Per Line'!$AJ$2:$AJ$1501,$A294&amp;"|"&amp;$C294,'Per Line'!$AM$2:$AM$1501,0,'Per Line'!$AN$2:$AN$1501,0))</f>
        <v/>
      </c>
      <c r="P294" s="7">
        <f>IF($X294="","",O294*N294)</f>
        <v/>
      </c>
      <c r="Q294">
        <f>IF($X294="","",Settings!$C$6)</f>
        <v/>
      </c>
      <c r="R294" s="7">
        <f>IF($X294="","",SUMIFS('Per Line'!$U$2:$U$1501,'Per Line'!$AJ$2:$AJ$1501,$A294&amp;"|"&amp;$C294,'Per Line'!$AM$2:$AM$1501,1,'Per Line'!$AN$2:$AN$1501,0))</f>
        <v/>
      </c>
      <c r="S294" s="7">
        <f>IF($X294="","",R294*Q294)</f>
        <v/>
      </c>
      <c r="T294" s="7">
        <f>IF($X294="","",S294+P294)</f>
        <v/>
      </c>
      <c r="U294" s="7">
        <f>IF($X294="","",V294-T294)</f>
        <v/>
      </c>
      <c r="V294" s="7">
        <f>IF($X294="","",O294+R294+M294)</f>
        <v/>
      </c>
      <c r="W294" s="7">
        <f>IF($X294="","",V294-T294-K294)</f>
        <v/>
      </c>
      <c r="X294" s="13">
        <f>IF(ROWS($X$2:$X294)&lt;=MAX('Per Line'!$AL$2:$AL$1501),MATCH(ROWS($X$2:$X294),'Per Line'!$AL$2:$AL$1501,0),"")</f>
        <v/>
      </c>
    </row>
    <row r="295">
      <c r="A295">
        <f>IF($X295="","",INDEX('Per Line'!$C$2:$C$1501,$X295)&amp;"")</f>
        <v/>
      </c>
      <c r="B295" s="12" t="n"/>
      <c r="C295">
        <f>IF($X295="","",INDEX('Per Line'!$D$2:$D$1501,$X295)&amp;"")</f>
        <v/>
      </c>
      <c r="D295">
        <f>IF($X295="","",INDEX('Per Line'!$A$2:$A$1501,$X295))</f>
        <v/>
      </c>
      <c r="E295">
        <f>IF($X295="","",INDEX('Per Line'!$G$2:$G$1501,$X295)&amp;"")</f>
        <v/>
      </c>
      <c r="F295" s="11">
        <f>IF($X295="","",INDEX('Per Line'!$F$2:$F$1501,$X295))</f>
        <v/>
      </c>
      <c r="G295">
        <f>IF($X295="","",INDEX('Per Line'!$I$2:$I$1501,$X295)&amp;"")</f>
        <v/>
      </c>
      <c r="H295">
        <f>IF($X295="","",INDEX('Per Line'!$J$2:$J$1501,$X295)&amp;"")</f>
        <v/>
      </c>
      <c r="I295">
        <f>IF($X295="","",INDEX('Per Line'!$K$2:$K$1501,$X295)&amp;"")</f>
        <v/>
      </c>
      <c r="J295">
        <f>IF($X295="","",INDEX('Per Line'!$M$2:$M$1501,$X295))</f>
        <v/>
      </c>
      <c r="K295" s="7">
        <f>IF($X295="","",J295*V295/100)</f>
        <v/>
      </c>
      <c r="L295">
        <f>IF($X295="","",INDEX('Per Line'!$Y$2:$Y$1501,$X295)&amp;"")</f>
        <v/>
      </c>
      <c r="M295" s="7">
        <f>IF($X295="","",SUMIFS('Per Line'!$U$2:$U$1501,'Per Line'!$AJ$2:$AJ$1501,$A295&amp;"|"&amp;$C295,'Per Line'!$AN$2:$AN$1501,1))</f>
        <v/>
      </c>
      <c r="N295">
        <f>IF($X295="","",Settings!$C$7)</f>
        <v/>
      </c>
      <c r="O295" s="7">
        <f>IF($X295="","",SUMIFS('Per Line'!$U$2:$U$1501,'Per Line'!$AJ$2:$AJ$1501,$A295&amp;"|"&amp;$C295,'Per Line'!$AM$2:$AM$1501,0,'Per Line'!$AN$2:$AN$1501,0))</f>
        <v/>
      </c>
      <c r="P295" s="7">
        <f>IF($X295="","",O295*N295)</f>
        <v/>
      </c>
      <c r="Q295">
        <f>IF($X295="","",Settings!$C$6)</f>
        <v/>
      </c>
      <c r="R295" s="7">
        <f>IF($X295="","",SUMIFS('Per Line'!$U$2:$U$1501,'Per Line'!$AJ$2:$AJ$1501,$A295&amp;"|"&amp;$C295,'Per Line'!$AM$2:$AM$1501,1,'Per Line'!$AN$2:$AN$1501,0))</f>
        <v/>
      </c>
      <c r="S295" s="7">
        <f>IF($X295="","",R295*Q295)</f>
        <v/>
      </c>
      <c r="T295" s="7">
        <f>IF($X295="","",S295+P295)</f>
        <v/>
      </c>
      <c r="U295" s="7">
        <f>IF($X295="","",V295-T295)</f>
        <v/>
      </c>
      <c r="V295" s="7">
        <f>IF($X295="","",O295+R295+M295)</f>
        <v/>
      </c>
      <c r="W295" s="7">
        <f>IF($X295="","",V295-T295-K295)</f>
        <v/>
      </c>
      <c r="X295" s="13">
        <f>IF(ROWS($X$2:$X295)&lt;=MAX('Per Line'!$AL$2:$AL$1501),MATCH(ROWS($X$2:$X295),'Per Line'!$AL$2:$AL$1501,0),"")</f>
        <v/>
      </c>
    </row>
    <row r="296">
      <c r="A296">
        <f>IF($X296="","",INDEX('Per Line'!$C$2:$C$1501,$X296)&amp;"")</f>
        <v/>
      </c>
      <c r="B296" s="12" t="n"/>
      <c r="C296">
        <f>IF($X296="","",INDEX('Per Line'!$D$2:$D$1501,$X296)&amp;"")</f>
        <v/>
      </c>
      <c r="D296">
        <f>IF($X296="","",INDEX('Per Line'!$A$2:$A$1501,$X296))</f>
        <v/>
      </c>
      <c r="E296">
        <f>IF($X296="","",INDEX('Per Line'!$G$2:$G$1501,$X296)&amp;"")</f>
        <v/>
      </c>
      <c r="F296" s="11">
        <f>IF($X296="","",INDEX('Per Line'!$F$2:$F$1501,$X296))</f>
        <v/>
      </c>
      <c r="G296">
        <f>IF($X296="","",INDEX('Per Line'!$I$2:$I$1501,$X296)&amp;"")</f>
        <v/>
      </c>
      <c r="H296">
        <f>IF($X296="","",INDEX('Per Line'!$J$2:$J$1501,$X296)&amp;"")</f>
        <v/>
      </c>
      <c r="I296">
        <f>IF($X296="","",INDEX('Per Line'!$K$2:$K$1501,$X296)&amp;"")</f>
        <v/>
      </c>
      <c r="J296">
        <f>IF($X296="","",INDEX('Per Line'!$M$2:$M$1501,$X296))</f>
        <v/>
      </c>
      <c r="K296" s="7">
        <f>IF($X296="","",J296*V296/100)</f>
        <v/>
      </c>
      <c r="L296">
        <f>IF($X296="","",INDEX('Per Line'!$Y$2:$Y$1501,$X296)&amp;"")</f>
        <v/>
      </c>
      <c r="M296" s="7">
        <f>IF($X296="","",SUMIFS('Per Line'!$U$2:$U$1501,'Per Line'!$AJ$2:$AJ$1501,$A296&amp;"|"&amp;$C296,'Per Line'!$AN$2:$AN$1501,1))</f>
        <v/>
      </c>
      <c r="N296">
        <f>IF($X296="","",Settings!$C$7)</f>
        <v/>
      </c>
      <c r="O296" s="7">
        <f>IF($X296="","",SUMIFS('Per Line'!$U$2:$U$1501,'Per Line'!$AJ$2:$AJ$1501,$A296&amp;"|"&amp;$C296,'Per Line'!$AM$2:$AM$1501,0,'Per Line'!$AN$2:$AN$1501,0))</f>
        <v/>
      </c>
      <c r="P296" s="7">
        <f>IF($X296="","",O296*N296)</f>
        <v/>
      </c>
      <c r="Q296">
        <f>IF($X296="","",Settings!$C$6)</f>
        <v/>
      </c>
      <c r="R296" s="7">
        <f>IF($X296="","",SUMIFS('Per Line'!$U$2:$U$1501,'Per Line'!$AJ$2:$AJ$1501,$A296&amp;"|"&amp;$C296,'Per Line'!$AM$2:$AM$1501,1,'Per Line'!$AN$2:$AN$1501,0))</f>
        <v/>
      </c>
      <c r="S296" s="7">
        <f>IF($X296="","",R296*Q296)</f>
        <v/>
      </c>
      <c r="T296" s="7">
        <f>IF($X296="","",S296+P296)</f>
        <v/>
      </c>
      <c r="U296" s="7">
        <f>IF($X296="","",V296-T296)</f>
        <v/>
      </c>
      <c r="V296" s="7">
        <f>IF($X296="","",O296+R296+M296)</f>
        <v/>
      </c>
      <c r="W296" s="7">
        <f>IF($X296="","",V296-T296-K296)</f>
        <v/>
      </c>
      <c r="X296" s="13">
        <f>IF(ROWS($X$2:$X296)&lt;=MAX('Per Line'!$AL$2:$AL$1501),MATCH(ROWS($X$2:$X296),'Per Line'!$AL$2:$AL$1501,0),"")</f>
        <v/>
      </c>
    </row>
    <row r="297">
      <c r="A297">
        <f>IF($X297="","",INDEX('Per Line'!$C$2:$C$1501,$X297)&amp;"")</f>
        <v/>
      </c>
      <c r="B297" s="12" t="n"/>
      <c r="C297">
        <f>IF($X297="","",INDEX('Per Line'!$D$2:$D$1501,$X297)&amp;"")</f>
        <v/>
      </c>
      <c r="D297">
        <f>IF($X297="","",INDEX('Per Line'!$A$2:$A$1501,$X297))</f>
        <v/>
      </c>
      <c r="E297">
        <f>IF($X297="","",INDEX('Per Line'!$G$2:$G$1501,$X297)&amp;"")</f>
        <v/>
      </c>
      <c r="F297" s="11">
        <f>IF($X297="","",INDEX('Per Line'!$F$2:$F$1501,$X297))</f>
        <v/>
      </c>
      <c r="G297">
        <f>IF($X297="","",INDEX('Per Line'!$I$2:$I$1501,$X297)&amp;"")</f>
        <v/>
      </c>
      <c r="H297">
        <f>IF($X297="","",INDEX('Per Line'!$J$2:$J$1501,$X297)&amp;"")</f>
        <v/>
      </c>
      <c r="I297">
        <f>IF($X297="","",INDEX('Per Line'!$K$2:$K$1501,$X297)&amp;"")</f>
        <v/>
      </c>
      <c r="J297">
        <f>IF($X297="","",INDEX('Per Line'!$M$2:$M$1501,$X297))</f>
        <v/>
      </c>
      <c r="K297" s="7">
        <f>IF($X297="","",J297*V297/100)</f>
        <v/>
      </c>
      <c r="L297">
        <f>IF($X297="","",INDEX('Per Line'!$Y$2:$Y$1501,$X297)&amp;"")</f>
        <v/>
      </c>
      <c r="M297" s="7">
        <f>IF($X297="","",SUMIFS('Per Line'!$U$2:$U$1501,'Per Line'!$AJ$2:$AJ$1501,$A297&amp;"|"&amp;$C297,'Per Line'!$AN$2:$AN$1501,1))</f>
        <v/>
      </c>
      <c r="N297">
        <f>IF($X297="","",Settings!$C$7)</f>
        <v/>
      </c>
      <c r="O297" s="7">
        <f>IF($X297="","",SUMIFS('Per Line'!$U$2:$U$1501,'Per Line'!$AJ$2:$AJ$1501,$A297&amp;"|"&amp;$C297,'Per Line'!$AM$2:$AM$1501,0,'Per Line'!$AN$2:$AN$1501,0))</f>
        <v/>
      </c>
      <c r="P297" s="7">
        <f>IF($X297="","",O297*N297)</f>
        <v/>
      </c>
      <c r="Q297">
        <f>IF($X297="","",Settings!$C$6)</f>
        <v/>
      </c>
      <c r="R297" s="7">
        <f>IF($X297="","",SUMIFS('Per Line'!$U$2:$U$1501,'Per Line'!$AJ$2:$AJ$1501,$A297&amp;"|"&amp;$C297,'Per Line'!$AM$2:$AM$1501,1,'Per Line'!$AN$2:$AN$1501,0))</f>
        <v/>
      </c>
      <c r="S297" s="7">
        <f>IF($X297="","",R297*Q297)</f>
        <v/>
      </c>
      <c r="T297" s="7">
        <f>IF($X297="","",S297+P297)</f>
        <v/>
      </c>
      <c r="U297" s="7">
        <f>IF($X297="","",V297-T297)</f>
        <v/>
      </c>
      <c r="V297" s="7">
        <f>IF($X297="","",O297+R297+M297)</f>
        <v/>
      </c>
      <c r="W297" s="7">
        <f>IF($X297="","",V297-T297-K297)</f>
        <v/>
      </c>
      <c r="X297" s="13">
        <f>IF(ROWS($X$2:$X297)&lt;=MAX('Per Line'!$AL$2:$AL$1501),MATCH(ROWS($X$2:$X297),'Per Line'!$AL$2:$AL$1501,0),"")</f>
        <v/>
      </c>
    </row>
    <row r="298">
      <c r="A298">
        <f>IF($X298="","",INDEX('Per Line'!$C$2:$C$1501,$X298)&amp;"")</f>
        <v/>
      </c>
      <c r="B298" s="12" t="n"/>
      <c r="C298">
        <f>IF($X298="","",INDEX('Per Line'!$D$2:$D$1501,$X298)&amp;"")</f>
        <v/>
      </c>
      <c r="D298">
        <f>IF($X298="","",INDEX('Per Line'!$A$2:$A$1501,$X298))</f>
        <v/>
      </c>
      <c r="E298">
        <f>IF($X298="","",INDEX('Per Line'!$G$2:$G$1501,$X298)&amp;"")</f>
        <v/>
      </c>
      <c r="F298" s="11">
        <f>IF($X298="","",INDEX('Per Line'!$F$2:$F$1501,$X298))</f>
        <v/>
      </c>
      <c r="G298">
        <f>IF($X298="","",INDEX('Per Line'!$I$2:$I$1501,$X298)&amp;"")</f>
        <v/>
      </c>
      <c r="H298">
        <f>IF($X298="","",INDEX('Per Line'!$J$2:$J$1501,$X298)&amp;"")</f>
        <v/>
      </c>
      <c r="I298">
        <f>IF($X298="","",INDEX('Per Line'!$K$2:$K$1501,$X298)&amp;"")</f>
        <v/>
      </c>
      <c r="J298">
        <f>IF($X298="","",INDEX('Per Line'!$M$2:$M$1501,$X298))</f>
        <v/>
      </c>
      <c r="K298" s="7">
        <f>IF($X298="","",J298*V298/100)</f>
        <v/>
      </c>
      <c r="L298">
        <f>IF($X298="","",INDEX('Per Line'!$Y$2:$Y$1501,$X298)&amp;"")</f>
        <v/>
      </c>
      <c r="M298" s="7">
        <f>IF($X298="","",SUMIFS('Per Line'!$U$2:$U$1501,'Per Line'!$AJ$2:$AJ$1501,$A298&amp;"|"&amp;$C298,'Per Line'!$AN$2:$AN$1501,1))</f>
        <v/>
      </c>
      <c r="N298">
        <f>IF($X298="","",Settings!$C$7)</f>
        <v/>
      </c>
      <c r="O298" s="7">
        <f>IF($X298="","",SUMIFS('Per Line'!$U$2:$U$1501,'Per Line'!$AJ$2:$AJ$1501,$A298&amp;"|"&amp;$C298,'Per Line'!$AM$2:$AM$1501,0,'Per Line'!$AN$2:$AN$1501,0))</f>
        <v/>
      </c>
      <c r="P298" s="7">
        <f>IF($X298="","",O298*N298)</f>
        <v/>
      </c>
      <c r="Q298">
        <f>IF($X298="","",Settings!$C$6)</f>
        <v/>
      </c>
      <c r="R298" s="7">
        <f>IF($X298="","",SUMIFS('Per Line'!$U$2:$U$1501,'Per Line'!$AJ$2:$AJ$1501,$A298&amp;"|"&amp;$C298,'Per Line'!$AM$2:$AM$1501,1,'Per Line'!$AN$2:$AN$1501,0))</f>
        <v/>
      </c>
      <c r="S298" s="7">
        <f>IF($X298="","",R298*Q298)</f>
        <v/>
      </c>
      <c r="T298" s="7">
        <f>IF($X298="","",S298+P298)</f>
        <v/>
      </c>
      <c r="U298" s="7">
        <f>IF($X298="","",V298-T298)</f>
        <v/>
      </c>
      <c r="V298" s="7">
        <f>IF($X298="","",O298+R298+M298)</f>
        <v/>
      </c>
      <c r="W298" s="7">
        <f>IF($X298="","",V298-T298-K298)</f>
        <v/>
      </c>
      <c r="X298" s="13">
        <f>IF(ROWS($X$2:$X298)&lt;=MAX('Per Line'!$AL$2:$AL$1501),MATCH(ROWS($X$2:$X298),'Per Line'!$AL$2:$AL$1501,0),"")</f>
        <v/>
      </c>
    </row>
    <row r="299">
      <c r="A299">
        <f>IF($X299="","",INDEX('Per Line'!$C$2:$C$1501,$X299)&amp;"")</f>
        <v/>
      </c>
      <c r="B299" s="12" t="n"/>
      <c r="C299">
        <f>IF($X299="","",INDEX('Per Line'!$D$2:$D$1501,$X299)&amp;"")</f>
        <v/>
      </c>
      <c r="D299">
        <f>IF($X299="","",INDEX('Per Line'!$A$2:$A$1501,$X299))</f>
        <v/>
      </c>
      <c r="E299">
        <f>IF($X299="","",INDEX('Per Line'!$G$2:$G$1501,$X299)&amp;"")</f>
        <v/>
      </c>
      <c r="F299" s="11">
        <f>IF($X299="","",INDEX('Per Line'!$F$2:$F$1501,$X299))</f>
        <v/>
      </c>
      <c r="G299">
        <f>IF($X299="","",INDEX('Per Line'!$I$2:$I$1501,$X299)&amp;"")</f>
        <v/>
      </c>
      <c r="H299">
        <f>IF($X299="","",INDEX('Per Line'!$J$2:$J$1501,$X299)&amp;"")</f>
        <v/>
      </c>
      <c r="I299">
        <f>IF($X299="","",INDEX('Per Line'!$K$2:$K$1501,$X299)&amp;"")</f>
        <v/>
      </c>
      <c r="J299">
        <f>IF($X299="","",INDEX('Per Line'!$M$2:$M$1501,$X299))</f>
        <v/>
      </c>
      <c r="K299" s="7">
        <f>IF($X299="","",J299*V299/100)</f>
        <v/>
      </c>
      <c r="L299">
        <f>IF($X299="","",INDEX('Per Line'!$Y$2:$Y$1501,$X299)&amp;"")</f>
        <v/>
      </c>
      <c r="M299" s="7">
        <f>IF($X299="","",SUMIFS('Per Line'!$U$2:$U$1501,'Per Line'!$AJ$2:$AJ$1501,$A299&amp;"|"&amp;$C299,'Per Line'!$AN$2:$AN$1501,1))</f>
        <v/>
      </c>
      <c r="N299">
        <f>IF($X299="","",Settings!$C$7)</f>
        <v/>
      </c>
      <c r="O299" s="7">
        <f>IF($X299="","",SUMIFS('Per Line'!$U$2:$U$1501,'Per Line'!$AJ$2:$AJ$1501,$A299&amp;"|"&amp;$C299,'Per Line'!$AM$2:$AM$1501,0,'Per Line'!$AN$2:$AN$1501,0))</f>
        <v/>
      </c>
      <c r="P299" s="7">
        <f>IF($X299="","",O299*N299)</f>
        <v/>
      </c>
      <c r="Q299">
        <f>IF($X299="","",Settings!$C$6)</f>
        <v/>
      </c>
      <c r="R299" s="7">
        <f>IF($X299="","",SUMIFS('Per Line'!$U$2:$U$1501,'Per Line'!$AJ$2:$AJ$1501,$A299&amp;"|"&amp;$C299,'Per Line'!$AM$2:$AM$1501,1,'Per Line'!$AN$2:$AN$1501,0))</f>
        <v/>
      </c>
      <c r="S299" s="7">
        <f>IF($X299="","",R299*Q299)</f>
        <v/>
      </c>
      <c r="T299" s="7">
        <f>IF($X299="","",S299+P299)</f>
        <v/>
      </c>
      <c r="U299" s="7">
        <f>IF($X299="","",V299-T299)</f>
        <v/>
      </c>
      <c r="V299" s="7">
        <f>IF($X299="","",O299+R299+M299)</f>
        <v/>
      </c>
      <c r="W299" s="7">
        <f>IF($X299="","",V299-T299-K299)</f>
        <v/>
      </c>
      <c r="X299" s="13">
        <f>IF(ROWS($X$2:$X299)&lt;=MAX('Per Line'!$AL$2:$AL$1501),MATCH(ROWS($X$2:$X299),'Per Line'!$AL$2:$AL$1501,0),"")</f>
        <v/>
      </c>
    </row>
    <row r="300">
      <c r="A300">
        <f>IF($X300="","",INDEX('Per Line'!$C$2:$C$1501,$X300)&amp;"")</f>
        <v/>
      </c>
      <c r="B300" s="12" t="n"/>
      <c r="C300">
        <f>IF($X300="","",INDEX('Per Line'!$D$2:$D$1501,$X300)&amp;"")</f>
        <v/>
      </c>
      <c r="D300">
        <f>IF($X300="","",INDEX('Per Line'!$A$2:$A$1501,$X300))</f>
        <v/>
      </c>
      <c r="E300">
        <f>IF($X300="","",INDEX('Per Line'!$G$2:$G$1501,$X300)&amp;"")</f>
        <v/>
      </c>
      <c r="F300" s="11">
        <f>IF($X300="","",INDEX('Per Line'!$F$2:$F$1501,$X300))</f>
        <v/>
      </c>
      <c r="G300">
        <f>IF($X300="","",INDEX('Per Line'!$I$2:$I$1501,$X300)&amp;"")</f>
        <v/>
      </c>
      <c r="H300">
        <f>IF($X300="","",INDEX('Per Line'!$J$2:$J$1501,$X300)&amp;"")</f>
        <v/>
      </c>
      <c r="I300">
        <f>IF($X300="","",INDEX('Per Line'!$K$2:$K$1501,$X300)&amp;"")</f>
        <v/>
      </c>
      <c r="J300">
        <f>IF($X300="","",INDEX('Per Line'!$M$2:$M$1501,$X300))</f>
        <v/>
      </c>
      <c r="K300" s="7">
        <f>IF($X300="","",J300*V300/100)</f>
        <v/>
      </c>
      <c r="L300">
        <f>IF($X300="","",INDEX('Per Line'!$Y$2:$Y$1501,$X300)&amp;"")</f>
        <v/>
      </c>
      <c r="M300" s="7">
        <f>IF($X300="","",SUMIFS('Per Line'!$U$2:$U$1501,'Per Line'!$AJ$2:$AJ$1501,$A300&amp;"|"&amp;$C300,'Per Line'!$AN$2:$AN$1501,1))</f>
        <v/>
      </c>
      <c r="N300">
        <f>IF($X300="","",Settings!$C$7)</f>
        <v/>
      </c>
      <c r="O300" s="7">
        <f>IF($X300="","",SUMIFS('Per Line'!$U$2:$U$1501,'Per Line'!$AJ$2:$AJ$1501,$A300&amp;"|"&amp;$C300,'Per Line'!$AM$2:$AM$1501,0,'Per Line'!$AN$2:$AN$1501,0))</f>
        <v/>
      </c>
      <c r="P300" s="7">
        <f>IF($X300="","",O300*N300)</f>
        <v/>
      </c>
      <c r="Q300">
        <f>IF($X300="","",Settings!$C$6)</f>
        <v/>
      </c>
      <c r="R300" s="7">
        <f>IF($X300="","",SUMIFS('Per Line'!$U$2:$U$1501,'Per Line'!$AJ$2:$AJ$1501,$A300&amp;"|"&amp;$C300,'Per Line'!$AM$2:$AM$1501,1,'Per Line'!$AN$2:$AN$1501,0))</f>
        <v/>
      </c>
      <c r="S300" s="7">
        <f>IF($X300="","",R300*Q300)</f>
        <v/>
      </c>
      <c r="T300" s="7">
        <f>IF($X300="","",S300+P300)</f>
        <v/>
      </c>
      <c r="U300" s="7">
        <f>IF($X300="","",V300-T300)</f>
        <v/>
      </c>
      <c r="V300" s="7">
        <f>IF($X300="","",O300+R300+M300)</f>
        <v/>
      </c>
      <c r="W300" s="7">
        <f>IF($X300="","",V300-T300-K300)</f>
        <v/>
      </c>
      <c r="X300" s="13">
        <f>IF(ROWS($X$2:$X300)&lt;=MAX('Per Line'!$AL$2:$AL$1501),MATCH(ROWS($X$2:$X300),'Per Line'!$AL$2:$AL$1501,0),"")</f>
        <v/>
      </c>
    </row>
    <row r="301">
      <c r="A301">
        <f>IF($X301="","",INDEX('Per Line'!$C$2:$C$1501,$X301)&amp;"")</f>
        <v/>
      </c>
      <c r="B301" s="12" t="n"/>
      <c r="C301">
        <f>IF($X301="","",INDEX('Per Line'!$D$2:$D$1501,$X301)&amp;"")</f>
        <v/>
      </c>
      <c r="D301">
        <f>IF($X301="","",INDEX('Per Line'!$A$2:$A$1501,$X301))</f>
        <v/>
      </c>
      <c r="E301">
        <f>IF($X301="","",INDEX('Per Line'!$G$2:$G$1501,$X301)&amp;"")</f>
        <v/>
      </c>
      <c r="F301" s="11">
        <f>IF($X301="","",INDEX('Per Line'!$F$2:$F$1501,$X301))</f>
        <v/>
      </c>
      <c r="G301">
        <f>IF($X301="","",INDEX('Per Line'!$I$2:$I$1501,$X301)&amp;"")</f>
        <v/>
      </c>
      <c r="H301">
        <f>IF($X301="","",INDEX('Per Line'!$J$2:$J$1501,$X301)&amp;"")</f>
        <v/>
      </c>
      <c r="I301">
        <f>IF($X301="","",INDEX('Per Line'!$K$2:$K$1501,$X301)&amp;"")</f>
        <v/>
      </c>
      <c r="J301">
        <f>IF($X301="","",INDEX('Per Line'!$M$2:$M$1501,$X301))</f>
        <v/>
      </c>
      <c r="K301" s="7">
        <f>IF($X301="","",J301*V301/100)</f>
        <v/>
      </c>
      <c r="L301">
        <f>IF($X301="","",INDEX('Per Line'!$Y$2:$Y$1501,$X301)&amp;"")</f>
        <v/>
      </c>
      <c r="M301" s="7">
        <f>IF($X301="","",SUMIFS('Per Line'!$U$2:$U$1501,'Per Line'!$AJ$2:$AJ$1501,$A301&amp;"|"&amp;$C301,'Per Line'!$AN$2:$AN$1501,1))</f>
        <v/>
      </c>
      <c r="N301">
        <f>IF($X301="","",Settings!$C$7)</f>
        <v/>
      </c>
      <c r="O301" s="7">
        <f>IF($X301="","",SUMIFS('Per Line'!$U$2:$U$1501,'Per Line'!$AJ$2:$AJ$1501,$A301&amp;"|"&amp;$C301,'Per Line'!$AM$2:$AM$1501,0,'Per Line'!$AN$2:$AN$1501,0))</f>
        <v/>
      </c>
      <c r="P301" s="7">
        <f>IF($X301="","",O301*N301)</f>
        <v/>
      </c>
      <c r="Q301">
        <f>IF($X301="","",Settings!$C$6)</f>
        <v/>
      </c>
      <c r="R301" s="7">
        <f>IF($X301="","",SUMIFS('Per Line'!$U$2:$U$1501,'Per Line'!$AJ$2:$AJ$1501,$A301&amp;"|"&amp;$C301,'Per Line'!$AM$2:$AM$1501,1,'Per Line'!$AN$2:$AN$1501,0))</f>
        <v/>
      </c>
      <c r="S301" s="7">
        <f>IF($X301="","",R301*Q301)</f>
        <v/>
      </c>
      <c r="T301" s="7">
        <f>IF($X301="","",S301+P301)</f>
        <v/>
      </c>
      <c r="U301" s="7">
        <f>IF($X301="","",V301-T301)</f>
        <v/>
      </c>
      <c r="V301" s="7">
        <f>IF($X301="","",O301+R301+M301)</f>
        <v/>
      </c>
      <c r="W301" s="7">
        <f>IF($X301="","",V301-T301-K301)</f>
        <v/>
      </c>
      <c r="X301" s="13">
        <f>IF(ROWS($X$2:$X301)&lt;=MAX('Per Line'!$AL$2:$AL$1501),MATCH(ROWS($X$2:$X301),'Per Line'!$AL$2:$AL$1501,0),"")</f>
        <v/>
      </c>
    </row>
    <row r="302">
      <c r="A302">
        <f>IF($X302="","",INDEX('Per Line'!$C$2:$C$1501,$X302)&amp;"")</f>
        <v/>
      </c>
      <c r="B302" s="12" t="n"/>
      <c r="C302">
        <f>IF($X302="","",INDEX('Per Line'!$D$2:$D$1501,$X302)&amp;"")</f>
        <v/>
      </c>
      <c r="D302">
        <f>IF($X302="","",INDEX('Per Line'!$A$2:$A$1501,$X302))</f>
        <v/>
      </c>
      <c r="E302">
        <f>IF($X302="","",INDEX('Per Line'!$G$2:$G$1501,$X302)&amp;"")</f>
        <v/>
      </c>
      <c r="F302" s="11">
        <f>IF($X302="","",INDEX('Per Line'!$F$2:$F$1501,$X302))</f>
        <v/>
      </c>
      <c r="G302">
        <f>IF($X302="","",INDEX('Per Line'!$I$2:$I$1501,$X302)&amp;"")</f>
        <v/>
      </c>
      <c r="H302">
        <f>IF($X302="","",INDEX('Per Line'!$J$2:$J$1501,$X302)&amp;"")</f>
        <v/>
      </c>
      <c r="I302">
        <f>IF($X302="","",INDEX('Per Line'!$K$2:$K$1501,$X302)&amp;"")</f>
        <v/>
      </c>
      <c r="J302">
        <f>IF($X302="","",INDEX('Per Line'!$M$2:$M$1501,$X302))</f>
        <v/>
      </c>
      <c r="K302" s="7">
        <f>IF($X302="","",J302*V302/100)</f>
        <v/>
      </c>
      <c r="L302">
        <f>IF($X302="","",INDEX('Per Line'!$Y$2:$Y$1501,$X302)&amp;"")</f>
        <v/>
      </c>
      <c r="M302" s="7">
        <f>IF($X302="","",SUMIFS('Per Line'!$U$2:$U$1501,'Per Line'!$AJ$2:$AJ$1501,$A302&amp;"|"&amp;$C302,'Per Line'!$AN$2:$AN$1501,1))</f>
        <v/>
      </c>
      <c r="N302">
        <f>IF($X302="","",Settings!$C$7)</f>
        <v/>
      </c>
      <c r="O302" s="7">
        <f>IF($X302="","",SUMIFS('Per Line'!$U$2:$U$1501,'Per Line'!$AJ$2:$AJ$1501,$A302&amp;"|"&amp;$C302,'Per Line'!$AM$2:$AM$1501,0,'Per Line'!$AN$2:$AN$1501,0))</f>
        <v/>
      </c>
      <c r="P302" s="7">
        <f>IF($X302="","",O302*N302)</f>
        <v/>
      </c>
      <c r="Q302">
        <f>IF($X302="","",Settings!$C$6)</f>
        <v/>
      </c>
      <c r="R302" s="7">
        <f>IF($X302="","",SUMIFS('Per Line'!$U$2:$U$1501,'Per Line'!$AJ$2:$AJ$1501,$A302&amp;"|"&amp;$C302,'Per Line'!$AM$2:$AM$1501,1,'Per Line'!$AN$2:$AN$1501,0))</f>
        <v/>
      </c>
      <c r="S302" s="7">
        <f>IF($X302="","",R302*Q302)</f>
        <v/>
      </c>
      <c r="T302" s="7">
        <f>IF($X302="","",S302+P302)</f>
        <v/>
      </c>
      <c r="U302" s="7">
        <f>IF($X302="","",V302-T302)</f>
        <v/>
      </c>
      <c r="V302" s="7">
        <f>IF($X302="","",O302+R302+M302)</f>
        <v/>
      </c>
      <c r="W302" s="7">
        <f>IF($X302="","",V302-T302-K302)</f>
        <v/>
      </c>
      <c r="X302" s="13">
        <f>IF(ROWS($X$2:$X302)&lt;=MAX('Per Line'!$AL$2:$AL$1501),MATCH(ROWS($X$2:$X302),'Per Line'!$AL$2:$AL$1501,0),"")</f>
        <v/>
      </c>
    </row>
    <row r="303">
      <c r="A303">
        <f>IF($X303="","",INDEX('Per Line'!$C$2:$C$1501,$X303)&amp;"")</f>
        <v/>
      </c>
      <c r="B303" s="12" t="n"/>
      <c r="C303">
        <f>IF($X303="","",INDEX('Per Line'!$D$2:$D$1501,$X303)&amp;"")</f>
        <v/>
      </c>
      <c r="D303">
        <f>IF($X303="","",INDEX('Per Line'!$A$2:$A$1501,$X303))</f>
        <v/>
      </c>
      <c r="E303">
        <f>IF($X303="","",INDEX('Per Line'!$G$2:$G$1501,$X303)&amp;"")</f>
        <v/>
      </c>
      <c r="F303" s="11">
        <f>IF($X303="","",INDEX('Per Line'!$F$2:$F$1501,$X303))</f>
        <v/>
      </c>
      <c r="G303">
        <f>IF($X303="","",INDEX('Per Line'!$I$2:$I$1501,$X303)&amp;"")</f>
        <v/>
      </c>
      <c r="H303">
        <f>IF($X303="","",INDEX('Per Line'!$J$2:$J$1501,$X303)&amp;"")</f>
        <v/>
      </c>
      <c r="I303">
        <f>IF($X303="","",INDEX('Per Line'!$K$2:$K$1501,$X303)&amp;"")</f>
        <v/>
      </c>
      <c r="J303">
        <f>IF($X303="","",INDEX('Per Line'!$M$2:$M$1501,$X303))</f>
        <v/>
      </c>
      <c r="K303" s="7">
        <f>IF($X303="","",J303*V303/100)</f>
        <v/>
      </c>
      <c r="L303">
        <f>IF($X303="","",INDEX('Per Line'!$Y$2:$Y$1501,$X303)&amp;"")</f>
        <v/>
      </c>
      <c r="M303" s="7">
        <f>IF($X303="","",SUMIFS('Per Line'!$U$2:$U$1501,'Per Line'!$AJ$2:$AJ$1501,$A303&amp;"|"&amp;$C303,'Per Line'!$AN$2:$AN$1501,1))</f>
        <v/>
      </c>
      <c r="N303">
        <f>IF($X303="","",Settings!$C$7)</f>
        <v/>
      </c>
      <c r="O303" s="7">
        <f>IF($X303="","",SUMIFS('Per Line'!$U$2:$U$1501,'Per Line'!$AJ$2:$AJ$1501,$A303&amp;"|"&amp;$C303,'Per Line'!$AM$2:$AM$1501,0,'Per Line'!$AN$2:$AN$1501,0))</f>
        <v/>
      </c>
      <c r="P303" s="7">
        <f>IF($X303="","",O303*N303)</f>
        <v/>
      </c>
      <c r="Q303">
        <f>IF($X303="","",Settings!$C$6)</f>
        <v/>
      </c>
      <c r="R303" s="7">
        <f>IF($X303="","",SUMIFS('Per Line'!$U$2:$U$1501,'Per Line'!$AJ$2:$AJ$1501,$A303&amp;"|"&amp;$C303,'Per Line'!$AM$2:$AM$1501,1,'Per Line'!$AN$2:$AN$1501,0))</f>
        <v/>
      </c>
      <c r="S303" s="7">
        <f>IF($X303="","",R303*Q303)</f>
        <v/>
      </c>
      <c r="T303" s="7">
        <f>IF($X303="","",S303+P303)</f>
        <v/>
      </c>
      <c r="U303" s="7">
        <f>IF($X303="","",V303-T303)</f>
        <v/>
      </c>
      <c r="V303" s="7">
        <f>IF($X303="","",O303+R303+M303)</f>
        <v/>
      </c>
      <c r="W303" s="7">
        <f>IF($X303="","",V303-T303-K303)</f>
        <v/>
      </c>
      <c r="X303" s="13">
        <f>IF(ROWS($X$2:$X303)&lt;=MAX('Per Line'!$AL$2:$AL$1501),MATCH(ROWS($X$2:$X303),'Per Line'!$AL$2:$AL$1501,0),"")</f>
        <v/>
      </c>
    </row>
    <row r="304">
      <c r="A304">
        <f>IF($X304="","",INDEX('Per Line'!$C$2:$C$1501,$X304)&amp;"")</f>
        <v/>
      </c>
      <c r="B304" s="12" t="n"/>
      <c r="C304">
        <f>IF($X304="","",INDEX('Per Line'!$D$2:$D$1501,$X304)&amp;"")</f>
        <v/>
      </c>
      <c r="D304">
        <f>IF($X304="","",INDEX('Per Line'!$A$2:$A$1501,$X304))</f>
        <v/>
      </c>
      <c r="E304">
        <f>IF($X304="","",INDEX('Per Line'!$G$2:$G$1501,$X304)&amp;"")</f>
        <v/>
      </c>
      <c r="F304" s="11">
        <f>IF($X304="","",INDEX('Per Line'!$F$2:$F$1501,$X304))</f>
        <v/>
      </c>
      <c r="G304">
        <f>IF($X304="","",INDEX('Per Line'!$I$2:$I$1501,$X304)&amp;"")</f>
        <v/>
      </c>
      <c r="H304">
        <f>IF($X304="","",INDEX('Per Line'!$J$2:$J$1501,$X304)&amp;"")</f>
        <v/>
      </c>
      <c r="I304">
        <f>IF($X304="","",INDEX('Per Line'!$K$2:$K$1501,$X304)&amp;"")</f>
        <v/>
      </c>
      <c r="J304">
        <f>IF($X304="","",INDEX('Per Line'!$M$2:$M$1501,$X304))</f>
        <v/>
      </c>
      <c r="K304" s="7">
        <f>IF($X304="","",J304*V304/100)</f>
        <v/>
      </c>
      <c r="L304">
        <f>IF($X304="","",INDEX('Per Line'!$Y$2:$Y$1501,$X304)&amp;"")</f>
        <v/>
      </c>
      <c r="M304" s="7">
        <f>IF($X304="","",SUMIFS('Per Line'!$U$2:$U$1501,'Per Line'!$AJ$2:$AJ$1501,$A304&amp;"|"&amp;$C304,'Per Line'!$AN$2:$AN$1501,1))</f>
        <v/>
      </c>
      <c r="N304">
        <f>IF($X304="","",Settings!$C$7)</f>
        <v/>
      </c>
      <c r="O304" s="7">
        <f>IF($X304="","",SUMIFS('Per Line'!$U$2:$U$1501,'Per Line'!$AJ$2:$AJ$1501,$A304&amp;"|"&amp;$C304,'Per Line'!$AM$2:$AM$1501,0,'Per Line'!$AN$2:$AN$1501,0))</f>
        <v/>
      </c>
      <c r="P304" s="7">
        <f>IF($X304="","",O304*N304)</f>
        <v/>
      </c>
      <c r="Q304">
        <f>IF($X304="","",Settings!$C$6)</f>
        <v/>
      </c>
      <c r="R304" s="7">
        <f>IF($X304="","",SUMIFS('Per Line'!$U$2:$U$1501,'Per Line'!$AJ$2:$AJ$1501,$A304&amp;"|"&amp;$C304,'Per Line'!$AM$2:$AM$1501,1,'Per Line'!$AN$2:$AN$1501,0))</f>
        <v/>
      </c>
      <c r="S304" s="7">
        <f>IF($X304="","",R304*Q304)</f>
        <v/>
      </c>
      <c r="T304" s="7">
        <f>IF($X304="","",S304+P304)</f>
        <v/>
      </c>
      <c r="U304" s="7">
        <f>IF($X304="","",V304-T304)</f>
        <v/>
      </c>
      <c r="V304" s="7">
        <f>IF($X304="","",O304+R304+M304)</f>
        <v/>
      </c>
      <c r="W304" s="7">
        <f>IF($X304="","",V304-T304-K304)</f>
        <v/>
      </c>
      <c r="X304" s="13">
        <f>IF(ROWS($X$2:$X304)&lt;=MAX('Per Line'!$AL$2:$AL$1501),MATCH(ROWS($X$2:$X304),'Per Line'!$AL$2:$AL$1501,0),"")</f>
        <v/>
      </c>
    </row>
    <row r="305">
      <c r="A305">
        <f>IF($X305="","",INDEX('Per Line'!$C$2:$C$1501,$X305)&amp;"")</f>
        <v/>
      </c>
      <c r="B305" s="12" t="n"/>
      <c r="C305">
        <f>IF($X305="","",INDEX('Per Line'!$D$2:$D$1501,$X305)&amp;"")</f>
        <v/>
      </c>
      <c r="D305">
        <f>IF($X305="","",INDEX('Per Line'!$A$2:$A$1501,$X305))</f>
        <v/>
      </c>
      <c r="E305">
        <f>IF($X305="","",INDEX('Per Line'!$G$2:$G$1501,$X305)&amp;"")</f>
        <v/>
      </c>
      <c r="F305" s="11">
        <f>IF($X305="","",INDEX('Per Line'!$F$2:$F$1501,$X305))</f>
        <v/>
      </c>
      <c r="G305">
        <f>IF($X305="","",INDEX('Per Line'!$I$2:$I$1501,$X305)&amp;"")</f>
        <v/>
      </c>
      <c r="H305">
        <f>IF($X305="","",INDEX('Per Line'!$J$2:$J$1501,$X305)&amp;"")</f>
        <v/>
      </c>
      <c r="I305">
        <f>IF($X305="","",INDEX('Per Line'!$K$2:$K$1501,$X305)&amp;"")</f>
        <v/>
      </c>
      <c r="J305">
        <f>IF($X305="","",INDEX('Per Line'!$M$2:$M$1501,$X305))</f>
        <v/>
      </c>
      <c r="K305" s="7">
        <f>IF($X305="","",J305*V305/100)</f>
        <v/>
      </c>
      <c r="L305">
        <f>IF($X305="","",INDEX('Per Line'!$Y$2:$Y$1501,$X305)&amp;"")</f>
        <v/>
      </c>
      <c r="M305" s="7">
        <f>IF($X305="","",SUMIFS('Per Line'!$U$2:$U$1501,'Per Line'!$AJ$2:$AJ$1501,$A305&amp;"|"&amp;$C305,'Per Line'!$AN$2:$AN$1501,1))</f>
        <v/>
      </c>
      <c r="N305">
        <f>IF($X305="","",Settings!$C$7)</f>
        <v/>
      </c>
      <c r="O305" s="7">
        <f>IF($X305="","",SUMIFS('Per Line'!$U$2:$U$1501,'Per Line'!$AJ$2:$AJ$1501,$A305&amp;"|"&amp;$C305,'Per Line'!$AM$2:$AM$1501,0,'Per Line'!$AN$2:$AN$1501,0))</f>
        <v/>
      </c>
      <c r="P305" s="7">
        <f>IF($X305="","",O305*N305)</f>
        <v/>
      </c>
      <c r="Q305">
        <f>IF($X305="","",Settings!$C$6)</f>
        <v/>
      </c>
      <c r="R305" s="7">
        <f>IF($X305="","",SUMIFS('Per Line'!$U$2:$U$1501,'Per Line'!$AJ$2:$AJ$1501,$A305&amp;"|"&amp;$C305,'Per Line'!$AM$2:$AM$1501,1,'Per Line'!$AN$2:$AN$1501,0))</f>
        <v/>
      </c>
      <c r="S305" s="7">
        <f>IF($X305="","",R305*Q305)</f>
        <v/>
      </c>
      <c r="T305" s="7">
        <f>IF($X305="","",S305+P305)</f>
        <v/>
      </c>
      <c r="U305" s="7">
        <f>IF($X305="","",V305-T305)</f>
        <v/>
      </c>
      <c r="V305" s="7">
        <f>IF($X305="","",O305+R305+M305)</f>
        <v/>
      </c>
      <c r="W305" s="7">
        <f>IF($X305="","",V305-T305-K305)</f>
        <v/>
      </c>
      <c r="X305" s="13">
        <f>IF(ROWS($X$2:$X305)&lt;=MAX('Per Line'!$AL$2:$AL$1501),MATCH(ROWS($X$2:$X305),'Per Line'!$AL$2:$AL$1501,0),"")</f>
        <v/>
      </c>
    </row>
    <row r="306">
      <c r="A306">
        <f>IF($X306="","",INDEX('Per Line'!$C$2:$C$1501,$X306)&amp;"")</f>
        <v/>
      </c>
      <c r="B306" s="12" t="n"/>
      <c r="C306">
        <f>IF($X306="","",INDEX('Per Line'!$D$2:$D$1501,$X306)&amp;"")</f>
        <v/>
      </c>
      <c r="D306">
        <f>IF($X306="","",INDEX('Per Line'!$A$2:$A$1501,$X306))</f>
        <v/>
      </c>
      <c r="E306">
        <f>IF($X306="","",INDEX('Per Line'!$G$2:$G$1501,$X306)&amp;"")</f>
        <v/>
      </c>
      <c r="F306" s="11">
        <f>IF($X306="","",INDEX('Per Line'!$F$2:$F$1501,$X306))</f>
        <v/>
      </c>
      <c r="G306">
        <f>IF($X306="","",INDEX('Per Line'!$I$2:$I$1501,$X306)&amp;"")</f>
        <v/>
      </c>
      <c r="H306">
        <f>IF($X306="","",INDEX('Per Line'!$J$2:$J$1501,$X306)&amp;"")</f>
        <v/>
      </c>
      <c r="I306">
        <f>IF($X306="","",INDEX('Per Line'!$K$2:$K$1501,$X306)&amp;"")</f>
        <v/>
      </c>
      <c r="J306">
        <f>IF($X306="","",INDEX('Per Line'!$M$2:$M$1501,$X306))</f>
        <v/>
      </c>
      <c r="K306" s="7">
        <f>IF($X306="","",J306*V306/100)</f>
        <v/>
      </c>
      <c r="L306">
        <f>IF($X306="","",INDEX('Per Line'!$Y$2:$Y$1501,$X306)&amp;"")</f>
        <v/>
      </c>
      <c r="M306" s="7">
        <f>IF($X306="","",SUMIFS('Per Line'!$U$2:$U$1501,'Per Line'!$AJ$2:$AJ$1501,$A306&amp;"|"&amp;$C306,'Per Line'!$AN$2:$AN$1501,1))</f>
        <v/>
      </c>
      <c r="N306">
        <f>IF($X306="","",Settings!$C$7)</f>
        <v/>
      </c>
      <c r="O306" s="7">
        <f>IF($X306="","",SUMIFS('Per Line'!$U$2:$U$1501,'Per Line'!$AJ$2:$AJ$1501,$A306&amp;"|"&amp;$C306,'Per Line'!$AM$2:$AM$1501,0,'Per Line'!$AN$2:$AN$1501,0))</f>
        <v/>
      </c>
      <c r="P306" s="7">
        <f>IF($X306="","",O306*N306)</f>
        <v/>
      </c>
      <c r="Q306">
        <f>IF($X306="","",Settings!$C$6)</f>
        <v/>
      </c>
      <c r="R306" s="7">
        <f>IF($X306="","",SUMIFS('Per Line'!$U$2:$U$1501,'Per Line'!$AJ$2:$AJ$1501,$A306&amp;"|"&amp;$C306,'Per Line'!$AM$2:$AM$1501,1,'Per Line'!$AN$2:$AN$1501,0))</f>
        <v/>
      </c>
      <c r="S306" s="7">
        <f>IF($X306="","",R306*Q306)</f>
        <v/>
      </c>
      <c r="T306" s="7">
        <f>IF($X306="","",S306+P306)</f>
        <v/>
      </c>
      <c r="U306" s="7">
        <f>IF($X306="","",V306-T306)</f>
        <v/>
      </c>
      <c r="V306" s="7">
        <f>IF($X306="","",O306+R306+M306)</f>
        <v/>
      </c>
      <c r="W306" s="7">
        <f>IF($X306="","",V306-T306-K306)</f>
        <v/>
      </c>
      <c r="X306" s="13">
        <f>IF(ROWS($X$2:$X306)&lt;=MAX('Per Line'!$AL$2:$AL$1501),MATCH(ROWS($X$2:$X306),'Per Line'!$AL$2:$AL$1501,0),"")</f>
        <v/>
      </c>
    </row>
    <row r="307">
      <c r="A307">
        <f>IF($X307="","",INDEX('Per Line'!$C$2:$C$1501,$X307)&amp;"")</f>
        <v/>
      </c>
      <c r="B307" s="12" t="n"/>
      <c r="C307">
        <f>IF($X307="","",INDEX('Per Line'!$D$2:$D$1501,$X307)&amp;"")</f>
        <v/>
      </c>
      <c r="D307">
        <f>IF($X307="","",INDEX('Per Line'!$A$2:$A$1501,$X307))</f>
        <v/>
      </c>
      <c r="E307">
        <f>IF($X307="","",INDEX('Per Line'!$G$2:$G$1501,$X307)&amp;"")</f>
        <v/>
      </c>
      <c r="F307" s="11">
        <f>IF($X307="","",INDEX('Per Line'!$F$2:$F$1501,$X307))</f>
        <v/>
      </c>
      <c r="G307">
        <f>IF($X307="","",INDEX('Per Line'!$I$2:$I$1501,$X307)&amp;"")</f>
        <v/>
      </c>
      <c r="H307">
        <f>IF($X307="","",INDEX('Per Line'!$J$2:$J$1501,$X307)&amp;"")</f>
        <v/>
      </c>
      <c r="I307">
        <f>IF($X307="","",INDEX('Per Line'!$K$2:$K$1501,$X307)&amp;"")</f>
        <v/>
      </c>
      <c r="J307">
        <f>IF($X307="","",INDEX('Per Line'!$M$2:$M$1501,$X307))</f>
        <v/>
      </c>
      <c r="K307" s="7">
        <f>IF($X307="","",J307*V307/100)</f>
        <v/>
      </c>
      <c r="L307">
        <f>IF($X307="","",INDEX('Per Line'!$Y$2:$Y$1501,$X307)&amp;"")</f>
        <v/>
      </c>
      <c r="M307" s="7">
        <f>IF($X307="","",SUMIFS('Per Line'!$U$2:$U$1501,'Per Line'!$AJ$2:$AJ$1501,$A307&amp;"|"&amp;$C307,'Per Line'!$AN$2:$AN$1501,1))</f>
        <v/>
      </c>
      <c r="N307">
        <f>IF($X307="","",Settings!$C$7)</f>
        <v/>
      </c>
      <c r="O307" s="7">
        <f>IF($X307="","",SUMIFS('Per Line'!$U$2:$U$1501,'Per Line'!$AJ$2:$AJ$1501,$A307&amp;"|"&amp;$C307,'Per Line'!$AM$2:$AM$1501,0,'Per Line'!$AN$2:$AN$1501,0))</f>
        <v/>
      </c>
      <c r="P307" s="7">
        <f>IF($X307="","",O307*N307)</f>
        <v/>
      </c>
      <c r="Q307">
        <f>IF($X307="","",Settings!$C$6)</f>
        <v/>
      </c>
      <c r="R307" s="7">
        <f>IF($X307="","",SUMIFS('Per Line'!$U$2:$U$1501,'Per Line'!$AJ$2:$AJ$1501,$A307&amp;"|"&amp;$C307,'Per Line'!$AM$2:$AM$1501,1,'Per Line'!$AN$2:$AN$1501,0))</f>
        <v/>
      </c>
      <c r="S307" s="7">
        <f>IF($X307="","",R307*Q307)</f>
        <v/>
      </c>
      <c r="T307" s="7">
        <f>IF($X307="","",S307+P307)</f>
        <v/>
      </c>
      <c r="U307" s="7">
        <f>IF($X307="","",V307-T307)</f>
        <v/>
      </c>
      <c r="V307" s="7">
        <f>IF($X307="","",O307+R307+M307)</f>
        <v/>
      </c>
      <c r="W307" s="7">
        <f>IF($X307="","",V307-T307-K307)</f>
        <v/>
      </c>
      <c r="X307" s="13">
        <f>IF(ROWS($X$2:$X307)&lt;=MAX('Per Line'!$AL$2:$AL$1501),MATCH(ROWS($X$2:$X307),'Per Line'!$AL$2:$AL$1501,0),"")</f>
        <v/>
      </c>
    </row>
    <row r="308">
      <c r="A308">
        <f>IF($X308="","",INDEX('Per Line'!$C$2:$C$1501,$X308)&amp;"")</f>
        <v/>
      </c>
      <c r="B308" s="12" t="n"/>
      <c r="C308">
        <f>IF($X308="","",INDEX('Per Line'!$D$2:$D$1501,$X308)&amp;"")</f>
        <v/>
      </c>
      <c r="D308">
        <f>IF($X308="","",INDEX('Per Line'!$A$2:$A$1501,$X308))</f>
        <v/>
      </c>
      <c r="E308">
        <f>IF($X308="","",INDEX('Per Line'!$G$2:$G$1501,$X308)&amp;"")</f>
        <v/>
      </c>
      <c r="F308" s="11">
        <f>IF($X308="","",INDEX('Per Line'!$F$2:$F$1501,$X308))</f>
        <v/>
      </c>
      <c r="G308">
        <f>IF($X308="","",INDEX('Per Line'!$I$2:$I$1501,$X308)&amp;"")</f>
        <v/>
      </c>
      <c r="H308">
        <f>IF($X308="","",INDEX('Per Line'!$J$2:$J$1501,$X308)&amp;"")</f>
        <v/>
      </c>
      <c r="I308">
        <f>IF($X308="","",INDEX('Per Line'!$K$2:$K$1501,$X308)&amp;"")</f>
        <v/>
      </c>
      <c r="J308">
        <f>IF($X308="","",INDEX('Per Line'!$M$2:$M$1501,$X308))</f>
        <v/>
      </c>
      <c r="K308" s="7">
        <f>IF($X308="","",J308*V308/100)</f>
        <v/>
      </c>
      <c r="L308">
        <f>IF($X308="","",INDEX('Per Line'!$Y$2:$Y$1501,$X308)&amp;"")</f>
        <v/>
      </c>
      <c r="M308" s="7">
        <f>IF($X308="","",SUMIFS('Per Line'!$U$2:$U$1501,'Per Line'!$AJ$2:$AJ$1501,$A308&amp;"|"&amp;$C308,'Per Line'!$AN$2:$AN$1501,1))</f>
        <v/>
      </c>
      <c r="N308">
        <f>IF($X308="","",Settings!$C$7)</f>
        <v/>
      </c>
      <c r="O308" s="7">
        <f>IF($X308="","",SUMIFS('Per Line'!$U$2:$U$1501,'Per Line'!$AJ$2:$AJ$1501,$A308&amp;"|"&amp;$C308,'Per Line'!$AM$2:$AM$1501,0,'Per Line'!$AN$2:$AN$1501,0))</f>
        <v/>
      </c>
      <c r="P308" s="7">
        <f>IF($X308="","",O308*N308)</f>
        <v/>
      </c>
      <c r="Q308">
        <f>IF($X308="","",Settings!$C$6)</f>
        <v/>
      </c>
      <c r="R308" s="7">
        <f>IF($X308="","",SUMIFS('Per Line'!$U$2:$U$1501,'Per Line'!$AJ$2:$AJ$1501,$A308&amp;"|"&amp;$C308,'Per Line'!$AM$2:$AM$1501,1,'Per Line'!$AN$2:$AN$1501,0))</f>
        <v/>
      </c>
      <c r="S308" s="7">
        <f>IF($X308="","",R308*Q308)</f>
        <v/>
      </c>
      <c r="T308" s="7">
        <f>IF($X308="","",S308+P308)</f>
        <v/>
      </c>
      <c r="U308" s="7">
        <f>IF($X308="","",V308-T308)</f>
        <v/>
      </c>
      <c r="V308" s="7">
        <f>IF($X308="","",O308+R308+M308)</f>
        <v/>
      </c>
      <c r="W308" s="7">
        <f>IF($X308="","",V308-T308-K308)</f>
        <v/>
      </c>
      <c r="X308" s="13">
        <f>IF(ROWS($X$2:$X308)&lt;=MAX('Per Line'!$AL$2:$AL$1501),MATCH(ROWS($X$2:$X308),'Per Line'!$AL$2:$AL$1501,0),"")</f>
        <v/>
      </c>
    </row>
    <row r="309">
      <c r="A309">
        <f>IF($X309="","",INDEX('Per Line'!$C$2:$C$1501,$X309)&amp;"")</f>
        <v/>
      </c>
      <c r="B309" s="12" t="n"/>
      <c r="C309">
        <f>IF($X309="","",INDEX('Per Line'!$D$2:$D$1501,$X309)&amp;"")</f>
        <v/>
      </c>
      <c r="D309">
        <f>IF($X309="","",INDEX('Per Line'!$A$2:$A$1501,$X309))</f>
        <v/>
      </c>
      <c r="E309">
        <f>IF($X309="","",INDEX('Per Line'!$G$2:$G$1501,$X309)&amp;"")</f>
        <v/>
      </c>
      <c r="F309" s="11">
        <f>IF($X309="","",INDEX('Per Line'!$F$2:$F$1501,$X309))</f>
        <v/>
      </c>
      <c r="G309">
        <f>IF($X309="","",INDEX('Per Line'!$I$2:$I$1501,$X309)&amp;"")</f>
        <v/>
      </c>
      <c r="H309">
        <f>IF($X309="","",INDEX('Per Line'!$J$2:$J$1501,$X309)&amp;"")</f>
        <v/>
      </c>
      <c r="I309">
        <f>IF($X309="","",INDEX('Per Line'!$K$2:$K$1501,$X309)&amp;"")</f>
        <v/>
      </c>
      <c r="J309">
        <f>IF($X309="","",INDEX('Per Line'!$M$2:$M$1501,$X309))</f>
        <v/>
      </c>
      <c r="K309" s="7">
        <f>IF($X309="","",J309*V309/100)</f>
        <v/>
      </c>
      <c r="L309">
        <f>IF($X309="","",INDEX('Per Line'!$Y$2:$Y$1501,$X309)&amp;"")</f>
        <v/>
      </c>
      <c r="M309" s="7">
        <f>IF($X309="","",SUMIFS('Per Line'!$U$2:$U$1501,'Per Line'!$AJ$2:$AJ$1501,$A309&amp;"|"&amp;$C309,'Per Line'!$AN$2:$AN$1501,1))</f>
        <v/>
      </c>
      <c r="N309">
        <f>IF($X309="","",Settings!$C$7)</f>
        <v/>
      </c>
      <c r="O309" s="7">
        <f>IF($X309="","",SUMIFS('Per Line'!$U$2:$U$1501,'Per Line'!$AJ$2:$AJ$1501,$A309&amp;"|"&amp;$C309,'Per Line'!$AM$2:$AM$1501,0,'Per Line'!$AN$2:$AN$1501,0))</f>
        <v/>
      </c>
      <c r="P309" s="7">
        <f>IF($X309="","",O309*N309)</f>
        <v/>
      </c>
      <c r="Q309">
        <f>IF($X309="","",Settings!$C$6)</f>
        <v/>
      </c>
      <c r="R309" s="7">
        <f>IF($X309="","",SUMIFS('Per Line'!$U$2:$U$1501,'Per Line'!$AJ$2:$AJ$1501,$A309&amp;"|"&amp;$C309,'Per Line'!$AM$2:$AM$1501,1,'Per Line'!$AN$2:$AN$1501,0))</f>
        <v/>
      </c>
      <c r="S309" s="7">
        <f>IF($X309="","",R309*Q309)</f>
        <v/>
      </c>
      <c r="T309" s="7">
        <f>IF($X309="","",S309+P309)</f>
        <v/>
      </c>
      <c r="U309" s="7">
        <f>IF($X309="","",V309-T309)</f>
        <v/>
      </c>
      <c r="V309" s="7">
        <f>IF($X309="","",O309+R309+M309)</f>
        <v/>
      </c>
      <c r="W309" s="7">
        <f>IF($X309="","",V309-T309-K309)</f>
        <v/>
      </c>
      <c r="X309" s="13">
        <f>IF(ROWS($X$2:$X309)&lt;=MAX('Per Line'!$AL$2:$AL$1501),MATCH(ROWS($X$2:$X309),'Per Line'!$AL$2:$AL$1501,0),"")</f>
        <v/>
      </c>
    </row>
    <row r="310">
      <c r="A310">
        <f>IF($X310="","",INDEX('Per Line'!$C$2:$C$1501,$X310)&amp;"")</f>
        <v/>
      </c>
      <c r="B310" s="12" t="n"/>
      <c r="C310">
        <f>IF($X310="","",INDEX('Per Line'!$D$2:$D$1501,$X310)&amp;"")</f>
        <v/>
      </c>
      <c r="D310">
        <f>IF($X310="","",INDEX('Per Line'!$A$2:$A$1501,$X310))</f>
        <v/>
      </c>
      <c r="E310">
        <f>IF($X310="","",INDEX('Per Line'!$G$2:$G$1501,$X310)&amp;"")</f>
        <v/>
      </c>
      <c r="F310" s="11">
        <f>IF($X310="","",INDEX('Per Line'!$F$2:$F$1501,$X310))</f>
        <v/>
      </c>
      <c r="G310">
        <f>IF($X310="","",INDEX('Per Line'!$I$2:$I$1501,$X310)&amp;"")</f>
        <v/>
      </c>
      <c r="H310">
        <f>IF($X310="","",INDEX('Per Line'!$J$2:$J$1501,$X310)&amp;"")</f>
        <v/>
      </c>
      <c r="I310">
        <f>IF($X310="","",INDEX('Per Line'!$K$2:$K$1501,$X310)&amp;"")</f>
        <v/>
      </c>
      <c r="J310">
        <f>IF($X310="","",INDEX('Per Line'!$M$2:$M$1501,$X310))</f>
        <v/>
      </c>
      <c r="K310" s="7">
        <f>IF($X310="","",J310*V310/100)</f>
        <v/>
      </c>
      <c r="L310">
        <f>IF($X310="","",INDEX('Per Line'!$Y$2:$Y$1501,$X310)&amp;"")</f>
        <v/>
      </c>
      <c r="M310" s="7">
        <f>IF($X310="","",SUMIFS('Per Line'!$U$2:$U$1501,'Per Line'!$AJ$2:$AJ$1501,$A310&amp;"|"&amp;$C310,'Per Line'!$AN$2:$AN$1501,1))</f>
        <v/>
      </c>
      <c r="N310">
        <f>IF($X310="","",Settings!$C$7)</f>
        <v/>
      </c>
      <c r="O310" s="7">
        <f>IF($X310="","",SUMIFS('Per Line'!$U$2:$U$1501,'Per Line'!$AJ$2:$AJ$1501,$A310&amp;"|"&amp;$C310,'Per Line'!$AM$2:$AM$1501,0,'Per Line'!$AN$2:$AN$1501,0))</f>
        <v/>
      </c>
      <c r="P310" s="7">
        <f>IF($X310="","",O310*N310)</f>
        <v/>
      </c>
      <c r="Q310">
        <f>IF($X310="","",Settings!$C$6)</f>
        <v/>
      </c>
      <c r="R310" s="7">
        <f>IF($X310="","",SUMIFS('Per Line'!$U$2:$U$1501,'Per Line'!$AJ$2:$AJ$1501,$A310&amp;"|"&amp;$C310,'Per Line'!$AM$2:$AM$1501,1,'Per Line'!$AN$2:$AN$1501,0))</f>
        <v/>
      </c>
      <c r="S310" s="7">
        <f>IF($X310="","",R310*Q310)</f>
        <v/>
      </c>
      <c r="T310" s="7">
        <f>IF($X310="","",S310+P310)</f>
        <v/>
      </c>
      <c r="U310" s="7">
        <f>IF($X310="","",V310-T310)</f>
        <v/>
      </c>
      <c r="V310" s="7">
        <f>IF($X310="","",O310+R310+M310)</f>
        <v/>
      </c>
      <c r="W310" s="7">
        <f>IF($X310="","",V310-T310-K310)</f>
        <v/>
      </c>
      <c r="X310" s="13">
        <f>IF(ROWS($X$2:$X310)&lt;=MAX('Per Line'!$AL$2:$AL$1501),MATCH(ROWS($X$2:$X310),'Per Line'!$AL$2:$AL$1501,0),"")</f>
        <v/>
      </c>
    </row>
    <row r="311">
      <c r="A311">
        <f>IF($X311="","",INDEX('Per Line'!$C$2:$C$1501,$X311)&amp;"")</f>
        <v/>
      </c>
      <c r="B311" s="12" t="n"/>
      <c r="C311">
        <f>IF($X311="","",INDEX('Per Line'!$D$2:$D$1501,$X311)&amp;"")</f>
        <v/>
      </c>
      <c r="D311">
        <f>IF($X311="","",INDEX('Per Line'!$A$2:$A$1501,$X311))</f>
        <v/>
      </c>
      <c r="E311">
        <f>IF($X311="","",INDEX('Per Line'!$G$2:$G$1501,$X311)&amp;"")</f>
        <v/>
      </c>
      <c r="F311" s="11">
        <f>IF($X311="","",INDEX('Per Line'!$F$2:$F$1501,$X311))</f>
        <v/>
      </c>
      <c r="G311">
        <f>IF($X311="","",INDEX('Per Line'!$I$2:$I$1501,$X311)&amp;"")</f>
        <v/>
      </c>
      <c r="H311">
        <f>IF($X311="","",INDEX('Per Line'!$J$2:$J$1501,$X311)&amp;"")</f>
        <v/>
      </c>
      <c r="I311">
        <f>IF($X311="","",INDEX('Per Line'!$K$2:$K$1501,$X311)&amp;"")</f>
        <v/>
      </c>
      <c r="J311">
        <f>IF($X311="","",INDEX('Per Line'!$M$2:$M$1501,$X311))</f>
        <v/>
      </c>
      <c r="K311" s="7">
        <f>IF($X311="","",J311*V311/100)</f>
        <v/>
      </c>
      <c r="L311">
        <f>IF($X311="","",INDEX('Per Line'!$Y$2:$Y$1501,$X311)&amp;"")</f>
        <v/>
      </c>
      <c r="M311" s="7">
        <f>IF($X311="","",SUMIFS('Per Line'!$U$2:$U$1501,'Per Line'!$AJ$2:$AJ$1501,$A311&amp;"|"&amp;$C311,'Per Line'!$AN$2:$AN$1501,1))</f>
        <v/>
      </c>
      <c r="N311">
        <f>IF($X311="","",Settings!$C$7)</f>
        <v/>
      </c>
      <c r="O311" s="7">
        <f>IF($X311="","",SUMIFS('Per Line'!$U$2:$U$1501,'Per Line'!$AJ$2:$AJ$1501,$A311&amp;"|"&amp;$C311,'Per Line'!$AM$2:$AM$1501,0,'Per Line'!$AN$2:$AN$1501,0))</f>
        <v/>
      </c>
      <c r="P311" s="7">
        <f>IF($X311="","",O311*N311)</f>
        <v/>
      </c>
      <c r="Q311">
        <f>IF($X311="","",Settings!$C$6)</f>
        <v/>
      </c>
      <c r="R311" s="7">
        <f>IF($X311="","",SUMIFS('Per Line'!$U$2:$U$1501,'Per Line'!$AJ$2:$AJ$1501,$A311&amp;"|"&amp;$C311,'Per Line'!$AM$2:$AM$1501,1,'Per Line'!$AN$2:$AN$1501,0))</f>
        <v/>
      </c>
      <c r="S311" s="7">
        <f>IF($X311="","",R311*Q311)</f>
        <v/>
      </c>
      <c r="T311" s="7">
        <f>IF($X311="","",S311+P311)</f>
        <v/>
      </c>
      <c r="U311" s="7">
        <f>IF($X311="","",V311-T311)</f>
        <v/>
      </c>
      <c r="V311" s="7">
        <f>IF($X311="","",O311+R311+M311)</f>
        <v/>
      </c>
      <c r="W311" s="7">
        <f>IF($X311="","",V311-T311-K311)</f>
        <v/>
      </c>
      <c r="X311" s="13">
        <f>IF(ROWS($X$2:$X311)&lt;=MAX('Per Line'!$AL$2:$AL$1501),MATCH(ROWS($X$2:$X311),'Per Line'!$AL$2:$AL$1501,0),"")</f>
        <v/>
      </c>
    </row>
    <row r="312">
      <c r="A312">
        <f>IF($X312="","",INDEX('Per Line'!$C$2:$C$1501,$X312)&amp;"")</f>
        <v/>
      </c>
      <c r="B312" s="12" t="n"/>
      <c r="C312">
        <f>IF($X312="","",INDEX('Per Line'!$D$2:$D$1501,$X312)&amp;"")</f>
        <v/>
      </c>
      <c r="D312">
        <f>IF($X312="","",INDEX('Per Line'!$A$2:$A$1501,$X312))</f>
        <v/>
      </c>
      <c r="E312">
        <f>IF($X312="","",INDEX('Per Line'!$G$2:$G$1501,$X312)&amp;"")</f>
        <v/>
      </c>
      <c r="F312" s="11">
        <f>IF($X312="","",INDEX('Per Line'!$F$2:$F$1501,$X312))</f>
        <v/>
      </c>
      <c r="G312">
        <f>IF($X312="","",INDEX('Per Line'!$I$2:$I$1501,$X312)&amp;"")</f>
        <v/>
      </c>
      <c r="H312">
        <f>IF($X312="","",INDEX('Per Line'!$J$2:$J$1501,$X312)&amp;"")</f>
        <v/>
      </c>
      <c r="I312">
        <f>IF($X312="","",INDEX('Per Line'!$K$2:$K$1501,$X312)&amp;"")</f>
        <v/>
      </c>
      <c r="J312">
        <f>IF($X312="","",INDEX('Per Line'!$M$2:$M$1501,$X312))</f>
        <v/>
      </c>
      <c r="K312" s="7">
        <f>IF($X312="","",J312*V312/100)</f>
        <v/>
      </c>
      <c r="L312">
        <f>IF($X312="","",INDEX('Per Line'!$Y$2:$Y$1501,$X312)&amp;"")</f>
        <v/>
      </c>
      <c r="M312" s="7">
        <f>IF($X312="","",SUMIFS('Per Line'!$U$2:$U$1501,'Per Line'!$AJ$2:$AJ$1501,$A312&amp;"|"&amp;$C312,'Per Line'!$AN$2:$AN$1501,1))</f>
        <v/>
      </c>
      <c r="N312">
        <f>IF($X312="","",Settings!$C$7)</f>
        <v/>
      </c>
      <c r="O312" s="7">
        <f>IF($X312="","",SUMIFS('Per Line'!$U$2:$U$1501,'Per Line'!$AJ$2:$AJ$1501,$A312&amp;"|"&amp;$C312,'Per Line'!$AM$2:$AM$1501,0,'Per Line'!$AN$2:$AN$1501,0))</f>
        <v/>
      </c>
      <c r="P312" s="7">
        <f>IF($X312="","",O312*N312)</f>
        <v/>
      </c>
      <c r="Q312">
        <f>IF($X312="","",Settings!$C$6)</f>
        <v/>
      </c>
      <c r="R312" s="7">
        <f>IF($X312="","",SUMIFS('Per Line'!$U$2:$U$1501,'Per Line'!$AJ$2:$AJ$1501,$A312&amp;"|"&amp;$C312,'Per Line'!$AM$2:$AM$1501,1,'Per Line'!$AN$2:$AN$1501,0))</f>
        <v/>
      </c>
      <c r="S312" s="7">
        <f>IF($X312="","",R312*Q312)</f>
        <v/>
      </c>
      <c r="T312" s="7">
        <f>IF($X312="","",S312+P312)</f>
        <v/>
      </c>
      <c r="U312" s="7">
        <f>IF($X312="","",V312-T312)</f>
        <v/>
      </c>
      <c r="V312" s="7">
        <f>IF($X312="","",O312+R312+M312)</f>
        <v/>
      </c>
      <c r="W312" s="7">
        <f>IF($X312="","",V312-T312-K312)</f>
        <v/>
      </c>
      <c r="X312" s="13">
        <f>IF(ROWS($X$2:$X312)&lt;=MAX('Per Line'!$AL$2:$AL$1501),MATCH(ROWS($X$2:$X312),'Per Line'!$AL$2:$AL$1501,0),"")</f>
        <v/>
      </c>
    </row>
    <row r="313">
      <c r="A313">
        <f>IF($X313="","",INDEX('Per Line'!$C$2:$C$1501,$X313)&amp;"")</f>
        <v/>
      </c>
      <c r="B313" s="12" t="n"/>
      <c r="C313">
        <f>IF($X313="","",INDEX('Per Line'!$D$2:$D$1501,$X313)&amp;"")</f>
        <v/>
      </c>
      <c r="D313">
        <f>IF($X313="","",INDEX('Per Line'!$A$2:$A$1501,$X313))</f>
        <v/>
      </c>
      <c r="E313">
        <f>IF($X313="","",INDEX('Per Line'!$G$2:$G$1501,$X313)&amp;"")</f>
        <v/>
      </c>
      <c r="F313" s="11">
        <f>IF($X313="","",INDEX('Per Line'!$F$2:$F$1501,$X313))</f>
        <v/>
      </c>
      <c r="G313">
        <f>IF($X313="","",INDEX('Per Line'!$I$2:$I$1501,$X313)&amp;"")</f>
        <v/>
      </c>
      <c r="H313">
        <f>IF($X313="","",INDEX('Per Line'!$J$2:$J$1501,$X313)&amp;"")</f>
        <v/>
      </c>
      <c r="I313">
        <f>IF($X313="","",INDEX('Per Line'!$K$2:$K$1501,$X313)&amp;"")</f>
        <v/>
      </c>
      <c r="J313">
        <f>IF($X313="","",INDEX('Per Line'!$M$2:$M$1501,$X313))</f>
        <v/>
      </c>
      <c r="K313" s="7">
        <f>IF($X313="","",J313*V313/100)</f>
        <v/>
      </c>
      <c r="L313">
        <f>IF($X313="","",INDEX('Per Line'!$Y$2:$Y$1501,$X313)&amp;"")</f>
        <v/>
      </c>
      <c r="M313" s="7">
        <f>IF($X313="","",SUMIFS('Per Line'!$U$2:$U$1501,'Per Line'!$AJ$2:$AJ$1501,$A313&amp;"|"&amp;$C313,'Per Line'!$AN$2:$AN$1501,1))</f>
        <v/>
      </c>
      <c r="N313">
        <f>IF($X313="","",Settings!$C$7)</f>
        <v/>
      </c>
      <c r="O313" s="7">
        <f>IF($X313="","",SUMIFS('Per Line'!$U$2:$U$1501,'Per Line'!$AJ$2:$AJ$1501,$A313&amp;"|"&amp;$C313,'Per Line'!$AM$2:$AM$1501,0,'Per Line'!$AN$2:$AN$1501,0))</f>
        <v/>
      </c>
      <c r="P313" s="7">
        <f>IF($X313="","",O313*N313)</f>
        <v/>
      </c>
      <c r="Q313">
        <f>IF($X313="","",Settings!$C$6)</f>
        <v/>
      </c>
      <c r="R313" s="7">
        <f>IF($X313="","",SUMIFS('Per Line'!$U$2:$U$1501,'Per Line'!$AJ$2:$AJ$1501,$A313&amp;"|"&amp;$C313,'Per Line'!$AM$2:$AM$1501,1,'Per Line'!$AN$2:$AN$1501,0))</f>
        <v/>
      </c>
      <c r="S313" s="7">
        <f>IF($X313="","",R313*Q313)</f>
        <v/>
      </c>
      <c r="T313" s="7">
        <f>IF($X313="","",S313+P313)</f>
        <v/>
      </c>
      <c r="U313" s="7">
        <f>IF($X313="","",V313-T313)</f>
        <v/>
      </c>
      <c r="V313" s="7">
        <f>IF($X313="","",O313+R313+M313)</f>
        <v/>
      </c>
      <c r="W313" s="7">
        <f>IF($X313="","",V313-T313-K313)</f>
        <v/>
      </c>
      <c r="X313" s="13">
        <f>IF(ROWS($X$2:$X313)&lt;=MAX('Per Line'!$AL$2:$AL$1501),MATCH(ROWS($X$2:$X313),'Per Line'!$AL$2:$AL$1501,0),"")</f>
        <v/>
      </c>
    </row>
    <row r="314">
      <c r="A314">
        <f>IF($X314="","",INDEX('Per Line'!$C$2:$C$1501,$X314)&amp;"")</f>
        <v/>
      </c>
      <c r="B314" s="12" t="n"/>
      <c r="C314">
        <f>IF($X314="","",INDEX('Per Line'!$D$2:$D$1501,$X314)&amp;"")</f>
        <v/>
      </c>
      <c r="D314">
        <f>IF($X314="","",INDEX('Per Line'!$A$2:$A$1501,$X314))</f>
        <v/>
      </c>
      <c r="E314">
        <f>IF($X314="","",INDEX('Per Line'!$G$2:$G$1501,$X314)&amp;"")</f>
        <v/>
      </c>
      <c r="F314" s="11">
        <f>IF($X314="","",INDEX('Per Line'!$F$2:$F$1501,$X314))</f>
        <v/>
      </c>
      <c r="G314">
        <f>IF($X314="","",INDEX('Per Line'!$I$2:$I$1501,$X314)&amp;"")</f>
        <v/>
      </c>
      <c r="H314">
        <f>IF($X314="","",INDEX('Per Line'!$J$2:$J$1501,$X314)&amp;"")</f>
        <v/>
      </c>
      <c r="I314">
        <f>IF($X314="","",INDEX('Per Line'!$K$2:$K$1501,$X314)&amp;"")</f>
        <v/>
      </c>
      <c r="J314">
        <f>IF($X314="","",INDEX('Per Line'!$M$2:$M$1501,$X314))</f>
        <v/>
      </c>
      <c r="K314" s="7">
        <f>IF($X314="","",J314*V314/100)</f>
        <v/>
      </c>
      <c r="L314">
        <f>IF($X314="","",INDEX('Per Line'!$Y$2:$Y$1501,$X314)&amp;"")</f>
        <v/>
      </c>
      <c r="M314" s="7">
        <f>IF($X314="","",SUMIFS('Per Line'!$U$2:$U$1501,'Per Line'!$AJ$2:$AJ$1501,$A314&amp;"|"&amp;$C314,'Per Line'!$AN$2:$AN$1501,1))</f>
        <v/>
      </c>
      <c r="N314">
        <f>IF($X314="","",Settings!$C$7)</f>
        <v/>
      </c>
      <c r="O314" s="7">
        <f>IF($X314="","",SUMIFS('Per Line'!$U$2:$U$1501,'Per Line'!$AJ$2:$AJ$1501,$A314&amp;"|"&amp;$C314,'Per Line'!$AM$2:$AM$1501,0,'Per Line'!$AN$2:$AN$1501,0))</f>
        <v/>
      </c>
      <c r="P314" s="7">
        <f>IF($X314="","",O314*N314)</f>
        <v/>
      </c>
      <c r="Q314">
        <f>IF($X314="","",Settings!$C$6)</f>
        <v/>
      </c>
      <c r="R314" s="7">
        <f>IF($X314="","",SUMIFS('Per Line'!$U$2:$U$1501,'Per Line'!$AJ$2:$AJ$1501,$A314&amp;"|"&amp;$C314,'Per Line'!$AM$2:$AM$1501,1,'Per Line'!$AN$2:$AN$1501,0))</f>
        <v/>
      </c>
      <c r="S314" s="7">
        <f>IF($X314="","",R314*Q314)</f>
        <v/>
      </c>
      <c r="T314" s="7">
        <f>IF($X314="","",S314+P314)</f>
        <v/>
      </c>
      <c r="U314" s="7">
        <f>IF($X314="","",V314-T314)</f>
        <v/>
      </c>
      <c r="V314" s="7">
        <f>IF($X314="","",O314+R314+M314)</f>
        <v/>
      </c>
      <c r="W314" s="7">
        <f>IF($X314="","",V314-T314-K314)</f>
        <v/>
      </c>
      <c r="X314" s="13">
        <f>IF(ROWS($X$2:$X314)&lt;=MAX('Per Line'!$AL$2:$AL$1501),MATCH(ROWS($X$2:$X314),'Per Line'!$AL$2:$AL$1501,0),"")</f>
        <v/>
      </c>
    </row>
    <row r="315">
      <c r="A315">
        <f>IF($X315="","",INDEX('Per Line'!$C$2:$C$1501,$X315)&amp;"")</f>
        <v/>
      </c>
      <c r="B315" s="12" t="n"/>
      <c r="C315">
        <f>IF($X315="","",INDEX('Per Line'!$D$2:$D$1501,$X315)&amp;"")</f>
        <v/>
      </c>
      <c r="D315">
        <f>IF($X315="","",INDEX('Per Line'!$A$2:$A$1501,$X315))</f>
        <v/>
      </c>
      <c r="E315">
        <f>IF($X315="","",INDEX('Per Line'!$G$2:$G$1501,$X315)&amp;"")</f>
        <v/>
      </c>
      <c r="F315" s="11">
        <f>IF($X315="","",INDEX('Per Line'!$F$2:$F$1501,$X315))</f>
        <v/>
      </c>
      <c r="G315">
        <f>IF($X315="","",INDEX('Per Line'!$I$2:$I$1501,$X315)&amp;"")</f>
        <v/>
      </c>
      <c r="H315">
        <f>IF($X315="","",INDEX('Per Line'!$J$2:$J$1501,$X315)&amp;"")</f>
        <v/>
      </c>
      <c r="I315">
        <f>IF($X315="","",INDEX('Per Line'!$K$2:$K$1501,$X315)&amp;"")</f>
        <v/>
      </c>
      <c r="J315">
        <f>IF($X315="","",INDEX('Per Line'!$M$2:$M$1501,$X315))</f>
        <v/>
      </c>
      <c r="K315" s="7">
        <f>IF($X315="","",J315*V315/100)</f>
        <v/>
      </c>
      <c r="L315">
        <f>IF($X315="","",INDEX('Per Line'!$Y$2:$Y$1501,$X315)&amp;"")</f>
        <v/>
      </c>
      <c r="M315" s="7">
        <f>IF($X315="","",SUMIFS('Per Line'!$U$2:$U$1501,'Per Line'!$AJ$2:$AJ$1501,$A315&amp;"|"&amp;$C315,'Per Line'!$AN$2:$AN$1501,1))</f>
        <v/>
      </c>
      <c r="N315">
        <f>IF($X315="","",Settings!$C$7)</f>
        <v/>
      </c>
      <c r="O315" s="7">
        <f>IF($X315="","",SUMIFS('Per Line'!$U$2:$U$1501,'Per Line'!$AJ$2:$AJ$1501,$A315&amp;"|"&amp;$C315,'Per Line'!$AM$2:$AM$1501,0,'Per Line'!$AN$2:$AN$1501,0))</f>
        <v/>
      </c>
      <c r="P315" s="7">
        <f>IF($X315="","",O315*N315)</f>
        <v/>
      </c>
      <c r="Q315">
        <f>IF($X315="","",Settings!$C$6)</f>
        <v/>
      </c>
      <c r="R315" s="7">
        <f>IF($X315="","",SUMIFS('Per Line'!$U$2:$U$1501,'Per Line'!$AJ$2:$AJ$1501,$A315&amp;"|"&amp;$C315,'Per Line'!$AM$2:$AM$1501,1,'Per Line'!$AN$2:$AN$1501,0))</f>
        <v/>
      </c>
      <c r="S315" s="7">
        <f>IF($X315="","",R315*Q315)</f>
        <v/>
      </c>
      <c r="T315" s="7">
        <f>IF($X315="","",S315+P315)</f>
        <v/>
      </c>
      <c r="U315" s="7">
        <f>IF($X315="","",V315-T315)</f>
        <v/>
      </c>
      <c r="V315" s="7">
        <f>IF($X315="","",O315+R315+M315)</f>
        <v/>
      </c>
      <c r="W315" s="7">
        <f>IF($X315="","",V315-T315-K315)</f>
        <v/>
      </c>
      <c r="X315" s="13">
        <f>IF(ROWS($X$2:$X315)&lt;=MAX('Per Line'!$AL$2:$AL$1501),MATCH(ROWS($X$2:$X315),'Per Line'!$AL$2:$AL$1501,0),"")</f>
        <v/>
      </c>
    </row>
    <row r="316">
      <c r="A316">
        <f>IF($X316="","",INDEX('Per Line'!$C$2:$C$1501,$X316)&amp;"")</f>
        <v/>
      </c>
      <c r="B316" s="12" t="n"/>
      <c r="C316">
        <f>IF($X316="","",INDEX('Per Line'!$D$2:$D$1501,$X316)&amp;"")</f>
        <v/>
      </c>
      <c r="D316">
        <f>IF($X316="","",INDEX('Per Line'!$A$2:$A$1501,$X316))</f>
        <v/>
      </c>
      <c r="E316">
        <f>IF($X316="","",INDEX('Per Line'!$G$2:$G$1501,$X316)&amp;"")</f>
        <v/>
      </c>
      <c r="F316" s="11">
        <f>IF($X316="","",INDEX('Per Line'!$F$2:$F$1501,$X316))</f>
        <v/>
      </c>
      <c r="G316">
        <f>IF($X316="","",INDEX('Per Line'!$I$2:$I$1501,$X316)&amp;"")</f>
        <v/>
      </c>
      <c r="H316">
        <f>IF($X316="","",INDEX('Per Line'!$J$2:$J$1501,$X316)&amp;"")</f>
        <v/>
      </c>
      <c r="I316">
        <f>IF($X316="","",INDEX('Per Line'!$K$2:$K$1501,$X316)&amp;"")</f>
        <v/>
      </c>
      <c r="J316">
        <f>IF($X316="","",INDEX('Per Line'!$M$2:$M$1501,$X316))</f>
        <v/>
      </c>
      <c r="K316" s="7">
        <f>IF($X316="","",J316*V316/100)</f>
        <v/>
      </c>
      <c r="L316">
        <f>IF($X316="","",INDEX('Per Line'!$Y$2:$Y$1501,$X316)&amp;"")</f>
        <v/>
      </c>
      <c r="M316" s="7">
        <f>IF($X316="","",SUMIFS('Per Line'!$U$2:$U$1501,'Per Line'!$AJ$2:$AJ$1501,$A316&amp;"|"&amp;$C316,'Per Line'!$AN$2:$AN$1501,1))</f>
        <v/>
      </c>
      <c r="N316">
        <f>IF($X316="","",Settings!$C$7)</f>
        <v/>
      </c>
      <c r="O316" s="7">
        <f>IF($X316="","",SUMIFS('Per Line'!$U$2:$U$1501,'Per Line'!$AJ$2:$AJ$1501,$A316&amp;"|"&amp;$C316,'Per Line'!$AM$2:$AM$1501,0,'Per Line'!$AN$2:$AN$1501,0))</f>
        <v/>
      </c>
      <c r="P316" s="7">
        <f>IF($X316="","",O316*N316)</f>
        <v/>
      </c>
      <c r="Q316">
        <f>IF($X316="","",Settings!$C$6)</f>
        <v/>
      </c>
      <c r="R316" s="7">
        <f>IF($X316="","",SUMIFS('Per Line'!$U$2:$U$1501,'Per Line'!$AJ$2:$AJ$1501,$A316&amp;"|"&amp;$C316,'Per Line'!$AM$2:$AM$1501,1,'Per Line'!$AN$2:$AN$1501,0))</f>
        <v/>
      </c>
      <c r="S316" s="7">
        <f>IF($X316="","",R316*Q316)</f>
        <v/>
      </c>
      <c r="T316" s="7">
        <f>IF($X316="","",S316+P316)</f>
        <v/>
      </c>
      <c r="U316" s="7">
        <f>IF($X316="","",V316-T316)</f>
        <v/>
      </c>
      <c r="V316" s="7">
        <f>IF($X316="","",O316+R316+M316)</f>
        <v/>
      </c>
      <c r="W316" s="7">
        <f>IF($X316="","",V316-T316-K316)</f>
        <v/>
      </c>
      <c r="X316" s="13">
        <f>IF(ROWS($X$2:$X316)&lt;=MAX('Per Line'!$AL$2:$AL$1501),MATCH(ROWS($X$2:$X316),'Per Line'!$AL$2:$AL$1501,0),"")</f>
        <v/>
      </c>
    </row>
    <row r="317">
      <c r="A317">
        <f>IF($X317="","",INDEX('Per Line'!$C$2:$C$1501,$X317)&amp;"")</f>
        <v/>
      </c>
      <c r="B317" s="12" t="n"/>
      <c r="C317">
        <f>IF($X317="","",INDEX('Per Line'!$D$2:$D$1501,$X317)&amp;"")</f>
        <v/>
      </c>
      <c r="D317">
        <f>IF($X317="","",INDEX('Per Line'!$A$2:$A$1501,$X317))</f>
        <v/>
      </c>
      <c r="E317">
        <f>IF($X317="","",INDEX('Per Line'!$G$2:$G$1501,$X317)&amp;"")</f>
        <v/>
      </c>
      <c r="F317" s="11">
        <f>IF($X317="","",INDEX('Per Line'!$F$2:$F$1501,$X317))</f>
        <v/>
      </c>
      <c r="G317">
        <f>IF($X317="","",INDEX('Per Line'!$I$2:$I$1501,$X317)&amp;"")</f>
        <v/>
      </c>
      <c r="H317">
        <f>IF($X317="","",INDEX('Per Line'!$J$2:$J$1501,$X317)&amp;"")</f>
        <v/>
      </c>
      <c r="I317">
        <f>IF($X317="","",INDEX('Per Line'!$K$2:$K$1501,$X317)&amp;"")</f>
        <v/>
      </c>
      <c r="J317">
        <f>IF($X317="","",INDEX('Per Line'!$M$2:$M$1501,$X317))</f>
        <v/>
      </c>
      <c r="K317" s="7">
        <f>IF($X317="","",J317*V317/100)</f>
        <v/>
      </c>
      <c r="L317">
        <f>IF($X317="","",INDEX('Per Line'!$Y$2:$Y$1501,$X317)&amp;"")</f>
        <v/>
      </c>
      <c r="M317" s="7">
        <f>IF($X317="","",SUMIFS('Per Line'!$U$2:$U$1501,'Per Line'!$AJ$2:$AJ$1501,$A317&amp;"|"&amp;$C317,'Per Line'!$AN$2:$AN$1501,1))</f>
        <v/>
      </c>
      <c r="N317">
        <f>IF($X317="","",Settings!$C$7)</f>
        <v/>
      </c>
      <c r="O317" s="7">
        <f>IF($X317="","",SUMIFS('Per Line'!$U$2:$U$1501,'Per Line'!$AJ$2:$AJ$1501,$A317&amp;"|"&amp;$C317,'Per Line'!$AM$2:$AM$1501,0,'Per Line'!$AN$2:$AN$1501,0))</f>
        <v/>
      </c>
      <c r="P317" s="7">
        <f>IF($X317="","",O317*N317)</f>
        <v/>
      </c>
      <c r="Q317">
        <f>IF($X317="","",Settings!$C$6)</f>
        <v/>
      </c>
      <c r="R317" s="7">
        <f>IF($X317="","",SUMIFS('Per Line'!$U$2:$U$1501,'Per Line'!$AJ$2:$AJ$1501,$A317&amp;"|"&amp;$C317,'Per Line'!$AM$2:$AM$1501,1,'Per Line'!$AN$2:$AN$1501,0))</f>
        <v/>
      </c>
      <c r="S317" s="7">
        <f>IF($X317="","",R317*Q317)</f>
        <v/>
      </c>
      <c r="T317" s="7">
        <f>IF($X317="","",S317+P317)</f>
        <v/>
      </c>
      <c r="U317" s="7">
        <f>IF($X317="","",V317-T317)</f>
        <v/>
      </c>
      <c r="V317" s="7">
        <f>IF($X317="","",O317+R317+M317)</f>
        <v/>
      </c>
      <c r="W317" s="7">
        <f>IF($X317="","",V317-T317-K317)</f>
        <v/>
      </c>
      <c r="X317" s="13">
        <f>IF(ROWS($X$2:$X317)&lt;=MAX('Per Line'!$AL$2:$AL$1501),MATCH(ROWS($X$2:$X317),'Per Line'!$AL$2:$AL$1501,0),"")</f>
        <v/>
      </c>
    </row>
    <row r="318">
      <c r="A318">
        <f>IF($X318="","",INDEX('Per Line'!$C$2:$C$1501,$X318)&amp;"")</f>
        <v/>
      </c>
      <c r="B318" s="12" t="n"/>
      <c r="C318">
        <f>IF($X318="","",INDEX('Per Line'!$D$2:$D$1501,$X318)&amp;"")</f>
        <v/>
      </c>
      <c r="D318">
        <f>IF($X318="","",INDEX('Per Line'!$A$2:$A$1501,$X318))</f>
        <v/>
      </c>
      <c r="E318">
        <f>IF($X318="","",INDEX('Per Line'!$G$2:$G$1501,$X318)&amp;"")</f>
        <v/>
      </c>
      <c r="F318" s="11">
        <f>IF($X318="","",INDEX('Per Line'!$F$2:$F$1501,$X318))</f>
        <v/>
      </c>
      <c r="G318">
        <f>IF($X318="","",INDEX('Per Line'!$I$2:$I$1501,$X318)&amp;"")</f>
        <v/>
      </c>
      <c r="H318">
        <f>IF($X318="","",INDEX('Per Line'!$J$2:$J$1501,$X318)&amp;"")</f>
        <v/>
      </c>
      <c r="I318">
        <f>IF($X318="","",INDEX('Per Line'!$K$2:$K$1501,$X318)&amp;"")</f>
        <v/>
      </c>
      <c r="J318">
        <f>IF($X318="","",INDEX('Per Line'!$M$2:$M$1501,$X318))</f>
        <v/>
      </c>
      <c r="K318" s="7">
        <f>IF($X318="","",J318*V318/100)</f>
        <v/>
      </c>
      <c r="L318">
        <f>IF($X318="","",INDEX('Per Line'!$Y$2:$Y$1501,$X318)&amp;"")</f>
        <v/>
      </c>
      <c r="M318" s="7">
        <f>IF($X318="","",SUMIFS('Per Line'!$U$2:$U$1501,'Per Line'!$AJ$2:$AJ$1501,$A318&amp;"|"&amp;$C318,'Per Line'!$AN$2:$AN$1501,1))</f>
        <v/>
      </c>
      <c r="N318">
        <f>IF($X318="","",Settings!$C$7)</f>
        <v/>
      </c>
      <c r="O318" s="7">
        <f>IF($X318="","",SUMIFS('Per Line'!$U$2:$U$1501,'Per Line'!$AJ$2:$AJ$1501,$A318&amp;"|"&amp;$C318,'Per Line'!$AM$2:$AM$1501,0,'Per Line'!$AN$2:$AN$1501,0))</f>
        <v/>
      </c>
      <c r="P318" s="7">
        <f>IF($X318="","",O318*N318)</f>
        <v/>
      </c>
      <c r="Q318">
        <f>IF($X318="","",Settings!$C$6)</f>
        <v/>
      </c>
      <c r="R318" s="7">
        <f>IF($X318="","",SUMIFS('Per Line'!$U$2:$U$1501,'Per Line'!$AJ$2:$AJ$1501,$A318&amp;"|"&amp;$C318,'Per Line'!$AM$2:$AM$1501,1,'Per Line'!$AN$2:$AN$1501,0))</f>
        <v/>
      </c>
      <c r="S318" s="7">
        <f>IF($X318="","",R318*Q318)</f>
        <v/>
      </c>
      <c r="T318" s="7">
        <f>IF($X318="","",S318+P318)</f>
        <v/>
      </c>
      <c r="U318" s="7">
        <f>IF($X318="","",V318-T318)</f>
        <v/>
      </c>
      <c r="V318" s="7">
        <f>IF($X318="","",O318+R318+M318)</f>
        <v/>
      </c>
      <c r="W318" s="7">
        <f>IF($X318="","",V318-T318-K318)</f>
        <v/>
      </c>
      <c r="X318" s="13">
        <f>IF(ROWS($X$2:$X318)&lt;=MAX('Per Line'!$AL$2:$AL$1501),MATCH(ROWS($X$2:$X318),'Per Line'!$AL$2:$AL$1501,0),"")</f>
        <v/>
      </c>
    </row>
    <row r="319">
      <c r="A319">
        <f>IF($X319="","",INDEX('Per Line'!$C$2:$C$1501,$X319)&amp;"")</f>
        <v/>
      </c>
      <c r="B319" s="12" t="n"/>
      <c r="C319">
        <f>IF($X319="","",INDEX('Per Line'!$D$2:$D$1501,$X319)&amp;"")</f>
        <v/>
      </c>
      <c r="D319">
        <f>IF($X319="","",INDEX('Per Line'!$A$2:$A$1501,$X319))</f>
        <v/>
      </c>
      <c r="E319">
        <f>IF($X319="","",INDEX('Per Line'!$G$2:$G$1501,$X319)&amp;"")</f>
        <v/>
      </c>
      <c r="F319" s="11">
        <f>IF($X319="","",INDEX('Per Line'!$F$2:$F$1501,$X319))</f>
        <v/>
      </c>
      <c r="G319">
        <f>IF($X319="","",INDEX('Per Line'!$I$2:$I$1501,$X319)&amp;"")</f>
        <v/>
      </c>
      <c r="H319">
        <f>IF($X319="","",INDEX('Per Line'!$J$2:$J$1501,$X319)&amp;"")</f>
        <v/>
      </c>
      <c r="I319">
        <f>IF($X319="","",INDEX('Per Line'!$K$2:$K$1501,$X319)&amp;"")</f>
        <v/>
      </c>
      <c r="J319">
        <f>IF($X319="","",INDEX('Per Line'!$M$2:$M$1501,$X319))</f>
        <v/>
      </c>
      <c r="K319" s="7">
        <f>IF($X319="","",J319*V319/100)</f>
        <v/>
      </c>
      <c r="L319">
        <f>IF($X319="","",INDEX('Per Line'!$Y$2:$Y$1501,$X319)&amp;"")</f>
        <v/>
      </c>
      <c r="M319" s="7">
        <f>IF($X319="","",SUMIFS('Per Line'!$U$2:$U$1501,'Per Line'!$AJ$2:$AJ$1501,$A319&amp;"|"&amp;$C319,'Per Line'!$AN$2:$AN$1501,1))</f>
        <v/>
      </c>
      <c r="N319">
        <f>IF($X319="","",Settings!$C$7)</f>
        <v/>
      </c>
      <c r="O319" s="7">
        <f>IF($X319="","",SUMIFS('Per Line'!$U$2:$U$1501,'Per Line'!$AJ$2:$AJ$1501,$A319&amp;"|"&amp;$C319,'Per Line'!$AM$2:$AM$1501,0,'Per Line'!$AN$2:$AN$1501,0))</f>
        <v/>
      </c>
      <c r="P319" s="7">
        <f>IF($X319="","",O319*N319)</f>
        <v/>
      </c>
      <c r="Q319">
        <f>IF($X319="","",Settings!$C$6)</f>
        <v/>
      </c>
      <c r="R319" s="7">
        <f>IF($X319="","",SUMIFS('Per Line'!$U$2:$U$1501,'Per Line'!$AJ$2:$AJ$1501,$A319&amp;"|"&amp;$C319,'Per Line'!$AM$2:$AM$1501,1,'Per Line'!$AN$2:$AN$1501,0))</f>
        <v/>
      </c>
      <c r="S319" s="7">
        <f>IF($X319="","",R319*Q319)</f>
        <v/>
      </c>
      <c r="T319" s="7">
        <f>IF($X319="","",S319+P319)</f>
        <v/>
      </c>
      <c r="U319" s="7">
        <f>IF($X319="","",V319-T319)</f>
        <v/>
      </c>
      <c r="V319" s="7">
        <f>IF($X319="","",O319+R319+M319)</f>
        <v/>
      </c>
      <c r="W319" s="7">
        <f>IF($X319="","",V319-T319-K319)</f>
        <v/>
      </c>
      <c r="X319" s="13">
        <f>IF(ROWS($X$2:$X319)&lt;=MAX('Per Line'!$AL$2:$AL$1501),MATCH(ROWS($X$2:$X319),'Per Line'!$AL$2:$AL$1501,0),"")</f>
        <v/>
      </c>
    </row>
    <row r="320">
      <c r="A320">
        <f>IF($X320="","",INDEX('Per Line'!$C$2:$C$1501,$X320)&amp;"")</f>
        <v/>
      </c>
      <c r="B320" s="12" t="n"/>
      <c r="C320">
        <f>IF($X320="","",INDEX('Per Line'!$D$2:$D$1501,$X320)&amp;"")</f>
        <v/>
      </c>
      <c r="D320">
        <f>IF($X320="","",INDEX('Per Line'!$A$2:$A$1501,$X320))</f>
        <v/>
      </c>
      <c r="E320">
        <f>IF($X320="","",INDEX('Per Line'!$G$2:$G$1501,$X320)&amp;"")</f>
        <v/>
      </c>
      <c r="F320" s="11">
        <f>IF($X320="","",INDEX('Per Line'!$F$2:$F$1501,$X320))</f>
        <v/>
      </c>
      <c r="G320">
        <f>IF($X320="","",INDEX('Per Line'!$I$2:$I$1501,$X320)&amp;"")</f>
        <v/>
      </c>
      <c r="H320">
        <f>IF($X320="","",INDEX('Per Line'!$J$2:$J$1501,$X320)&amp;"")</f>
        <v/>
      </c>
      <c r="I320">
        <f>IF($X320="","",INDEX('Per Line'!$K$2:$K$1501,$X320)&amp;"")</f>
        <v/>
      </c>
      <c r="J320">
        <f>IF($X320="","",INDEX('Per Line'!$M$2:$M$1501,$X320))</f>
        <v/>
      </c>
      <c r="K320" s="7">
        <f>IF($X320="","",J320*V320/100)</f>
        <v/>
      </c>
      <c r="L320">
        <f>IF($X320="","",INDEX('Per Line'!$Y$2:$Y$1501,$X320)&amp;"")</f>
        <v/>
      </c>
      <c r="M320" s="7">
        <f>IF($X320="","",SUMIFS('Per Line'!$U$2:$U$1501,'Per Line'!$AJ$2:$AJ$1501,$A320&amp;"|"&amp;$C320,'Per Line'!$AN$2:$AN$1501,1))</f>
        <v/>
      </c>
      <c r="N320">
        <f>IF($X320="","",Settings!$C$7)</f>
        <v/>
      </c>
      <c r="O320" s="7">
        <f>IF($X320="","",SUMIFS('Per Line'!$U$2:$U$1501,'Per Line'!$AJ$2:$AJ$1501,$A320&amp;"|"&amp;$C320,'Per Line'!$AM$2:$AM$1501,0,'Per Line'!$AN$2:$AN$1501,0))</f>
        <v/>
      </c>
      <c r="P320" s="7">
        <f>IF($X320="","",O320*N320)</f>
        <v/>
      </c>
      <c r="Q320">
        <f>IF($X320="","",Settings!$C$6)</f>
        <v/>
      </c>
      <c r="R320" s="7">
        <f>IF($X320="","",SUMIFS('Per Line'!$U$2:$U$1501,'Per Line'!$AJ$2:$AJ$1501,$A320&amp;"|"&amp;$C320,'Per Line'!$AM$2:$AM$1501,1,'Per Line'!$AN$2:$AN$1501,0))</f>
        <v/>
      </c>
      <c r="S320" s="7">
        <f>IF($X320="","",R320*Q320)</f>
        <v/>
      </c>
      <c r="T320" s="7">
        <f>IF($X320="","",S320+P320)</f>
        <v/>
      </c>
      <c r="U320" s="7">
        <f>IF($X320="","",V320-T320)</f>
        <v/>
      </c>
      <c r="V320" s="7">
        <f>IF($X320="","",O320+R320+M320)</f>
        <v/>
      </c>
      <c r="W320" s="7">
        <f>IF($X320="","",V320-T320-K320)</f>
        <v/>
      </c>
      <c r="X320" s="13">
        <f>IF(ROWS($X$2:$X320)&lt;=MAX('Per Line'!$AL$2:$AL$1501),MATCH(ROWS($X$2:$X320),'Per Line'!$AL$2:$AL$1501,0),"")</f>
        <v/>
      </c>
    </row>
    <row r="321">
      <c r="A321">
        <f>IF($X321="","",INDEX('Per Line'!$C$2:$C$1501,$X321)&amp;"")</f>
        <v/>
      </c>
      <c r="B321" s="12" t="n"/>
      <c r="C321">
        <f>IF($X321="","",INDEX('Per Line'!$D$2:$D$1501,$X321)&amp;"")</f>
        <v/>
      </c>
      <c r="D321">
        <f>IF($X321="","",INDEX('Per Line'!$A$2:$A$1501,$X321))</f>
        <v/>
      </c>
      <c r="E321">
        <f>IF($X321="","",INDEX('Per Line'!$G$2:$G$1501,$X321)&amp;"")</f>
        <v/>
      </c>
      <c r="F321" s="11">
        <f>IF($X321="","",INDEX('Per Line'!$F$2:$F$1501,$X321))</f>
        <v/>
      </c>
      <c r="G321">
        <f>IF($X321="","",INDEX('Per Line'!$I$2:$I$1501,$X321)&amp;"")</f>
        <v/>
      </c>
      <c r="H321">
        <f>IF($X321="","",INDEX('Per Line'!$J$2:$J$1501,$X321)&amp;"")</f>
        <v/>
      </c>
      <c r="I321">
        <f>IF($X321="","",INDEX('Per Line'!$K$2:$K$1501,$X321)&amp;"")</f>
        <v/>
      </c>
      <c r="J321">
        <f>IF($X321="","",INDEX('Per Line'!$M$2:$M$1501,$X321))</f>
        <v/>
      </c>
      <c r="K321" s="7">
        <f>IF($X321="","",J321*V321/100)</f>
        <v/>
      </c>
      <c r="L321">
        <f>IF($X321="","",INDEX('Per Line'!$Y$2:$Y$1501,$X321)&amp;"")</f>
        <v/>
      </c>
      <c r="M321" s="7">
        <f>IF($X321="","",SUMIFS('Per Line'!$U$2:$U$1501,'Per Line'!$AJ$2:$AJ$1501,$A321&amp;"|"&amp;$C321,'Per Line'!$AN$2:$AN$1501,1))</f>
        <v/>
      </c>
      <c r="N321">
        <f>IF($X321="","",Settings!$C$7)</f>
        <v/>
      </c>
      <c r="O321" s="7">
        <f>IF($X321="","",SUMIFS('Per Line'!$U$2:$U$1501,'Per Line'!$AJ$2:$AJ$1501,$A321&amp;"|"&amp;$C321,'Per Line'!$AM$2:$AM$1501,0,'Per Line'!$AN$2:$AN$1501,0))</f>
        <v/>
      </c>
      <c r="P321" s="7">
        <f>IF($X321="","",O321*N321)</f>
        <v/>
      </c>
      <c r="Q321">
        <f>IF($X321="","",Settings!$C$6)</f>
        <v/>
      </c>
      <c r="R321" s="7">
        <f>IF($X321="","",SUMIFS('Per Line'!$U$2:$U$1501,'Per Line'!$AJ$2:$AJ$1501,$A321&amp;"|"&amp;$C321,'Per Line'!$AM$2:$AM$1501,1,'Per Line'!$AN$2:$AN$1501,0))</f>
        <v/>
      </c>
      <c r="S321" s="7">
        <f>IF($X321="","",R321*Q321)</f>
        <v/>
      </c>
      <c r="T321" s="7">
        <f>IF($X321="","",S321+P321)</f>
        <v/>
      </c>
      <c r="U321" s="7">
        <f>IF($X321="","",V321-T321)</f>
        <v/>
      </c>
      <c r="V321" s="7">
        <f>IF($X321="","",O321+R321+M321)</f>
        <v/>
      </c>
      <c r="W321" s="7">
        <f>IF($X321="","",V321-T321-K321)</f>
        <v/>
      </c>
      <c r="X321" s="13">
        <f>IF(ROWS($X$2:$X321)&lt;=MAX('Per Line'!$AL$2:$AL$1501),MATCH(ROWS($X$2:$X321),'Per Line'!$AL$2:$AL$1501,0),"")</f>
        <v/>
      </c>
    </row>
    <row r="322">
      <c r="A322">
        <f>IF($X322="","",INDEX('Per Line'!$C$2:$C$1501,$X322)&amp;"")</f>
        <v/>
      </c>
      <c r="B322" s="12" t="n"/>
      <c r="C322">
        <f>IF($X322="","",INDEX('Per Line'!$D$2:$D$1501,$X322)&amp;"")</f>
        <v/>
      </c>
      <c r="D322">
        <f>IF($X322="","",INDEX('Per Line'!$A$2:$A$1501,$X322))</f>
        <v/>
      </c>
      <c r="E322">
        <f>IF($X322="","",INDEX('Per Line'!$G$2:$G$1501,$X322)&amp;"")</f>
        <v/>
      </c>
      <c r="F322" s="11">
        <f>IF($X322="","",INDEX('Per Line'!$F$2:$F$1501,$X322))</f>
        <v/>
      </c>
      <c r="G322">
        <f>IF($X322="","",INDEX('Per Line'!$I$2:$I$1501,$X322)&amp;"")</f>
        <v/>
      </c>
      <c r="H322">
        <f>IF($X322="","",INDEX('Per Line'!$J$2:$J$1501,$X322)&amp;"")</f>
        <v/>
      </c>
      <c r="I322">
        <f>IF($X322="","",INDEX('Per Line'!$K$2:$K$1501,$X322)&amp;"")</f>
        <v/>
      </c>
      <c r="J322">
        <f>IF($X322="","",INDEX('Per Line'!$M$2:$M$1501,$X322))</f>
        <v/>
      </c>
      <c r="K322" s="7">
        <f>IF($X322="","",J322*V322/100)</f>
        <v/>
      </c>
      <c r="L322">
        <f>IF($X322="","",INDEX('Per Line'!$Y$2:$Y$1501,$X322)&amp;"")</f>
        <v/>
      </c>
      <c r="M322" s="7">
        <f>IF($X322="","",SUMIFS('Per Line'!$U$2:$U$1501,'Per Line'!$AJ$2:$AJ$1501,$A322&amp;"|"&amp;$C322,'Per Line'!$AN$2:$AN$1501,1))</f>
        <v/>
      </c>
      <c r="N322">
        <f>IF($X322="","",Settings!$C$7)</f>
        <v/>
      </c>
      <c r="O322" s="7">
        <f>IF($X322="","",SUMIFS('Per Line'!$U$2:$U$1501,'Per Line'!$AJ$2:$AJ$1501,$A322&amp;"|"&amp;$C322,'Per Line'!$AM$2:$AM$1501,0,'Per Line'!$AN$2:$AN$1501,0))</f>
        <v/>
      </c>
      <c r="P322" s="7">
        <f>IF($X322="","",O322*N322)</f>
        <v/>
      </c>
      <c r="Q322">
        <f>IF($X322="","",Settings!$C$6)</f>
        <v/>
      </c>
      <c r="R322" s="7">
        <f>IF($X322="","",SUMIFS('Per Line'!$U$2:$U$1501,'Per Line'!$AJ$2:$AJ$1501,$A322&amp;"|"&amp;$C322,'Per Line'!$AM$2:$AM$1501,1,'Per Line'!$AN$2:$AN$1501,0))</f>
        <v/>
      </c>
      <c r="S322" s="7">
        <f>IF($X322="","",R322*Q322)</f>
        <v/>
      </c>
      <c r="T322" s="7">
        <f>IF($X322="","",S322+P322)</f>
        <v/>
      </c>
      <c r="U322" s="7">
        <f>IF($X322="","",V322-T322)</f>
        <v/>
      </c>
      <c r="V322" s="7">
        <f>IF($X322="","",O322+R322+M322)</f>
        <v/>
      </c>
      <c r="W322" s="7">
        <f>IF($X322="","",V322-T322-K322)</f>
        <v/>
      </c>
      <c r="X322" s="13">
        <f>IF(ROWS($X$2:$X322)&lt;=MAX('Per Line'!$AL$2:$AL$1501),MATCH(ROWS($X$2:$X322),'Per Line'!$AL$2:$AL$1501,0),"")</f>
        <v/>
      </c>
    </row>
    <row r="323">
      <c r="A323">
        <f>IF($X323="","",INDEX('Per Line'!$C$2:$C$1501,$X323)&amp;"")</f>
        <v/>
      </c>
      <c r="B323" s="12" t="n"/>
      <c r="C323">
        <f>IF($X323="","",INDEX('Per Line'!$D$2:$D$1501,$X323)&amp;"")</f>
        <v/>
      </c>
      <c r="D323">
        <f>IF($X323="","",INDEX('Per Line'!$A$2:$A$1501,$X323))</f>
        <v/>
      </c>
      <c r="E323">
        <f>IF($X323="","",INDEX('Per Line'!$G$2:$G$1501,$X323)&amp;"")</f>
        <v/>
      </c>
      <c r="F323" s="11">
        <f>IF($X323="","",INDEX('Per Line'!$F$2:$F$1501,$X323))</f>
        <v/>
      </c>
      <c r="G323">
        <f>IF($X323="","",INDEX('Per Line'!$I$2:$I$1501,$X323)&amp;"")</f>
        <v/>
      </c>
      <c r="H323">
        <f>IF($X323="","",INDEX('Per Line'!$J$2:$J$1501,$X323)&amp;"")</f>
        <v/>
      </c>
      <c r="I323">
        <f>IF($X323="","",INDEX('Per Line'!$K$2:$K$1501,$X323)&amp;"")</f>
        <v/>
      </c>
      <c r="J323">
        <f>IF($X323="","",INDEX('Per Line'!$M$2:$M$1501,$X323))</f>
        <v/>
      </c>
      <c r="K323" s="7">
        <f>IF($X323="","",J323*V323/100)</f>
        <v/>
      </c>
      <c r="L323">
        <f>IF($X323="","",INDEX('Per Line'!$Y$2:$Y$1501,$X323)&amp;"")</f>
        <v/>
      </c>
      <c r="M323" s="7">
        <f>IF($X323="","",SUMIFS('Per Line'!$U$2:$U$1501,'Per Line'!$AJ$2:$AJ$1501,$A323&amp;"|"&amp;$C323,'Per Line'!$AN$2:$AN$1501,1))</f>
        <v/>
      </c>
      <c r="N323">
        <f>IF($X323="","",Settings!$C$7)</f>
        <v/>
      </c>
      <c r="O323" s="7">
        <f>IF($X323="","",SUMIFS('Per Line'!$U$2:$U$1501,'Per Line'!$AJ$2:$AJ$1501,$A323&amp;"|"&amp;$C323,'Per Line'!$AM$2:$AM$1501,0,'Per Line'!$AN$2:$AN$1501,0))</f>
        <v/>
      </c>
      <c r="P323" s="7">
        <f>IF($X323="","",O323*N323)</f>
        <v/>
      </c>
      <c r="Q323">
        <f>IF($X323="","",Settings!$C$6)</f>
        <v/>
      </c>
      <c r="R323" s="7">
        <f>IF($X323="","",SUMIFS('Per Line'!$U$2:$U$1501,'Per Line'!$AJ$2:$AJ$1501,$A323&amp;"|"&amp;$C323,'Per Line'!$AM$2:$AM$1501,1,'Per Line'!$AN$2:$AN$1501,0))</f>
        <v/>
      </c>
      <c r="S323" s="7">
        <f>IF($X323="","",R323*Q323)</f>
        <v/>
      </c>
      <c r="T323" s="7">
        <f>IF($X323="","",S323+P323)</f>
        <v/>
      </c>
      <c r="U323" s="7">
        <f>IF($X323="","",V323-T323)</f>
        <v/>
      </c>
      <c r="V323" s="7">
        <f>IF($X323="","",O323+R323+M323)</f>
        <v/>
      </c>
      <c r="W323" s="7">
        <f>IF($X323="","",V323-T323-K323)</f>
        <v/>
      </c>
      <c r="X323" s="13">
        <f>IF(ROWS($X$2:$X323)&lt;=MAX('Per Line'!$AL$2:$AL$1501),MATCH(ROWS($X$2:$X323),'Per Line'!$AL$2:$AL$1501,0),"")</f>
        <v/>
      </c>
    </row>
    <row r="324">
      <c r="A324">
        <f>IF($X324="","",INDEX('Per Line'!$C$2:$C$1501,$X324)&amp;"")</f>
        <v/>
      </c>
      <c r="B324" s="12" t="n"/>
      <c r="C324">
        <f>IF($X324="","",INDEX('Per Line'!$D$2:$D$1501,$X324)&amp;"")</f>
        <v/>
      </c>
      <c r="D324">
        <f>IF($X324="","",INDEX('Per Line'!$A$2:$A$1501,$X324))</f>
        <v/>
      </c>
      <c r="E324">
        <f>IF($X324="","",INDEX('Per Line'!$G$2:$G$1501,$X324)&amp;"")</f>
        <v/>
      </c>
      <c r="F324" s="11">
        <f>IF($X324="","",INDEX('Per Line'!$F$2:$F$1501,$X324))</f>
        <v/>
      </c>
      <c r="G324">
        <f>IF($X324="","",INDEX('Per Line'!$I$2:$I$1501,$X324)&amp;"")</f>
        <v/>
      </c>
      <c r="H324">
        <f>IF($X324="","",INDEX('Per Line'!$J$2:$J$1501,$X324)&amp;"")</f>
        <v/>
      </c>
      <c r="I324">
        <f>IF($X324="","",INDEX('Per Line'!$K$2:$K$1501,$X324)&amp;"")</f>
        <v/>
      </c>
      <c r="J324">
        <f>IF($X324="","",INDEX('Per Line'!$M$2:$M$1501,$X324))</f>
        <v/>
      </c>
      <c r="K324" s="7">
        <f>IF($X324="","",J324*V324/100)</f>
        <v/>
      </c>
      <c r="L324">
        <f>IF($X324="","",INDEX('Per Line'!$Y$2:$Y$1501,$X324)&amp;"")</f>
        <v/>
      </c>
      <c r="M324" s="7">
        <f>IF($X324="","",SUMIFS('Per Line'!$U$2:$U$1501,'Per Line'!$AJ$2:$AJ$1501,$A324&amp;"|"&amp;$C324,'Per Line'!$AN$2:$AN$1501,1))</f>
        <v/>
      </c>
      <c r="N324">
        <f>IF($X324="","",Settings!$C$7)</f>
        <v/>
      </c>
      <c r="O324" s="7">
        <f>IF($X324="","",SUMIFS('Per Line'!$U$2:$U$1501,'Per Line'!$AJ$2:$AJ$1501,$A324&amp;"|"&amp;$C324,'Per Line'!$AM$2:$AM$1501,0,'Per Line'!$AN$2:$AN$1501,0))</f>
        <v/>
      </c>
      <c r="P324" s="7">
        <f>IF($X324="","",O324*N324)</f>
        <v/>
      </c>
      <c r="Q324">
        <f>IF($X324="","",Settings!$C$6)</f>
        <v/>
      </c>
      <c r="R324" s="7">
        <f>IF($X324="","",SUMIFS('Per Line'!$U$2:$U$1501,'Per Line'!$AJ$2:$AJ$1501,$A324&amp;"|"&amp;$C324,'Per Line'!$AM$2:$AM$1501,1,'Per Line'!$AN$2:$AN$1501,0))</f>
        <v/>
      </c>
      <c r="S324" s="7">
        <f>IF($X324="","",R324*Q324)</f>
        <v/>
      </c>
      <c r="T324" s="7">
        <f>IF($X324="","",S324+P324)</f>
        <v/>
      </c>
      <c r="U324" s="7">
        <f>IF($X324="","",V324-T324)</f>
        <v/>
      </c>
      <c r="V324" s="7">
        <f>IF($X324="","",O324+R324+M324)</f>
        <v/>
      </c>
      <c r="W324" s="7">
        <f>IF($X324="","",V324-T324-K324)</f>
        <v/>
      </c>
      <c r="X324" s="13">
        <f>IF(ROWS($X$2:$X324)&lt;=MAX('Per Line'!$AL$2:$AL$1501),MATCH(ROWS($X$2:$X324),'Per Line'!$AL$2:$AL$1501,0),"")</f>
        <v/>
      </c>
    </row>
    <row r="325">
      <c r="A325">
        <f>IF($X325="","",INDEX('Per Line'!$C$2:$C$1501,$X325)&amp;"")</f>
        <v/>
      </c>
      <c r="B325" s="12" t="n"/>
      <c r="C325">
        <f>IF($X325="","",INDEX('Per Line'!$D$2:$D$1501,$X325)&amp;"")</f>
        <v/>
      </c>
      <c r="D325">
        <f>IF($X325="","",INDEX('Per Line'!$A$2:$A$1501,$X325))</f>
        <v/>
      </c>
      <c r="E325">
        <f>IF($X325="","",INDEX('Per Line'!$G$2:$G$1501,$X325)&amp;"")</f>
        <v/>
      </c>
      <c r="F325" s="11">
        <f>IF($X325="","",INDEX('Per Line'!$F$2:$F$1501,$X325))</f>
        <v/>
      </c>
      <c r="G325">
        <f>IF($X325="","",INDEX('Per Line'!$I$2:$I$1501,$X325)&amp;"")</f>
        <v/>
      </c>
      <c r="H325">
        <f>IF($X325="","",INDEX('Per Line'!$J$2:$J$1501,$X325)&amp;"")</f>
        <v/>
      </c>
      <c r="I325">
        <f>IF($X325="","",INDEX('Per Line'!$K$2:$K$1501,$X325)&amp;"")</f>
        <v/>
      </c>
      <c r="J325">
        <f>IF($X325="","",INDEX('Per Line'!$M$2:$M$1501,$X325))</f>
        <v/>
      </c>
      <c r="K325" s="7">
        <f>IF($X325="","",J325*V325/100)</f>
        <v/>
      </c>
      <c r="L325">
        <f>IF($X325="","",INDEX('Per Line'!$Y$2:$Y$1501,$X325)&amp;"")</f>
        <v/>
      </c>
      <c r="M325" s="7">
        <f>IF($X325="","",SUMIFS('Per Line'!$U$2:$U$1501,'Per Line'!$AJ$2:$AJ$1501,$A325&amp;"|"&amp;$C325,'Per Line'!$AN$2:$AN$1501,1))</f>
        <v/>
      </c>
      <c r="N325">
        <f>IF($X325="","",Settings!$C$7)</f>
        <v/>
      </c>
      <c r="O325" s="7">
        <f>IF($X325="","",SUMIFS('Per Line'!$U$2:$U$1501,'Per Line'!$AJ$2:$AJ$1501,$A325&amp;"|"&amp;$C325,'Per Line'!$AM$2:$AM$1501,0,'Per Line'!$AN$2:$AN$1501,0))</f>
        <v/>
      </c>
      <c r="P325" s="7">
        <f>IF($X325="","",O325*N325)</f>
        <v/>
      </c>
      <c r="Q325">
        <f>IF($X325="","",Settings!$C$6)</f>
        <v/>
      </c>
      <c r="R325" s="7">
        <f>IF($X325="","",SUMIFS('Per Line'!$U$2:$U$1501,'Per Line'!$AJ$2:$AJ$1501,$A325&amp;"|"&amp;$C325,'Per Line'!$AM$2:$AM$1501,1,'Per Line'!$AN$2:$AN$1501,0))</f>
        <v/>
      </c>
      <c r="S325" s="7">
        <f>IF($X325="","",R325*Q325)</f>
        <v/>
      </c>
      <c r="T325" s="7">
        <f>IF($X325="","",S325+P325)</f>
        <v/>
      </c>
      <c r="U325" s="7">
        <f>IF($X325="","",V325-T325)</f>
        <v/>
      </c>
      <c r="V325" s="7">
        <f>IF($X325="","",O325+R325+M325)</f>
        <v/>
      </c>
      <c r="W325" s="7">
        <f>IF($X325="","",V325-T325-K325)</f>
        <v/>
      </c>
      <c r="X325" s="13">
        <f>IF(ROWS($X$2:$X325)&lt;=MAX('Per Line'!$AL$2:$AL$1501),MATCH(ROWS($X$2:$X325),'Per Line'!$AL$2:$AL$1501,0),"")</f>
        <v/>
      </c>
    </row>
    <row r="326">
      <c r="A326">
        <f>IF($X326="","",INDEX('Per Line'!$C$2:$C$1501,$X326)&amp;"")</f>
        <v/>
      </c>
      <c r="B326" s="12" t="n"/>
      <c r="C326">
        <f>IF($X326="","",INDEX('Per Line'!$D$2:$D$1501,$X326)&amp;"")</f>
        <v/>
      </c>
      <c r="D326">
        <f>IF($X326="","",INDEX('Per Line'!$A$2:$A$1501,$X326))</f>
        <v/>
      </c>
      <c r="E326">
        <f>IF($X326="","",INDEX('Per Line'!$G$2:$G$1501,$X326)&amp;"")</f>
        <v/>
      </c>
      <c r="F326" s="11">
        <f>IF($X326="","",INDEX('Per Line'!$F$2:$F$1501,$X326))</f>
        <v/>
      </c>
      <c r="G326">
        <f>IF($X326="","",INDEX('Per Line'!$I$2:$I$1501,$X326)&amp;"")</f>
        <v/>
      </c>
      <c r="H326">
        <f>IF($X326="","",INDEX('Per Line'!$J$2:$J$1501,$X326)&amp;"")</f>
        <v/>
      </c>
      <c r="I326">
        <f>IF($X326="","",INDEX('Per Line'!$K$2:$K$1501,$X326)&amp;"")</f>
        <v/>
      </c>
      <c r="J326">
        <f>IF($X326="","",INDEX('Per Line'!$M$2:$M$1501,$X326))</f>
        <v/>
      </c>
      <c r="K326" s="7">
        <f>IF($X326="","",J326*V326/100)</f>
        <v/>
      </c>
      <c r="L326">
        <f>IF($X326="","",INDEX('Per Line'!$Y$2:$Y$1501,$X326)&amp;"")</f>
        <v/>
      </c>
      <c r="M326" s="7">
        <f>IF($X326="","",SUMIFS('Per Line'!$U$2:$U$1501,'Per Line'!$AJ$2:$AJ$1501,$A326&amp;"|"&amp;$C326,'Per Line'!$AN$2:$AN$1501,1))</f>
        <v/>
      </c>
      <c r="N326">
        <f>IF($X326="","",Settings!$C$7)</f>
        <v/>
      </c>
      <c r="O326" s="7">
        <f>IF($X326="","",SUMIFS('Per Line'!$U$2:$U$1501,'Per Line'!$AJ$2:$AJ$1501,$A326&amp;"|"&amp;$C326,'Per Line'!$AM$2:$AM$1501,0,'Per Line'!$AN$2:$AN$1501,0))</f>
        <v/>
      </c>
      <c r="P326" s="7">
        <f>IF($X326="","",O326*N326)</f>
        <v/>
      </c>
      <c r="Q326">
        <f>IF($X326="","",Settings!$C$6)</f>
        <v/>
      </c>
      <c r="R326" s="7">
        <f>IF($X326="","",SUMIFS('Per Line'!$U$2:$U$1501,'Per Line'!$AJ$2:$AJ$1501,$A326&amp;"|"&amp;$C326,'Per Line'!$AM$2:$AM$1501,1,'Per Line'!$AN$2:$AN$1501,0))</f>
        <v/>
      </c>
      <c r="S326" s="7">
        <f>IF($X326="","",R326*Q326)</f>
        <v/>
      </c>
      <c r="T326" s="7">
        <f>IF($X326="","",S326+P326)</f>
        <v/>
      </c>
      <c r="U326" s="7">
        <f>IF($X326="","",V326-T326)</f>
        <v/>
      </c>
      <c r="V326" s="7">
        <f>IF($X326="","",O326+R326+M326)</f>
        <v/>
      </c>
      <c r="W326" s="7">
        <f>IF($X326="","",V326-T326-K326)</f>
        <v/>
      </c>
      <c r="X326" s="13">
        <f>IF(ROWS($X$2:$X326)&lt;=MAX('Per Line'!$AL$2:$AL$1501),MATCH(ROWS($X$2:$X326),'Per Line'!$AL$2:$AL$1501,0),"")</f>
        <v/>
      </c>
    </row>
    <row r="327">
      <c r="A327">
        <f>IF($X327="","",INDEX('Per Line'!$C$2:$C$1501,$X327)&amp;"")</f>
        <v/>
      </c>
      <c r="B327" s="12" t="n"/>
      <c r="C327">
        <f>IF($X327="","",INDEX('Per Line'!$D$2:$D$1501,$X327)&amp;"")</f>
        <v/>
      </c>
      <c r="D327">
        <f>IF($X327="","",INDEX('Per Line'!$A$2:$A$1501,$X327))</f>
        <v/>
      </c>
      <c r="E327">
        <f>IF($X327="","",INDEX('Per Line'!$G$2:$G$1501,$X327)&amp;"")</f>
        <v/>
      </c>
      <c r="F327" s="11">
        <f>IF($X327="","",INDEX('Per Line'!$F$2:$F$1501,$X327))</f>
        <v/>
      </c>
      <c r="G327">
        <f>IF($X327="","",INDEX('Per Line'!$I$2:$I$1501,$X327)&amp;"")</f>
        <v/>
      </c>
      <c r="H327">
        <f>IF($X327="","",INDEX('Per Line'!$J$2:$J$1501,$X327)&amp;"")</f>
        <v/>
      </c>
      <c r="I327">
        <f>IF($X327="","",INDEX('Per Line'!$K$2:$K$1501,$X327)&amp;"")</f>
        <v/>
      </c>
      <c r="J327">
        <f>IF($X327="","",INDEX('Per Line'!$M$2:$M$1501,$X327))</f>
        <v/>
      </c>
      <c r="K327" s="7">
        <f>IF($X327="","",J327*V327/100)</f>
        <v/>
      </c>
      <c r="L327">
        <f>IF($X327="","",INDEX('Per Line'!$Y$2:$Y$1501,$X327)&amp;"")</f>
        <v/>
      </c>
      <c r="M327" s="7">
        <f>IF($X327="","",SUMIFS('Per Line'!$U$2:$U$1501,'Per Line'!$AJ$2:$AJ$1501,$A327&amp;"|"&amp;$C327,'Per Line'!$AN$2:$AN$1501,1))</f>
        <v/>
      </c>
      <c r="N327">
        <f>IF($X327="","",Settings!$C$7)</f>
        <v/>
      </c>
      <c r="O327" s="7">
        <f>IF($X327="","",SUMIFS('Per Line'!$U$2:$U$1501,'Per Line'!$AJ$2:$AJ$1501,$A327&amp;"|"&amp;$C327,'Per Line'!$AM$2:$AM$1501,0,'Per Line'!$AN$2:$AN$1501,0))</f>
        <v/>
      </c>
      <c r="P327" s="7">
        <f>IF($X327="","",O327*N327)</f>
        <v/>
      </c>
      <c r="Q327">
        <f>IF($X327="","",Settings!$C$6)</f>
        <v/>
      </c>
      <c r="R327" s="7">
        <f>IF($X327="","",SUMIFS('Per Line'!$U$2:$U$1501,'Per Line'!$AJ$2:$AJ$1501,$A327&amp;"|"&amp;$C327,'Per Line'!$AM$2:$AM$1501,1,'Per Line'!$AN$2:$AN$1501,0))</f>
        <v/>
      </c>
      <c r="S327" s="7">
        <f>IF($X327="","",R327*Q327)</f>
        <v/>
      </c>
      <c r="T327" s="7">
        <f>IF($X327="","",S327+P327)</f>
        <v/>
      </c>
      <c r="U327" s="7">
        <f>IF($X327="","",V327-T327)</f>
        <v/>
      </c>
      <c r="V327" s="7">
        <f>IF($X327="","",O327+R327+M327)</f>
        <v/>
      </c>
      <c r="W327" s="7">
        <f>IF($X327="","",V327-T327-K327)</f>
        <v/>
      </c>
      <c r="X327" s="13">
        <f>IF(ROWS($X$2:$X327)&lt;=MAX('Per Line'!$AL$2:$AL$1501),MATCH(ROWS($X$2:$X327),'Per Line'!$AL$2:$AL$1501,0),"")</f>
        <v/>
      </c>
    </row>
    <row r="328">
      <c r="A328">
        <f>IF($X328="","",INDEX('Per Line'!$C$2:$C$1501,$X328)&amp;"")</f>
        <v/>
      </c>
      <c r="B328" s="12" t="n"/>
      <c r="C328">
        <f>IF($X328="","",INDEX('Per Line'!$D$2:$D$1501,$X328)&amp;"")</f>
        <v/>
      </c>
      <c r="D328">
        <f>IF($X328="","",INDEX('Per Line'!$A$2:$A$1501,$X328))</f>
        <v/>
      </c>
      <c r="E328">
        <f>IF($X328="","",INDEX('Per Line'!$G$2:$G$1501,$X328)&amp;"")</f>
        <v/>
      </c>
      <c r="F328" s="11">
        <f>IF($X328="","",INDEX('Per Line'!$F$2:$F$1501,$X328))</f>
        <v/>
      </c>
      <c r="G328">
        <f>IF($X328="","",INDEX('Per Line'!$I$2:$I$1501,$X328)&amp;"")</f>
        <v/>
      </c>
      <c r="H328">
        <f>IF($X328="","",INDEX('Per Line'!$J$2:$J$1501,$X328)&amp;"")</f>
        <v/>
      </c>
      <c r="I328">
        <f>IF($X328="","",INDEX('Per Line'!$K$2:$K$1501,$X328)&amp;"")</f>
        <v/>
      </c>
      <c r="J328">
        <f>IF($X328="","",INDEX('Per Line'!$M$2:$M$1501,$X328))</f>
        <v/>
      </c>
      <c r="K328" s="7">
        <f>IF($X328="","",J328*V328/100)</f>
        <v/>
      </c>
      <c r="L328">
        <f>IF($X328="","",INDEX('Per Line'!$Y$2:$Y$1501,$X328)&amp;"")</f>
        <v/>
      </c>
      <c r="M328" s="7">
        <f>IF($X328="","",SUMIFS('Per Line'!$U$2:$U$1501,'Per Line'!$AJ$2:$AJ$1501,$A328&amp;"|"&amp;$C328,'Per Line'!$AN$2:$AN$1501,1))</f>
        <v/>
      </c>
      <c r="N328">
        <f>IF($X328="","",Settings!$C$7)</f>
        <v/>
      </c>
      <c r="O328" s="7">
        <f>IF($X328="","",SUMIFS('Per Line'!$U$2:$U$1501,'Per Line'!$AJ$2:$AJ$1501,$A328&amp;"|"&amp;$C328,'Per Line'!$AM$2:$AM$1501,0,'Per Line'!$AN$2:$AN$1501,0))</f>
        <v/>
      </c>
      <c r="P328" s="7">
        <f>IF($X328="","",O328*N328)</f>
        <v/>
      </c>
      <c r="Q328">
        <f>IF($X328="","",Settings!$C$6)</f>
        <v/>
      </c>
      <c r="R328" s="7">
        <f>IF($X328="","",SUMIFS('Per Line'!$U$2:$U$1501,'Per Line'!$AJ$2:$AJ$1501,$A328&amp;"|"&amp;$C328,'Per Line'!$AM$2:$AM$1501,1,'Per Line'!$AN$2:$AN$1501,0))</f>
        <v/>
      </c>
      <c r="S328" s="7">
        <f>IF($X328="","",R328*Q328)</f>
        <v/>
      </c>
      <c r="T328" s="7">
        <f>IF($X328="","",S328+P328)</f>
        <v/>
      </c>
      <c r="U328" s="7">
        <f>IF($X328="","",V328-T328)</f>
        <v/>
      </c>
      <c r="V328" s="7">
        <f>IF($X328="","",O328+R328+M328)</f>
        <v/>
      </c>
      <c r="W328" s="7">
        <f>IF($X328="","",V328-T328-K328)</f>
        <v/>
      </c>
      <c r="X328" s="13">
        <f>IF(ROWS($X$2:$X328)&lt;=MAX('Per Line'!$AL$2:$AL$1501),MATCH(ROWS($X$2:$X328),'Per Line'!$AL$2:$AL$1501,0),"")</f>
        <v/>
      </c>
    </row>
    <row r="329">
      <c r="A329">
        <f>IF($X329="","",INDEX('Per Line'!$C$2:$C$1501,$X329)&amp;"")</f>
        <v/>
      </c>
      <c r="B329" s="12" t="n"/>
      <c r="C329">
        <f>IF($X329="","",INDEX('Per Line'!$D$2:$D$1501,$X329)&amp;"")</f>
        <v/>
      </c>
      <c r="D329">
        <f>IF($X329="","",INDEX('Per Line'!$A$2:$A$1501,$X329))</f>
        <v/>
      </c>
      <c r="E329">
        <f>IF($X329="","",INDEX('Per Line'!$G$2:$G$1501,$X329)&amp;"")</f>
        <v/>
      </c>
      <c r="F329" s="11">
        <f>IF($X329="","",INDEX('Per Line'!$F$2:$F$1501,$X329))</f>
        <v/>
      </c>
      <c r="G329">
        <f>IF($X329="","",INDEX('Per Line'!$I$2:$I$1501,$X329)&amp;"")</f>
        <v/>
      </c>
      <c r="H329">
        <f>IF($X329="","",INDEX('Per Line'!$J$2:$J$1501,$X329)&amp;"")</f>
        <v/>
      </c>
      <c r="I329">
        <f>IF($X329="","",INDEX('Per Line'!$K$2:$K$1501,$X329)&amp;"")</f>
        <v/>
      </c>
      <c r="J329">
        <f>IF($X329="","",INDEX('Per Line'!$M$2:$M$1501,$X329))</f>
        <v/>
      </c>
      <c r="K329" s="7">
        <f>IF($X329="","",J329*V329/100)</f>
        <v/>
      </c>
      <c r="L329">
        <f>IF($X329="","",INDEX('Per Line'!$Y$2:$Y$1501,$X329)&amp;"")</f>
        <v/>
      </c>
      <c r="M329" s="7">
        <f>IF($X329="","",SUMIFS('Per Line'!$U$2:$U$1501,'Per Line'!$AJ$2:$AJ$1501,$A329&amp;"|"&amp;$C329,'Per Line'!$AN$2:$AN$1501,1))</f>
        <v/>
      </c>
      <c r="N329">
        <f>IF($X329="","",Settings!$C$7)</f>
        <v/>
      </c>
      <c r="O329" s="7">
        <f>IF($X329="","",SUMIFS('Per Line'!$U$2:$U$1501,'Per Line'!$AJ$2:$AJ$1501,$A329&amp;"|"&amp;$C329,'Per Line'!$AM$2:$AM$1501,0,'Per Line'!$AN$2:$AN$1501,0))</f>
        <v/>
      </c>
      <c r="P329" s="7">
        <f>IF($X329="","",O329*N329)</f>
        <v/>
      </c>
      <c r="Q329">
        <f>IF($X329="","",Settings!$C$6)</f>
        <v/>
      </c>
      <c r="R329" s="7">
        <f>IF($X329="","",SUMIFS('Per Line'!$U$2:$U$1501,'Per Line'!$AJ$2:$AJ$1501,$A329&amp;"|"&amp;$C329,'Per Line'!$AM$2:$AM$1501,1,'Per Line'!$AN$2:$AN$1501,0))</f>
        <v/>
      </c>
      <c r="S329" s="7">
        <f>IF($X329="","",R329*Q329)</f>
        <v/>
      </c>
      <c r="T329" s="7">
        <f>IF($X329="","",S329+P329)</f>
        <v/>
      </c>
      <c r="U329" s="7">
        <f>IF($X329="","",V329-T329)</f>
        <v/>
      </c>
      <c r="V329" s="7">
        <f>IF($X329="","",O329+R329+M329)</f>
        <v/>
      </c>
      <c r="W329" s="7">
        <f>IF($X329="","",V329-T329-K329)</f>
        <v/>
      </c>
      <c r="X329" s="13">
        <f>IF(ROWS($X$2:$X329)&lt;=MAX('Per Line'!$AL$2:$AL$1501),MATCH(ROWS($X$2:$X329),'Per Line'!$AL$2:$AL$1501,0),"")</f>
        <v/>
      </c>
    </row>
    <row r="330">
      <c r="A330">
        <f>IF($X330="","",INDEX('Per Line'!$C$2:$C$1501,$X330)&amp;"")</f>
        <v/>
      </c>
      <c r="B330" s="12" t="n"/>
      <c r="C330">
        <f>IF($X330="","",INDEX('Per Line'!$D$2:$D$1501,$X330)&amp;"")</f>
        <v/>
      </c>
      <c r="D330">
        <f>IF($X330="","",INDEX('Per Line'!$A$2:$A$1501,$X330))</f>
        <v/>
      </c>
      <c r="E330">
        <f>IF($X330="","",INDEX('Per Line'!$G$2:$G$1501,$X330)&amp;"")</f>
        <v/>
      </c>
      <c r="F330" s="11">
        <f>IF($X330="","",INDEX('Per Line'!$F$2:$F$1501,$X330))</f>
        <v/>
      </c>
      <c r="G330">
        <f>IF($X330="","",INDEX('Per Line'!$I$2:$I$1501,$X330)&amp;"")</f>
        <v/>
      </c>
      <c r="H330">
        <f>IF($X330="","",INDEX('Per Line'!$J$2:$J$1501,$X330)&amp;"")</f>
        <v/>
      </c>
      <c r="I330">
        <f>IF($X330="","",INDEX('Per Line'!$K$2:$K$1501,$X330)&amp;"")</f>
        <v/>
      </c>
      <c r="J330">
        <f>IF($X330="","",INDEX('Per Line'!$M$2:$M$1501,$X330))</f>
        <v/>
      </c>
      <c r="K330" s="7">
        <f>IF($X330="","",J330*V330/100)</f>
        <v/>
      </c>
      <c r="L330">
        <f>IF($X330="","",INDEX('Per Line'!$Y$2:$Y$1501,$X330)&amp;"")</f>
        <v/>
      </c>
      <c r="M330" s="7">
        <f>IF($X330="","",SUMIFS('Per Line'!$U$2:$U$1501,'Per Line'!$AJ$2:$AJ$1501,$A330&amp;"|"&amp;$C330,'Per Line'!$AN$2:$AN$1501,1))</f>
        <v/>
      </c>
      <c r="N330">
        <f>IF($X330="","",Settings!$C$7)</f>
        <v/>
      </c>
      <c r="O330" s="7">
        <f>IF($X330="","",SUMIFS('Per Line'!$U$2:$U$1501,'Per Line'!$AJ$2:$AJ$1501,$A330&amp;"|"&amp;$C330,'Per Line'!$AM$2:$AM$1501,0,'Per Line'!$AN$2:$AN$1501,0))</f>
        <v/>
      </c>
      <c r="P330" s="7">
        <f>IF($X330="","",O330*N330)</f>
        <v/>
      </c>
      <c r="Q330">
        <f>IF($X330="","",Settings!$C$6)</f>
        <v/>
      </c>
      <c r="R330" s="7">
        <f>IF($X330="","",SUMIFS('Per Line'!$U$2:$U$1501,'Per Line'!$AJ$2:$AJ$1501,$A330&amp;"|"&amp;$C330,'Per Line'!$AM$2:$AM$1501,1,'Per Line'!$AN$2:$AN$1501,0))</f>
        <v/>
      </c>
      <c r="S330" s="7">
        <f>IF($X330="","",R330*Q330)</f>
        <v/>
      </c>
      <c r="T330" s="7">
        <f>IF($X330="","",S330+P330)</f>
        <v/>
      </c>
      <c r="U330" s="7">
        <f>IF($X330="","",V330-T330)</f>
        <v/>
      </c>
      <c r="V330" s="7">
        <f>IF($X330="","",O330+R330+M330)</f>
        <v/>
      </c>
      <c r="W330" s="7">
        <f>IF($X330="","",V330-T330-K330)</f>
        <v/>
      </c>
      <c r="X330" s="13">
        <f>IF(ROWS($X$2:$X330)&lt;=MAX('Per Line'!$AL$2:$AL$1501),MATCH(ROWS($X$2:$X330),'Per Line'!$AL$2:$AL$1501,0),"")</f>
        <v/>
      </c>
    </row>
    <row r="331">
      <c r="A331">
        <f>IF($X331="","",INDEX('Per Line'!$C$2:$C$1501,$X331)&amp;"")</f>
        <v/>
      </c>
      <c r="B331" s="12" t="n"/>
      <c r="C331">
        <f>IF($X331="","",INDEX('Per Line'!$D$2:$D$1501,$X331)&amp;"")</f>
        <v/>
      </c>
      <c r="D331">
        <f>IF($X331="","",INDEX('Per Line'!$A$2:$A$1501,$X331))</f>
        <v/>
      </c>
      <c r="E331">
        <f>IF($X331="","",INDEX('Per Line'!$G$2:$G$1501,$X331)&amp;"")</f>
        <v/>
      </c>
      <c r="F331" s="11">
        <f>IF($X331="","",INDEX('Per Line'!$F$2:$F$1501,$X331))</f>
        <v/>
      </c>
      <c r="G331">
        <f>IF($X331="","",INDEX('Per Line'!$I$2:$I$1501,$X331)&amp;"")</f>
        <v/>
      </c>
      <c r="H331">
        <f>IF($X331="","",INDEX('Per Line'!$J$2:$J$1501,$X331)&amp;"")</f>
        <v/>
      </c>
      <c r="I331">
        <f>IF($X331="","",INDEX('Per Line'!$K$2:$K$1501,$X331)&amp;"")</f>
        <v/>
      </c>
      <c r="J331">
        <f>IF($X331="","",INDEX('Per Line'!$M$2:$M$1501,$X331))</f>
        <v/>
      </c>
      <c r="K331" s="7">
        <f>IF($X331="","",J331*V331/100)</f>
        <v/>
      </c>
      <c r="L331">
        <f>IF($X331="","",INDEX('Per Line'!$Y$2:$Y$1501,$X331)&amp;"")</f>
        <v/>
      </c>
      <c r="M331" s="7">
        <f>IF($X331="","",SUMIFS('Per Line'!$U$2:$U$1501,'Per Line'!$AJ$2:$AJ$1501,$A331&amp;"|"&amp;$C331,'Per Line'!$AN$2:$AN$1501,1))</f>
        <v/>
      </c>
      <c r="N331">
        <f>IF($X331="","",Settings!$C$7)</f>
        <v/>
      </c>
      <c r="O331" s="7">
        <f>IF($X331="","",SUMIFS('Per Line'!$U$2:$U$1501,'Per Line'!$AJ$2:$AJ$1501,$A331&amp;"|"&amp;$C331,'Per Line'!$AM$2:$AM$1501,0,'Per Line'!$AN$2:$AN$1501,0))</f>
        <v/>
      </c>
      <c r="P331" s="7">
        <f>IF($X331="","",O331*N331)</f>
        <v/>
      </c>
      <c r="Q331">
        <f>IF($X331="","",Settings!$C$6)</f>
        <v/>
      </c>
      <c r="R331" s="7">
        <f>IF($X331="","",SUMIFS('Per Line'!$U$2:$U$1501,'Per Line'!$AJ$2:$AJ$1501,$A331&amp;"|"&amp;$C331,'Per Line'!$AM$2:$AM$1501,1,'Per Line'!$AN$2:$AN$1501,0))</f>
        <v/>
      </c>
      <c r="S331" s="7">
        <f>IF($X331="","",R331*Q331)</f>
        <v/>
      </c>
      <c r="T331" s="7">
        <f>IF($X331="","",S331+P331)</f>
        <v/>
      </c>
      <c r="U331" s="7">
        <f>IF($X331="","",V331-T331)</f>
        <v/>
      </c>
      <c r="V331" s="7">
        <f>IF($X331="","",O331+R331+M331)</f>
        <v/>
      </c>
      <c r="W331" s="7">
        <f>IF($X331="","",V331-T331-K331)</f>
        <v/>
      </c>
      <c r="X331" s="13">
        <f>IF(ROWS($X$2:$X331)&lt;=MAX('Per Line'!$AL$2:$AL$1501),MATCH(ROWS($X$2:$X331),'Per Line'!$AL$2:$AL$1501,0),"")</f>
        <v/>
      </c>
    </row>
    <row r="332">
      <c r="A332">
        <f>IF($X332="","",INDEX('Per Line'!$C$2:$C$1501,$X332)&amp;"")</f>
        <v/>
      </c>
      <c r="B332" s="12" t="n"/>
      <c r="C332">
        <f>IF($X332="","",INDEX('Per Line'!$D$2:$D$1501,$X332)&amp;"")</f>
        <v/>
      </c>
      <c r="D332">
        <f>IF($X332="","",INDEX('Per Line'!$A$2:$A$1501,$X332))</f>
        <v/>
      </c>
      <c r="E332">
        <f>IF($X332="","",INDEX('Per Line'!$G$2:$G$1501,$X332)&amp;"")</f>
        <v/>
      </c>
      <c r="F332" s="11">
        <f>IF($X332="","",INDEX('Per Line'!$F$2:$F$1501,$X332))</f>
        <v/>
      </c>
      <c r="G332">
        <f>IF($X332="","",INDEX('Per Line'!$I$2:$I$1501,$X332)&amp;"")</f>
        <v/>
      </c>
      <c r="H332">
        <f>IF($X332="","",INDEX('Per Line'!$J$2:$J$1501,$X332)&amp;"")</f>
        <v/>
      </c>
      <c r="I332">
        <f>IF($X332="","",INDEX('Per Line'!$K$2:$K$1501,$X332)&amp;"")</f>
        <v/>
      </c>
      <c r="J332">
        <f>IF($X332="","",INDEX('Per Line'!$M$2:$M$1501,$X332))</f>
        <v/>
      </c>
      <c r="K332" s="7">
        <f>IF($X332="","",J332*V332/100)</f>
        <v/>
      </c>
      <c r="L332">
        <f>IF($X332="","",INDEX('Per Line'!$Y$2:$Y$1501,$X332)&amp;"")</f>
        <v/>
      </c>
      <c r="M332" s="7">
        <f>IF($X332="","",SUMIFS('Per Line'!$U$2:$U$1501,'Per Line'!$AJ$2:$AJ$1501,$A332&amp;"|"&amp;$C332,'Per Line'!$AN$2:$AN$1501,1))</f>
        <v/>
      </c>
      <c r="N332">
        <f>IF($X332="","",Settings!$C$7)</f>
        <v/>
      </c>
      <c r="O332" s="7">
        <f>IF($X332="","",SUMIFS('Per Line'!$U$2:$U$1501,'Per Line'!$AJ$2:$AJ$1501,$A332&amp;"|"&amp;$C332,'Per Line'!$AM$2:$AM$1501,0,'Per Line'!$AN$2:$AN$1501,0))</f>
        <v/>
      </c>
      <c r="P332" s="7">
        <f>IF($X332="","",O332*N332)</f>
        <v/>
      </c>
      <c r="Q332">
        <f>IF($X332="","",Settings!$C$6)</f>
        <v/>
      </c>
      <c r="R332" s="7">
        <f>IF($X332="","",SUMIFS('Per Line'!$U$2:$U$1501,'Per Line'!$AJ$2:$AJ$1501,$A332&amp;"|"&amp;$C332,'Per Line'!$AM$2:$AM$1501,1,'Per Line'!$AN$2:$AN$1501,0))</f>
        <v/>
      </c>
      <c r="S332" s="7">
        <f>IF($X332="","",R332*Q332)</f>
        <v/>
      </c>
      <c r="T332" s="7">
        <f>IF($X332="","",S332+P332)</f>
        <v/>
      </c>
      <c r="U332" s="7">
        <f>IF($X332="","",V332-T332)</f>
        <v/>
      </c>
      <c r="V332" s="7">
        <f>IF($X332="","",O332+R332+M332)</f>
        <v/>
      </c>
      <c r="W332" s="7">
        <f>IF($X332="","",V332-T332-K332)</f>
        <v/>
      </c>
      <c r="X332" s="13">
        <f>IF(ROWS($X$2:$X332)&lt;=MAX('Per Line'!$AL$2:$AL$1501),MATCH(ROWS($X$2:$X332),'Per Line'!$AL$2:$AL$1501,0),"")</f>
        <v/>
      </c>
    </row>
    <row r="333">
      <c r="A333">
        <f>IF($X333="","",INDEX('Per Line'!$C$2:$C$1501,$X333)&amp;"")</f>
        <v/>
      </c>
      <c r="B333" s="12" t="n"/>
      <c r="C333">
        <f>IF($X333="","",INDEX('Per Line'!$D$2:$D$1501,$X333)&amp;"")</f>
        <v/>
      </c>
      <c r="D333">
        <f>IF($X333="","",INDEX('Per Line'!$A$2:$A$1501,$X333))</f>
        <v/>
      </c>
      <c r="E333">
        <f>IF($X333="","",INDEX('Per Line'!$G$2:$G$1501,$X333)&amp;"")</f>
        <v/>
      </c>
      <c r="F333" s="11">
        <f>IF($X333="","",INDEX('Per Line'!$F$2:$F$1501,$X333))</f>
        <v/>
      </c>
      <c r="G333">
        <f>IF($X333="","",INDEX('Per Line'!$I$2:$I$1501,$X333)&amp;"")</f>
        <v/>
      </c>
      <c r="H333">
        <f>IF($X333="","",INDEX('Per Line'!$J$2:$J$1501,$X333)&amp;"")</f>
        <v/>
      </c>
      <c r="I333">
        <f>IF($X333="","",INDEX('Per Line'!$K$2:$K$1501,$X333)&amp;"")</f>
        <v/>
      </c>
      <c r="J333">
        <f>IF($X333="","",INDEX('Per Line'!$M$2:$M$1501,$X333))</f>
        <v/>
      </c>
      <c r="K333" s="7">
        <f>IF($X333="","",J333*V333/100)</f>
        <v/>
      </c>
      <c r="L333">
        <f>IF($X333="","",INDEX('Per Line'!$Y$2:$Y$1501,$X333)&amp;"")</f>
        <v/>
      </c>
      <c r="M333" s="7">
        <f>IF($X333="","",SUMIFS('Per Line'!$U$2:$U$1501,'Per Line'!$AJ$2:$AJ$1501,$A333&amp;"|"&amp;$C333,'Per Line'!$AN$2:$AN$1501,1))</f>
        <v/>
      </c>
      <c r="N333">
        <f>IF($X333="","",Settings!$C$7)</f>
        <v/>
      </c>
      <c r="O333" s="7">
        <f>IF($X333="","",SUMIFS('Per Line'!$U$2:$U$1501,'Per Line'!$AJ$2:$AJ$1501,$A333&amp;"|"&amp;$C333,'Per Line'!$AM$2:$AM$1501,0,'Per Line'!$AN$2:$AN$1501,0))</f>
        <v/>
      </c>
      <c r="P333" s="7">
        <f>IF($X333="","",O333*N333)</f>
        <v/>
      </c>
      <c r="Q333">
        <f>IF($X333="","",Settings!$C$6)</f>
        <v/>
      </c>
      <c r="R333" s="7">
        <f>IF($X333="","",SUMIFS('Per Line'!$U$2:$U$1501,'Per Line'!$AJ$2:$AJ$1501,$A333&amp;"|"&amp;$C333,'Per Line'!$AM$2:$AM$1501,1,'Per Line'!$AN$2:$AN$1501,0))</f>
        <v/>
      </c>
      <c r="S333" s="7">
        <f>IF($X333="","",R333*Q333)</f>
        <v/>
      </c>
      <c r="T333" s="7">
        <f>IF($X333="","",S333+P333)</f>
        <v/>
      </c>
      <c r="U333" s="7">
        <f>IF($X333="","",V333-T333)</f>
        <v/>
      </c>
      <c r="V333" s="7">
        <f>IF($X333="","",O333+R333+M333)</f>
        <v/>
      </c>
      <c r="W333" s="7">
        <f>IF($X333="","",V333-T333-K333)</f>
        <v/>
      </c>
      <c r="X333" s="13">
        <f>IF(ROWS($X$2:$X333)&lt;=MAX('Per Line'!$AL$2:$AL$1501),MATCH(ROWS($X$2:$X333),'Per Line'!$AL$2:$AL$1501,0),"")</f>
        <v/>
      </c>
    </row>
    <row r="334">
      <c r="A334">
        <f>IF($X334="","",INDEX('Per Line'!$C$2:$C$1501,$X334)&amp;"")</f>
        <v/>
      </c>
      <c r="B334" s="12" t="n"/>
      <c r="C334">
        <f>IF($X334="","",INDEX('Per Line'!$D$2:$D$1501,$X334)&amp;"")</f>
        <v/>
      </c>
      <c r="D334">
        <f>IF($X334="","",INDEX('Per Line'!$A$2:$A$1501,$X334))</f>
        <v/>
      </c>
      <c r="E334">
        <f>IF($X334="","",INDEX('Per Line'!$G$2:$G$1501,$X334)&amp;"")</f>
        <v/>
      </c>
      <c r="F334" s="11">
        <f>IF($X334="","",INDEX('Per Line'!$F$2:$F$1501,$X334))</f>
        <v/>
      </c>
      <c r="G334">
        <f>IF($X334="","",INDEX('Per Line'!$I$2:$I$1501,$X334)&amp;"")</f>
        <v/>
      </c>
      <c r="H334">
        <f>IF($X334="","",INDEX('Per Line'!$J$2:$J$1501,$X334)&amp;"")</f>
        <v/>
      </c>
      <c r="I334">
        <f>IF($X334="","",INDEX('Per Line'!$K$2:$K$1501,$X334)&amp;"")</f>
        <v/>
      </c>
      <c r="J334">
        <f>IF($X334="","",INDEX('Per Line'!$M$2:$M$1501,$X334))</f>
        <v/>
      </c>
      <c r="K334" s="7">
        <f>IF($X334="","",J334*V334/100)</f>
        <v/>
      </c>
      <c r="L334">
        <f>IF($X334="","",INDEX('Per Line'!$Y$2:$Y$1501,$X334)&amp;"")</f>
        <v/>
      </c>
      <c r="M334" s="7">
        <f>IF($X334="","",SUMIFS('Per Line'!$U$2:$U$1501,'Per Line'!$AJ$2:$AJ$1501,$A334&amp;"|"&amp;$C334,'Per Line'!$AN$2:$AN$1501,1))</f>
        <v/>
      </c>
      <c r="N334">
        <f>IF($X334="","",Settings!$C$7)</f>
        <v/>
      </c>
      <c r="O334" s="7">
        <f>IF($X334="","",SUMIFS('Per Line'!$U$2:$U$1501,'Per Line'!$AJ$2:$AJ$1501,$A334&amp;"|"&amp;$C334,'Per Line'!$AM$2:$AM$1501,0,'Per Line'!$AN$2:$AN$1501,0))</f>
        <v/>
      </c>
      <c r="P334" s="7">
        <f>IF($X334="","",O334*N334)</f>
        <v/>
      </c>
      <c r="Q334">
        <f>IF($X334="","",Settings!$C$6)</f>
        <v/>
      </c>
      <c r="R334" s="7">
        <f>IF($X334="","",SUMIFS('Per Line'!$U$2:$U$1501,'Per Line'!$AJ$2:$AJ$1501,$A334&amp;"|"&amp;$C334,'Per Line'!$AM$2:$AM$1501,1,'Per Line'!$AN$2:$AN$1501,0))</f>
        <v/>
      </c>
      <c r="S334" s="7">
        <f>IF($X334="","",R334*Q334)</f>
        <v/>
      </c>
      <c r="T334" s="7">
        <f>IF($X334="","",S334+P334)</f>
        <v/>
      </c>
      <c r="U334" s="7">
        <f>IF($X334="","",V334-T334)</f>
        <v/>
      </c>
      <c r="V334" s="7">
        <f>IF($X334="","",O334+R334+M334)</f>
        <v/>
      </c>
      <c r="W334" s="7">
        <f>IF($X334="","",V334-T334-K334)</f>
        <v/>
      </c>
      <c r="X334" s="13">
        <f>IF(ROWS($X$2:$X334)&lt;=MAX('Per Line'!$AL$2:$AL$1501),MATCH(ROWS($X$2:$X334),'Per Line'!$AL$2:$AL$1501,0),"")</f>
        <v/>
      </c>
    </row>
    <row r="335">
      <c r="A335">
        <f>IF($X335="","",INDEX('Per Line'!$C$2:$C$1501,$X335)&amp;"")</f>
        <v/>
      </c>
      <c r="B335" s="12" t="n"/>
      <c r="C335">
        <f>IF($X335="","",INDEX('Per Line'!$D$2:$D$1501,$X335)&amp;"")</f>
        <v/>
      </c>
      <c r="D335">
        <f>IF($X335="","",INDEX('Per Line'!$A$2:$A$1501,$X335))</f>
        <v/>
      </c>
      <c r="E335">
        <f>IF($X335="","",INDEX('Per Line'!$G$2:$G$1501,$X335)&amp;"")</f>
        <v/>
      </c>
      <c r="F335" s="11">
        <f>IF($X335="","",INDEX('Per Line'!$F$2:$F$1501,$X335))</f>
        <v/>
      </c>
      <c r="G335">
        <f>IF($X335="","",INDEX('Per Line'!$I$2:$I$1501,$X335)&amp;"")</f>
        <v/>
      </c>
      <c r="H335">
        <f>IF($X335="","",INDEX('Per Line'!$J$2:$J$1501,$X335)&amp;"")</f>
        <v/>
      </c>
      <c r="I335">
        <f>IF($X335="","",INDEX('Per Line'!$K$2:$K$1501,$X335)&amp;"")</f>
        <v/>
      </c>
      <c r="J335">
        <f>IF($X335="","",INDEX('Per Line'!$M$2:$M$1501,$X335))</f>
        <v/>
      </c>
      <c r="K335" s="7">
        <f>IF($X335="","",J335*V335/100)</f>
        <v/>
      </c>
      <c r="L335">
        <f>IF($X335="","",INDEX('Per Line'!$Y$2:$Y$1501,$X335)&amp;"")</f>
        <v/>
      </c>
      <c r="M335" s="7">
        <f>IF($X335="","",SUMIFS('Per Line'!$U$2:$U$1501,'Per Line'!$AJ$2:$AJ$1501,$A335&amp;"|"&amp;$C335,'Per Line'!$AN$2:$AN$1501,1))</f>
        <v/>
      </c>
      <c r="N335">
        <f>IF($X335="","",Settings!$C$7)</f>
        <v/>
      </c>
      <c r="O335" s="7">
        <f>IF($X335="","",SUMIFS('Per Line'!$U$2:$U$1501,'Per Line'!$AJ$2:$AJ$1501,$A335&amp;"|"&amp;$C335,'Per Line'!$AM$2:$AM$1501,0,'Per Line'!$AN$2:$AN$1501,0))</f>
        <v/>
      </c>
      <c r="P335" s="7">
        <f>IF($X335="","",O335*N335)</f>
        <v/>
      </c>
      <c r="Q335">
        <f>IF($X335="","",Settings!$C$6)</f>
        <v/>
      </c>
      <c r="R335" s="7">
        <f>IF($X335="","",SUMIFS('Per Line'!$U$2:$U$1501,'Per Line'!$AJ$2:$AJ$1501,$A335&amp;"|"&amp;$C335,'Per Line'!$AM$2:$AM$1501,1,'Per Line'!$AN$2:$AN$1501,0))</f>
        <v/>
      </c>
      <c r="S335" s="7">
        <f>IF($X335="","",R335*Q335)</f>
        <v/>
      </c>
      <c r="T335" s="7">
        <f>IF($X335="","",S335+P335)</f>
        <v/>
      </c>
      <c r="U335" s="7">
        <f>IF($X335="","",V335-T335)</f>
        <v/>
      </c>
      <c r="V335" s="7">
        <f>IF($X335="","",O335+R335+M335)</f>
        <v/>
      </c>
      <c r="W335" s="7">
        <f>IF($X335="","",V335-T335-K335)</f>
        <v/>
      </c>
      <c r="X335" s="13">
        <f>IF(ROWS($X$2:$X335)&lt;=MAX('Per Line'!$AL$2:$AL$1501),MATCH(ROWS($X$2:$X335),'Per Line'!$AL$2:$AL$1501,0),"")</f>
        <v/>
      </c>
    </row>
    <row r="336">
      <c r="A336">
        <f>IF($X336="","",INDEX('Per Line'!$C$2:$C$1501,$X336)&amp;"")</f>
        <v/>
      </c>
      <c r="B336" s="12" t="n"/>
      <c r="C336">
        <f>IF($X336="","",INDEX('Per Line'!$D$2:$D$1501,$X336)&amp;"")</f>
        <v/>
      </c>
      <c r="D336">
        <f>IF($X336="","",INDEX('Per Line'!$A$2:$A$1501,$X336))</f>
        <v/>
      </c>
      <c r="E336">
        <f>IF($X336="","",INDEX('Per Line'!$G$2:$G$1501,$X336)&amp;"")</f>
        <v/>
      </c>
      <c r="F336" s="11">
        <f>IF($X336="","",INDEX('Per Line'!$F$2:$F$1501,$X336))</f>
        <v/>
      </c>
      <c r="G336">
        <f>IF($X336="","",INDEX('Per Line'!$I$2:$I$1501,$X336)&amp;"")</f>
        <v/>
      </c>
      <c r="H336">
        <f>IF($X336="","",INDEX('Per Line'!$J$2:$J$1501,$X336)&amp;"")</f>
        <v/>
      </c>
      <c r="I336">
        <f>IF($X336="","",INDEX('Per Line'!$K$2:$K$1501,$X336)&amp;"")</f>
        <v/>
      </c>
      <c r="J336">
        <f>IF($X336="","",INDEX('Per Line'!$M$2:$M$1501,$X336))</f>
        <v/>
      </c>
      <c r="K336" s="7">
        <f>IF($X336="","",J336*V336/100)</f>
        <v/>
      </c>
      <c r="L336">
        <f>IF($X336="","",INDEX('Per Line'!$Y$2:$Y$1501,$X336)&amp;"")</f>
        <v/>
      </c>
      <c r="M336" s="7">
        <f>IF($X336="","",SUMIFS('Per Line'!$U$2:$U$1501,'Per Line'!$AJ$2:$AJ$1501,$A336&amp;"|"&amp;$C336,'Per Line'!$AN$2:$AN$1501,1))</f>
        <v/>
      </c>
      <c r="N336">
        <f>IF($X336="","",Settings!$C$7)</f>
        <v/>
      </c>
      <c r="O336" s="7">
        <f>IF($X336="","",SUMIFS('Per Line'!$U$2:$U$1501,'Per Line'!$AJ$2:$AJ$1501,$A336&amp;"|"&amp;$C336,'Per Line'!$AM$2:$AM$1501,0,'Per Line'!$AN$2:$AN$1501,0))</f>
        <v/>
      </c>
      <c r="P336" s="7">
        <f>IF($X336="","",O336*N336)</f>
        <v/>
      </c>
      <c r="Q336">
        <f>IF($X336="","",Settings!$C$6)</f>
        <v/>
      </c>
      <c r="R336" s="7">
        <f>IF($X336="","",SUMIFS('Per Line'!$U$2:$U$1501,'Per Line'!$AJ$2:$AJ$1501,$A336&amp;"|"&amp;$C336,'Per Line'!$AM$2:$AM$1501,1,'Per Line'!$AN$2:$AN$1501,0))</f>
        <v/>
      </c>
      <c r="S336" s="7">
        <f>IF($X336="","",R336*Q336)</f>
        <v/>
      </c>
      <c r="T336" s="7">
        <f>IF($X336="","",S336+P336)</f>
        <v/>
      </c>
      <c r="U336" s="7">
        <f>IF($X336="","",V336-T336)</f>
        <v/>
      </c>
      <c r="V336" s="7">
        <f>IF($X336="","",O336+R336+M336)</f>
        <v/>
      </c>
      <c r="W336" s="7">
        <f>IF($X336="","",V336-T336-K336)</f>
        <v/>
      </c>
      <c r="X336" s="13">
        <f>IF(ROWS($X$2:$X336)&lt;=MAX('Per Line'!$AL$2:$AL$1501),MATCH(ROWS($X$2:$X336),'Per Line'!$AL$2:$AL$1501,0),"")</f>
        <v/>
      </c>
    </row>
    <row r="337">
      <c r="A337">
        <f>IF($X337="","",INDEX('Per Line'!$C$2:$C$1501,$X337)&amp;"")</f>
        <v/>
      </c>
      <c r="B337" s="12" t="n"/>
      <c r="C337">
        <f>IF($X337="","",INDEX('Per Line'!$D$2:$D$1501,$X337)&amp;"")</f>
        <v/>
      </c>
      <c r="D337">
        <f>IF($X337="","",INDEX('Per Line'!$A$2:$A$1501,$X337))</f>
        <v/>
      </c>
      <c r="E337">
        <f>IF($X337="","",INDEX('Per Line'!$G$2:$G$1501,$X337)&amp;"")</f>
        <v/>
      </c>
      <c r="F337" s="11">
        <f>IF($X337="","",INDEX('Per Line'!$F$2:$F$1501,$X337))</f>
        <v/>
      </c>
      <c r="G337">
        <f>IF($X337="","",INDEX('Per Line'!$I$2:$I$1501,$X337)&amp;"")</f>
        <v/>
      </c>
      <c r="H337">
        <f>IF($X337="","",INDEX('Per Line'!$J$2:$J$1501,$X337)&amp;"")</f>
        <v/>
      </c>
      <c r="I337">
        <f>IF($X337="","",INDEX('Per Line'!$K$2:$K$1501,$X337)&amp;"")</f>
        <v/>
      </c>
      <c r="J337">
        <f>IF($X337="","",INDEX('Per Line'!$M$2:$M$1501,$X337))</f>
        <v/>
      </c>
      <c r="K337" s="7">
        <f>IF($X337="","",J337*V337/100)</f>
        <v/>
      </c>
      <c r="L337">
        <f>IF($X337="","",INDEX('Per Line'!$Y$2:$Y$1501,$X337)&amp;"")</f>
        <v/>
      </c>
      <c r="M337" s="7">
        <f>IF($X337="","",SUMIFS('Per Line'!$U$2:$U$1501,'Per Line'!$AJ$2:$AJ$1501,$A337&amp;"|"&amp;$C337,'Per Line'!$AN$2:$AN$1501,1))</f>
        <v/>
      </c>
      <c r="N337">
        <f>IF($X337="","",Settings!$C$7)</f>
        <v/>
      </c>
      <c r="O337" s="7">
        <f>IF($X337="","",SUMIFS('Per Line'!$U$2:$U$1501,'Per Line'!$AJ$2:$AJ$1501,$A337&amp;"|"&amp;$C337,'Per Line'!$AM$2:$AM$1501,0,'Per Line'!$AN$2:$AN$1501,0))</f>
        <v/>
      </c>
      <c r="P337" s="7">
        <f>IF($X337="","",O337*N337)</f>
        <v/>
      </c>
      <c r="Q337">
        <f>IF($X337="","",Settings!$C$6)</f>
        <v/>
      </c>
      <c r="R337" s="7">
        <f>IF($X337="","",SUMIFS('Per Line'!$U$2:$U$1501,'Per Line'!$AJ$2:$AJ$1501,$A337&amp;"|"&amp;$C337,'Per Line'!$AM$2:$AM$1501,1,'Per Line'!$AN$2:$AN$1501,0))</f>
        <v/>
      </c>
      <c r="S337" s="7">
        <f>IF($X337="","",R337*Q337)</f>
        <v/>
      </c>
      <c r="T337" s="7">
        <f>IF($X337="","",S337+P337)</f>
        <v/>
      </c>
      <c r="U337" s="7">
        <f>IF($X337="","",V337-T337)</f>
        <v/>
      </c>
      <c r="V337" s="7">
        <f>IF($X337="","",O337+R337+M337)</f>
        <v/>
      </c>
      <c r="W337" s="7">
        <f>IF($X337="","",V337-T337-K337)</f>
        <v/>
      </c>
      <c r="X337" s="13">
        <f>IF(ROWS($X$2:$X337)&lt;=MAX('Per Line'!$AL$2:$AL$1501),MATCH(ROWS($X$2:$X337),'Per Line'!$AL$2:$AL$1501,0),"")</f>
        <v/>
      </c>
    </row>
    <row r="338">
      <c r="A338">
        <f>IF($X338="","",INDEX('Per Line'!$C$2:$C$1501,$X338)&amp;"")</f>
        <v/>
      </c>
      <c r="B338" s="12" t="n"/>
      <c r="C338">
        <f>IF($X338="","",INDEX('Per Line'!$D$2:$D$1501,$X338)&amp;"")</f>
        <v/>
      </c>
      <c r="D338">
        <f>IF($X338="","",INDEX('Per Line'!$A$2:$A$1501,$X338))</f>
        <v/>
      </c>
      <c r="E338">
        <f>IF($X338="","",INDEX('Per Line'!$G$2:$G$1501,$X338)&amp;"")</f>
        <v/>
      </c>
      <c r="F338" s="11">
        <f>IF($X338="","",INDEX('Per Line'!$F$2:$F$1501,$X338))</f>
        <v/>
      </c>
      <c r="G338">
        <f>IF($X338="","",INDEX('Per Line'!$I$2:$I$1501,$X338)&amp;"")</f>
        <v/>
      </c>
      <c r="H338">
        <f>IF($X338="","",INDEX('Per Line'!$J$2:$J$1501,$X338)&amp;"")</f>
        <v/>
      </c>
      <c r="I338">
        <f>IF($X338="","",INDEX('Per Line'!$K$2:$K$1501,$X338)&amp;"")</f>
        <v/>
      </c>
      <c r="J338">
        <f>IF($X338="","",INDEX('Per Line'!$M$2:$M$1501,$X338))</f>
        <v/>
      </c>
      <c r="K338" s="7">
        <f>IF($X338="","",J338*V338/100)</f>
        <v/>
      </c>
      <c r="L338">
        <f>IF($X338="","",INDEX('Per Line'!$Y$2:$Y$1501,$X338)&amp;"")</f>
        <v/>
      </c>
      <c r="M338" s="7">
        <f>IF($X338="","",SUMIFS('Per Line'!$U$2:$U$1501,'Per Line'!$AJ$2:$AJ$1501,$A338&amp;"|"&amp;$C338,'Per Line'!$AN$2:$AN$1501,1))</f>
        <v/>
      </c>
      <c r="N338">
        <f>IF($X338="","",Settings!$C$7)</f>
        <v/>
      </c>
      <c r="O338" s="7">
        <f>IF($X338="","",SUMIFS('Per Line'!$U$2:$U$1501,'Per Line'!$AJ$2:$AJ$1501,$A338&amp;"|"&amp;$C338,'Per Line'!$AM$2:$AM$1501,0,'Per Line'!$AN$2:$AN$1501,0))</f>
        <v/>
      </c>
      <c r="P338" s="7">
        <f>IF($X338="","",O338*N338)</f>
        <v/>
      </c>
      <c r="Q338">
        <f>IF($X338="","",Settings!$C$6)</f>
        <v/>
      </c>
      <c r="R338" s="7">
        <f>IF($X338="","",SUMIFS('Per Line'!$U$2:$U$1501,'Per Line'!$AJ$2:$AJ$1501,$A338&amp;"|"&amp;$C338,'Per Line'!$AM$2:$AM$1501,1,'Per Line'!$AN$2:$AN$1501,0))</f>
        <v/>
      </c>
      <c r="S338" s="7">
        <f>IF($X338="","",R338*Q338)</f>
        <v/>
      </c>
      <c r="T338" s="7">
        <f>IF($X338="","",S338+P338)</f>
        <v/>
      </c>
      <c r="U338" s="7">
        <f>IF($X338="","",V338-T338)</f>
        <v/>
      </c>
      <c r="V338" s="7">
        <f>IF($X338="","",O338+R338+M338)</f>
        <v/>
      </c>
      <c r="W338" s="7">
        <f>IF($X338="","",V338-T338-K338)</f>
        <v/>
      </c>
      <c r="X338" s="13">
        <f>IF(ROWS($X$2:$X338)&lt;=MAX('Per Line'!$AL$2:$AL$1501),MATCH(ROWS($X$2:$X338),'Per Line'!$AL$2:$AL$1501,0),"")</f>
        <v/>
      </c>
    </row>
    <row r="339">
      <c r="A339">
        <f>IF($X339="","",INDEX('Per Line'!$C$2:$C$1501,$X339)&amp;"")</f>
        <v/>
      </c>
      <c r="B339" s="12" t="n"/>
      <c r="C339">
        <f>IF($X339="","",INDEX('Per Line'!$D$2:$D$1501,$X339)&amp;"")</f>
        <v/>
      </c>
      <c r="D339">
        <f>IF($X339="","",INDEX('Per Line'!$A$2:$A$1501,$X339))</f>
        <v/>
      </c>
      <c r="E339">
        <f>IF($X339="","",INDEX('Per Line'!$G$2:$G$1501,$X339)&amp;"")</f>
        <v/>
      </c>
      <c r="F339" s="11">
        <f>IF($X339="","",INDEX('Per Line'!$F$2:$F$1501,$X339))</f>
        <v/>
      </c>
      <c r="G339">
        <f>IF($X339="","",INDEX('Per Line'!$I$2:$I$1501,$X339)&amp;"")</f>
        <v/>
      </c>
      <c r="H339">
        <f>IF($X339="","",INDEX('Per Line'!$J$2:$J$1501,$X339)&amp;"")</f>
        <v/>
      </c>
      <c r="I339">
        <f>IF($X339="","",INDEX('Per Line'!$K$2:$K$1501,$X339)&amp;"")</f>
        <v/>
      </c>
      <c r="J339">
        <f>IF($X339="","",INDEX('Per Line'!$M$2:$M$1501,$X339))</f>
        <v/>
      </c>
      <c r="K339" s="7">
        <f>IF($X339="","",J339*V339/100)</f>
        <v/>
      </c>
      <c r="L339">
        <f>IF($X339="","",INDEX('Per Line'!$Y$2:$Y$1501,$X339)&amp;"")</f>
        <v/>
      </c>
      <c r="M339" s="7">
        <f>IF($X339="","",SUMIFS('Per Line'!$U$2:$U$1501,'Per Line'!$AJ$2:$AJ$1501,$A339&amp;"|"&amp;$C339,'Per Line'!$AN$2:$AN$1501,1))</f>
        <v/>
      </c>
      <c r="N339">
        <f>IF($X339="","",Settings!$C$7)</f>
        <v/>
      </c>
      <c r="O339" s="7">
        <f>IF($X339="","",SUMIFS('Per Line'!$U$2:$U$1501,'Per Line'!$AJ$2:$AJ$1501,$A339&amp;"|"&amp;$C339,'Per Line'!$AM$2:$AM$1501,0,'Per Line'!$AN$2:$AN$1501,0))</f>
        <v/>
      </c>
      <c r="P339" s="7">
        <f>IF($X339="","",O339*N339)</f>
        <v/>
      </c>
      <c r="Q339">
        <f>IF($X339="","",Settings!$C$6)</f>
        <v/>
      </c>
      <c r="R339" s="7">
        <f>IF($X339="","",SUMIFS('Per Line'!$U$2:$U$1501,'Per Line'!$AJ$2:$AJ$1501,$A339&amp;"|"&amp;$C339,'Per Line'!$AM$2:$AM$1501,1,'Per Line'!$AN$2:$AN$1501,0))</f>
        <v/>
      </c>
      <c r="S339" s="7">
        <f>IF($X339="","",R339*Q339)</f>
        <v/>
      </c>
      <c r="T339" s="7">
        <f>IF($X339="","",S339+P339)</f>
        <v/>
      </c>
      <c r="U339" s="7">
        <f>IF($X339="","",V339-T339)</f>
        <v/>
      </c>
      <c r="V339" s="7">
        <f>IF($X339="","",O339+R339+M339)</f>
        <v/>
      </c>
      <c r="W339" s="7">
        <f>IF($X339="","",V339-T339-K339)</f>
        <v/>
      </c>
      <c r="X339" s="13">
        <f>IF(ROWS($X$2:$X339)&lt;=MAX('Per Line'!$AL$2:$AL$1501),MATCH(ROWS($X$2:$X339),'Per Line'!$AL$2:$AL$1501,0),"")</f>
        <v/>
      </c>
    </row>
    <row r="340">
      <c r="A340">
        <f>IF($X340="","",INDEX('Per Line'!$C$2:$C$1501,$X340)&amp;"")</f>
        <v/>
      </c>
      <c r="B340" s="12" t="n"/>
      <c r="C340">
        <f>IF($X340="","",INDEX('Per Line'!$D$2:$D$1501,$X340)&amp;"")</f>
        <v/>
      </c>
      <c r="D340">
        <f>IF($X340="","",INDEX('Per Line'!$A$2:$A$1501,$X340))</f>
        <v/>
      </c>
      <c r="E340">
        <f>IF($X340="","",INDEX('Per Line'!$G$2:$G$1501,$X340)&amp;"")</f>
        <v/>
      </c>
      <c r="F340" s="11">
        <f>IF($X340="","",INDEX('Per Line'!$F$2:$F$1501,$X340))</f>
        <v/>
      </c>
      <c r="G340">
        <f>IF($X340="","",INDEX('Per Line'!$I$2:$I$1501,$X340)&amp;"")</f>
        <v/>
      </c>
      <c r="H340">
        <f>IF($X340="","",INDEX('Per Line'!$J$2:$J$1501,$X340)&amp;"")</f>
        <v/>
      </c>
      <c r="I340">
        <f>IF($X340="","",INDEX('Per Line'!$K$2:$K$1501,$X340)&amp;"")</f>
        <v/>
      </c>
      <c r="J340">
        <f>IF($X340="","",INDEX('Per Line'!$M$2:$M$1501,$X340))</f>
        <v/>
      </c>
      <c r="K340" s="7">
        <f>IF($X340="","",J340*V340/100)</f>
        <v/>
      </c>
      <c r="L340">
        <f>IF($X340="","",INDEX('Per Line'!$Y$2:$Y$1501,$X340)&amp;"")</f>
        <v/>
      </c>
      <c r="M340" s="7">
        <f>IF($X340="","",SUMIFS('Per Line'!$U$2:$U$1501,'Per Line'!$AJ$2:$AJ$1501,$A340&amp;"|"&amp;$C340,'Per Line'!$AN$2:$AN$1501,1))</f>
        <v/>
      </c>
      <c r="N340">
        <f>IF($X340="","",Settings!$C$7)</f>
        <v/>
      </c>
      <c r="O340" s="7">
        <f>IF($X340="","",SUMIFS('Per Line'!$U$2:$U$1501,'Per Line'!$AJ$2:$AJ$1501,$A340&amp;"|"&amp;$C340,'Per Line'!$AM$2:$AM$1501,0,'Per Line'!$AN$2:$AN$1501,0))</f>
        <v/>
      </c>
      <c r="P340" s="7">
        <f>IF($X340="","",O340*N340)</f>
        <v/>
      </c>
      <c r="Q340">
        <f>IF($X340="","",Settings!$C$6)</f>
        <v/>
      </c>
      <c r="R340" s="7">
        <f>IF($X340="","",SUMIFS('Per Line'!$U$2:$U$1501,'Per Line'!$AJ$2:$AJ$1501,$A340&amp;"|"&amp;$C340,'Per Line'!$AM$2:$AM$1501,1,'Per Line'!$AN$2:$AN$1501,0))</f>
        <v/>
      </c>
      <c r="S340" s="7">
        <f>IF($X340="","",R340*Q340)</f>
        <v/>
      </c>
      <c r="T340" s="7">
        <f>IF($X340="","",S340+P340)</f>
        <v/>
      </c>
      <c r="U340" s="7">
        <f>IF($X340="","",V340-T340)</f>
        <v/>
      </c>
      <c r="V340" s="7">
        <f>IF($X340="","",O340+R340+M340)</f>
        <v/>
      </c>
      <c r="W340" s="7">
        <f>IF($X340="","",V340-T340-K340)</f>
        <v/>
      </c>
      <c r="X340" s="13">
        <f>IF(ROWS($X$2:$X340)&lt;=MAX('Per Line'!$AL$2:$AL$1501),MATCH(ROWS($X$2:$X340),'Per Line'!$AL$2:$AL$1501,0),"")</f>
        <v/>
      </c>
    </row>
    <row r="341">
      <c r="A341">
        <f>IF($X341="","",INDEX('Per Line'!$C$2:$C$1501,$X341)&amp;"")</f>
        <v/>
      </c>
      <c r="B341" s="12" t="n"/>
      <c r="C341">
        <f>IF($X341="","",INDEX('Per Line'!$D$2:$D$1501,$X341)&amp;"")</f>
        <v/>
      </c>
      <c r="D341">
        <f>IF($X341="","",INDEX('Per Line'!$A$2:$A$1501,$X341))</f>
        <v/>
      </c>
      <c r="E341">
        <f>IF($X341="","",INDEX('Per Line'!$G$2:$G$1501,$X341)&amp;"")</f>
        <v/>
      </c>
      <c r="F341" s="11">
        <f>IF($X341="","",INDEX('Per Line'!$F$2:$F$1501,$X341))</f>
        <v/>
      </c>
      <c r="G341">
        <f>IF($X341="","",INDEX('Per Line'!$I$2:$I$1501,$X341)&amp;"")</f>
        <v/>
      </c>
      <c r="H341">
        <f>IF($X341="","",INDEX('Per Line'!$J$2:$J$1501,$X341)&amp;"")</f>
        <v/>
      </c>
      <c r="I341">
        <f>IF($X341="","",INDEX('Per Line'!$K$2:$K$1501,$X341)&amp;"")</f>
        <v/>
      </c>
      <c r="J341">
        <f>IF($X341="","",INDEX('Per Line'!$M$2:$M$1501,$X341))</f>
        <v/>
      </c>
      <c r="K341" s="7">
        <f>IF($X341="","",J341*V341/100)</f>
        <v/>
      </c>
      <c r="L341">
        <f>IF($X341="","",INDEX('Per Line'!$Y$2:$Y$1501,$X341)&amp;"")</f>
        <v/>
      </c>
      <c r="M341" s="7">
        <f>IF($X341="","",SUMIFS('Per Line'!$U$2:$U$1501,'Per Line'!$AJ$2:$AJ$1501,$A341&amp;"|"&amp;$C341,'Per Line'!$AN$2:$AN$1501,1))</f>
        <v/>
      </c>
      <c r="N341">
        <f>IF($X341="","",Settings!$C$7)</f>
        <v/>
      </c>
      <c r="O341" s="7">
        <f>IF($X341="","",SUMIFS('Per Line'!$U$2:$U$1501,'Per Line'!$AJ$2:$AJ$1501,$A341&amp;"|"&amp;$C341,'Per Line'!$AM$2:$AM$1501,0,'Per Line'!$AN$2:$AN$1501,0))</f>
        <v/>
      </c>
      <c r="P341" s="7">
        <f>IF($X341="","",O341*N341)</f>
        <v/>
      </c>
      <c r="Q341">
        <f>IF($X341="","",Settings!$C$6)</f>
        <v/>
      </c>
      <c r="R341" s="7">
        <f>IF($X341="","",SUMIFS('Per Line'!$U$2:$U$1501,'Per Line'!$AJ$2:$AJ$1501,$A341&amp;"|"&amp;$C341,'Per Line'!$AM$2:$AM$1501,1,'Per Line'!$AN$2:$AN$1501,0))</f>
        <v/>
      </c>
      <c r="S341" s="7">
        <f>IF($X341="","",R341*Q341)</f>
        <v/>
      </c>
      <c r="T341" s="7">
        <f>IF($X341="","",S341+P341)</f>
        <v/>
      </c>
      <c r="U341" s="7">
        <f>IF($X341="","",V341-T341)</f>
        <v/>
      </c>
      <c r="V341" s="7">
        <f>IF($X341="","",O341+R341+M341)</f>
        <v/>
      </c>
      <c r="W341" s="7">
        <f>IF($X341="","",V341-T341-K341)</f>
        <v/>
      </c>
      <c r="X341" s="13">
        <f>IF(ROWS($X$2:$X341)&lt;=MAX('Per Line'!$AL$2:$AL$1501),MATCH(ROWS($X$2:$X341),'Per Line'!$AL$2:$AL$1501,0),"")</f>
        <v/>
      </c>
    </row>
    <row r="342">
      <c r="A342">
        <f>IF($X342="","",INDEX('Per Line'!$C$2:$C$1501,$X342)&amp;"")</f>
        <v/>
      </c>
      <c r="B342" s="12" t="n"/>
      <c r="C342">
        <f>IF($X342="","",INDEX('Per Line'!$D$2:$D$1501,$X342)&amp;"")</f>
        <v/>
      </c>
      <c r="D342">
        <f>IF($X342="","",INDEX('Per Line'!$A$2:$A$1501,$X342))</f>
        <v/>
      </c>
      <c r="E342">
        <f>IF($X342="","",INDEX('Per Line'!$G$2:$G$1501,$X342)&amp;"")</f>
        <v/>
      </c>
      <c r="F342" s="11">
        <f>IF($X342="","",INDEX('Per Line'!$F$2:$F$1501,$X342))</f>
        <v/>
      </c>
      <c r="G342">
        <f>IF($X342="","",INDEX('Per Line'!$I$2:$I$1501,$X342)&amp;"")</f>
        <v/>
      </c>
      <c r="H342">
        <f>IF($X342="","",INDEX('Per Line'!$J$2:$J$1501,$X342)&amp;"")</f>
        <v/>
      </c>
      <c r="I342">
        <f>IF($X342="","",INDEX('Per Line'!$K$2:$K$1501,$X342)&amp;"")</f>
        <v/>
      </c>
      <c r="J342">
        <f>IF($X342="","",INDEX('Per Line'!$M$2:$M$1501,$X342))</f>
        <v/>
      </c>
      <c r="K342" s="7">
        <f>IF($X342="","",J342*V342/100)</f>
        <v/>
      </c>
      <c r="L342">
        <f>IF($X342="","",INDEX('Per Line'!$Y$2:$Y$1501,$X342)&amp;"")</f>
        <v/>
      </c>
      <c r="M342" s="7">
        <f>IF($X342="","",SUMIFS('Per Line'!$U$2:$U$1501,'Per Line'!$AJ$2:$AJ$1501,$A342&amp;"|"&amp;$C342,'Per Line'!$AN$2:$AN$1501,1))</f>
        <v/>
      </c>
      <c r="N342">
        <f>IF($X342="","",Settings!$C$7)</f>
        <v/>
      </c>
      <c r="O342" s="7">
        <f>IF($X342="","",SUMIFS('Per Line'!$U$2:$U$1501,'Per Line'!$AJ$2:$AJ$1501,$A342&amp;"|"&amp;$C342,'Per Line'!$AM$2:$AM$1501,0,'Per Line'!$AN$2:$AN$1501,0))</f>
        <v/>
      </c>
      <c r="P342" s="7">
        <f>IF($X342="","",O342*N342)</f>
        <v/>
      </c>
      <c r="Q342">
        <f>IF($X342="","",Settings!$C$6)</f>
        <v/>
      </c>
      <c r="R342" s="7">
        <f>IF($X342="","",SUMIFS('Per Line'!$U$2:$U$1501,'Per Line'!$AJ$2:$AJ$1501,$A342&amp;"|"&amp;$C342,'Per Line'!$AM$2:$AM$1501,1,'Per Line'!$AN$2:$AN$1501,0))</f>
        <v/>
      </c>
      <c r="S342" s="7">
        <f>IF($X342="","",R342*Q342)</f>
        <v/>
      </c>
      <c r="T342" s="7">
        <f>IF($X342="","",S342+P342)</f>
        <v/>
      </c>
      <c r="U342" s="7">
        <f>IF($X342="","",V342-T342)</f>
        <v/>
      </c>
      <c r="V342" s="7">
        <f>IF($X342="","",O342+R342+M342)</f>
        <v/>
      </c>
      <c r="W342" s="7">
        <f>IF($X342="","",V342-T342-K342)</f>
        <v/>
      </c>
      <c r="X342" s="13">
        <f>IF(ROWS($X$2:$X342)&lt;=MAX('Per Line'!$AL$2:$AL$1501),MATCH(ROWS($X$2:$X342),'Per Line'!$AL$2:$AL$1501,0),"")</f>
        <v/>
      </c>
    </row>
    <row r="343">
      <c r="A343">
        <f>IF($X343="","",INDEX('Per Line'!$C$2:$C$1501,$X343)&amp;"")</f>
        <v/>
      </c>
      <c r="B343" s="12" t="n"/>
      <c r="C343">
        <f>IF($X343="","",INDEX('Per Line'!$D$2:$D$1501,$X343)&amp;"")</f>
        <v/>
      </c>
      <c r="D343">
        <f>IF($X343="","",INDEX('Per Line'!$A$2:$A$1501,$X343))</f>
        <v/>
      </c>
      <c r="E343">
        <f>IF($X343="","",INDEX('Per Line'!$G$2:$G$1501,$X343)&amp;"")</f>
        <v/>
      </c>
      <c r="F343" s="11">
        <f>IF($X343="","",INDEX('Per Line'!$F$2:$F$1501,$X343))</f>
        <v/>
      </c>
      <c r="G343">
        <f>IF($X343="","",INDEX('Per Line'!$I$2:$I$1501,$X343)&amp;"")</f>
        <v/>
      </c>
      <c r="H343">
        <f>IF($X343="","",INDEX('Per Line'!$J$2:$J$1501,$X343)&amp;"")</f>
        <v/>
      </c>
      <c r="I343">
        <f>IF($X343="","",INDEX('Per Line'!$K$2:$K$1501,$X343)&amp;"")</f>
        <v/>
      </c>
      <c r="J343">
        <f>IF($X343="","",INDEX('Per Line'!$M$2:$M$1501,$X343))</f>
        <v/>
      </c>
      <c r="K343" s="7">
        <f>IF($X343="","",J343*V343/100)</f>
        <v/>
      </c>
      <c r="L343">
        <f>IF($X343="","",INDEX('Per Line'!$Y$2:$Y$1501,$X343)&amp;"")</f>
        <v/>
      </c>
      <c r="M343" s="7">
        <f>IF($X343="","",SUMIFS('Per Line'!$U$2:$U$1501,'Per Line'!$AJ$2:$AJ$1501,$A343&amp;"|"&amp;$C343,'Per Line'!$AN$2:$AN$1501,1))</f>
        <v/>
      </c>
      <c r="N343">
        <f>IF($X343="","",Settings!$C$7)</f>
        <v/>
      </c>
      <c r="O343" s="7">
        <f>IF($X343="","",SUMIFS('Per Line'!$U$2:$U$1501,'Per Line'!$AJ$2:$AJ$1501,$A343&amp;"|"&amp;$C343,'Per Line'!$AM$2:$AM$1501,0,'Per Line'!$AN$2:$AN$1501,0))</f>
        <v/>
      </c>
      <c r="P343" s="7">
        <f>IF($X343="","",O343*N343)</f>
        <v/>
      </c>
      <c r="Q343">
        <f>IF($X343="","",Settings!$C$6)</f>
        <v/>
      </c>
      <c r="R343" s="7">
        <f>IF($X343="","",SUMIFS('Per Line'!$U$2:$U$1501,'Per Line'!$AJ$2:$AJ$1501,$A343&amp;"|"&amp;$C343,'Per Line'!$AM$2:$AM$1501,1,'Per Line'!$AN$2:$AN$1501,0))</f>
        <v/>
      </c>
      <c r="S343" s="7">
        <f>IF($X343="","",R343*Q343)</f>
        <v/>
      </c>
      <c r="T343" s="7">
        <f>IF($X343="","",S343+P343)</f>
        <v/>
      </c>
      <c r="U343" s="7">
        <f>IF($X343="","",V343-T343)</f>
        <v/>
      </c>
      <c r="V343" s="7">
        <f>IF($X343="","",O343+R343+M343)</f>
        <v/>
      </c>
      <c r="W343" s="7">
        <f>IF($X343="","",V343-T343-K343)</f>
        <v/>
      </c>
      <c r="X343" s="13">
        <f>IF(ROWS($X$2:$X343)&lt;=MAX('Per Line'!$AL$2:$AL$1501),MATCH(ROWS($X$2:$X343),'Per Line'!$AL$2:$AL$1501,0),"")</f>
        <v/>
      </c>
    </row>
    <row r="344">
      <c r="A344">
        <f>IF($X344="","",INDEX('Per Line'!$C$2:$C$1501,$X344)&amp;"")</f>
        <v/>
      </c>
      <c r="B344" s="12" t="n"/>
      <c r="C344">
        <f>IF($X344="","",INDEX('Per Line'!$D$2:$D$1501,$X344)&amp;"")</f>
        <v/>
      </c>
      <c r="D344">
        <f>IF($X344="","",INDEX('Per Line'!$A$2:$A$1501,$X344))</f>
        <v/>
      </c>
      <c r="E344">
        <f>IF($X344="","",INDEX('Per Line'!$G$2:$G$1501,$X344)&amp;"")</f>
        <v/>
      </c>
      <c r="F344" s="11">
        <f>IF($X344="","",INDEX('Per Line'!$F$2:$F$1501,$X344))</f>
        <v/>
      </c>
      <c r="G344">
        <f>IF($X344="","",INDEX('Per Line'!$I$2:$I$1501,$X344)&amp;"")</f>
        <v/>
      </c>
      <c r="H344">
        <f>IF($X344="","",INDEX('Per Line'!$J$2:$J$1501,$X344)&amp;"")</f>
        <v/>
      </c>
      <c r="I344">
        <f>IF($X344="","",INDEX('Per Line'!$K$2:$K$1501,$X344)&amp;"")</f>
        <v/>
      </c>
      <c r="J344">
        <f>IF($X344="","",INDEX('Per Line'!$M$2:$M$1501,$X344))</f>
        <v/>
      </c>
      <c r="K344" s="7">
        <f>IF($X344="","",J344*V344/100)</f>
        <v/>
      </c>
      <c r="L344">
        <f>IF($X344="","",INDEX('Per Line'!$Y$2:$Y$1501,$X344)&amp;"")</f>
        <v/>
      </c>
      <c r="M344" s="7">
        <f>IF($X344="","",SUMIFS('Per Line'!$U$2:$U$1501,'Per Line'!$AJ$2:$AJ$1501,$A344&amp;"|"&amp;$C344,'Per Line'!$AN$2:$AN$1501,1))</f>
        <v/>
      </c>
      <c r="N344">
        <f>IF($X344="","",Settings!$C$7)</f>
        <v/>
      </c>
      <c r="O344" s="7">
        <f>IF($X344="","",SUMIFS('Per Line'!$U$2:$U$1501,'Per Line'!$AJ$2:$AJ$1501,$A344&amp;"|"&amp;$C344,'Per Line'!$AM$2:$AM$1501,0,'Per Line'!$AN$2:$AN$1501,0))</f>
        <v/>
      </c>
      <c r="P344" s="7">
        <f>IF($X344="","",O344*N344)</f>
        <v/>
      </c>
      <c r="Q344">
        <f>IF($X344="","",Settings!$C$6)</f>
        <v/>
      </c>
      <c r="R344" s="7">
        <f>IF($X344="","",SUMIFS('Per Line'!$U$2:$U$1501,'Per Line'!$AJ$2:$AJ$1501,$A344&amp;"|"&amp;$C344,'Per Line'!$AM$2:$AM$1501,1,'Per Line'!$AN$2:$AN$1501,0))</f>
        <v/>
      </c>
      <c r="S344" s="7">
        <f>IF($X344="","",R344*Q344)</f>
        <v/>
      </c>
      <c r="T344" s="7">
        <f>IF($X344="","",S344+P344)</f>
        <v/>
      </c>
      <c r="U344" s="7">
        <f>IF($X344="","",V344-T344)</f>
        <v/>
      </c>
      <c r="V344" s="7">
        <f>IF($X344="","",O344+R344+M344)</f>
        <v/>
      </c>
      <c r="W344" s="7">
        <f>IF($X344="","",V344-T344-K344)</f>
        <v/>
      </c>
      <c r="X344" s="13">
        <f>IF(ROWS($X$2:$X344)&lt;=MAX('Per Line'!$AL$2:$AL$1501),MATCH(ROWS($X$2:$X344),'Per Line'!$AL$2:$AL$1501,0),"")</f>
        <v/>
      </c>
    </row>
    <row r="345">
      <c r="A345">
        <f>IF($X345="","",INDEX('Per Line'!$C$2:$C$1501,$X345)&amp;"")</f>
        <v/>
      </c>
      <c r="B345" s="12" t="n"/>
      <c r="C345">
        <f>IF($X345="","",INDEX('Per Line'!$D$2:$D$1501,$X345)&amp;"")</f>
        <v/>
      </c>
      <c r="D345">
        <f>IF($X345="","",INDEX('Per Line'!$A$2:$A$1501,$X345))</f>
        <v/>
      </c>
      <c r="E345">
        <f>IF($X345="","",INDEX('Per Line'!$G$2:$G$1501,$X345)&amp;"")</f>
        <v/>
      </c>
      <c r="F345" s="11">
        <f>IF($X345="","",INDEX('Per Line'!$F$2:$F$1501,$X345))</f>
        <v/>
      </c>
      <c r="G345">
        <f>IF($X345="","",INDEX('Per Line'!$I$2:$I$1501,$X345)&amp;"")</f>
        <v/>
      </c>
      <c r="H345">
        <f>IF($X345="","",INDEX('Per Line'!$J$2:$J$1501,$X345)&amp;"")</f>
        <v/>
      </c>
      <c r="I345">
        <f>IF($X345="","",INDEX('Per Line'!$K$2:$K$1501,$X345)&amp;"")</f>
        <v/>
      </c>
      <c r="J345">
        <f>IF($X345="","",INDEX('Per Line'!$M$2:$M$1501,$X345))</f>
        <v/>
      </c>
      <c r="K345" s="7">
        <f>IF($X345="","",J345*V345/100)</f>
        <v/>
      </c>
      <c r="L345">
        <f>IF($X345="","",INDEX('Per Line'!$Y$2:$Y$1501,$X345)&amp;"")</f>
        <v/>
      </c>
      <c r="M345" s="7">
        <f>IF($X345="","",SUMIFS('Per Line'!$U$2:$U$1501,'Per Line'!$AJ$2:$AJ$1501,$A345&amp;"|"&amp;$C345,'Per Line'!$AN$2:$AN$1501,1))</f>
        <v/>
      </c>
      <c r="N345">
        <f>IF($X345="","",Settings!$C$7)</f>
        <v/>
      </c>
      <c r="O345" s="7">
        <f>IF($X345="","",SUMIFS('Per Line'!$U$2:$U$1501,'Per Line'!$AJ$2:$AJ$1501,$A345&amp;"|"&amp;$C345,'Per Line'!$AM$2:$AM$1501,0,'Per Line'!$AN$2:$AN$1501,0))</f>
        <v/>
      </c>
      <c r="P345" s="7">
        <f>IF($X345="","",O345*N345)</f>
        <v/>
      </c>
      <c r="Q345">
        <f>IF($X345="","",Settings!$C$6)</f>
        <v/>
      </c>
      <c r="R345" s="7">
        <f>IF($X345="","",SUMIFS('Per Line'!$U$2:$U$1501,'Per Line'!$AJ$2:$AJ$1501,$A345&amp;"|"&amp;$C345,'Per Line'!$AM$2:$AM$1501,1,'Per Line'!$AN$2:$AN$1501,0))</f>
        <v/>
      </c>
      <c r="S345" s="7">
        <f>IF($X345="","",R345*Q345)</f>
        <v/>
      </c>
      <c r="T345" s="7">
        <f>IF($X345="","",S345+P345)</f>
        <v/>
      </c>
      <c r="U345" s="7">
        <f>IF($X345="","",V345-T345)</f>
        <v/>
      </c>
      <c r="V345" s="7">
        <f>IF($X345="","",O345+R345+M345)</f>
        <v/>
      </c>
      <c r="W345" s="7">
        <f>IF($X345="","",V345-T345-K345)</f>
        <v/>
      </c>
      <c r="X345" s="13">
        <f>IF(ROWS($X$2:$X345)&lt;=MAX('Per Line'!$AL$2:$AL$1501),MATCH(ROWS($X$2:$X345),'Per Line'!$AL$2:$AL$1501,0),"")</f>
        <v/>
      </c>
    </row>
    <row r="346">
      <c r="A346">
        <f>IF($X346="","",INDEX('Per Line'!$C$2:$C$1501,$X346)&amp;"")</f>
        <v/>
      </c>
      <c r="B346" s="12" t="n"/>
      <c r="C346">
        <f>IF($X346="","",INDEX('Per Line'!$D$2:$D$1501,$X346)&amp;"")</f>
        <v/>
      </c>
      <c r="D346">
        <f>IF($X346="","",INDEX('Per Line'!$A$2:$A$1501,$X346))</f>
        <v/>
      </c>
      <c r="E346">
        <f>IF($X346="","",INDEX('Per Line'!$G$2:$G$1501,$X346)&amp;"")</f>
        <v/>
      </c>
      <c r="F346" s="11">
        <f>IF($X346="","",INDEX('Per Line'!$F$2:$F$1501,$X346))</f>
        <v/>
      </c>
      <c r="G346">
        <f>IF($X346="","",INDEX('Per Line'!$I$2:$I$1501,$X346)&amp;"")</f>
        <v/>
      </c>
      <c r="H346">
        <f>IF($X346="","",INDEX('Per Line'!$J$2:$J$1501,$X346)&amp;"")</f>
        <v/>
      </c>
      <c r="I346">
        <f>IF($X346="","",INDEX('Per Line'!$K$2:$K$1501,$X346)&amp;"")</f>
        <v/>
      </c>
      <c r="J346">
        <f>IF($X346="","",INDEX('Per Line'!$M$2:$M$1501,$X346))</f>
        <v/>
      </c>
      <c r="K346" s="7">
        <f>IF($X346="","",J346*V346/100)</f>
        <v/>
      </c>
      <c r="L346">
        <f>IF($X346="","",INDEX('Per Line'!$Y$2:$Y$1501,$X346)&amp;"")</f>
        <v/>
      </c>
      <c r="M346" s="7">
        <f>IF($X346="","",SUMIFS('Per Line'!$U$2:$U$1501,'Per Line'!$AJ$2:$AJ$1501,$A346&amp;"|"&amp;$C346,'Per Line'!$AN$2:$AN$1501,1))</f>
        <v/>
      </c>
      <c r="N346">
        <f>IF($X346="","",Settings!$C$7)</f>
        <v/>
      </c>
      <c r="O346" s="7">
        <f>IF($X346="","",SUMIFS('Per Line'!$U$2:$U$1501,'Per Line'!$AJ$2:$AJ$1501,$A346&amp;"|"&amp;$C346,'Per Line'!$AM$2:$AM$1501,0,'Per Line'!$AN$2:$AN$1501,0))</f>
        <v/>
      </c>
      <c r="P346" s="7">
        <f>IF($X346="","",O346*N346)</f>
        <v/>
      </c>
      <c r="Q346">
        <f>IF($X346="","",Settings!$C$6)</f>
        <v/>
      </c>
      <c r="R346" s="7">
        <f>IF($X346="","",SUMIFS('Per Line'!$U$2:$U$1501,'Per Line'!$AJ$2:$AJ$1501,$A346&amp;"|"&amp;$C346,'Per Line'!$AM$2:$AM$1501,1,'Per Line'!$AN$2:$AN$1501,0))</f>
        <v/>
      </c>
      <c r="S346" s="7">
        <f>IF($X346="","",R346*Q346)</f>
        <v/>
      </c>
      <c r="T346" s="7">
        <f>IF($X346="","",S346+P346)</f>
        <v/>
      </c>
      <c r="U346" s="7">
        <f>IF($X346="","",V346-T346)</f>
        <v/>
      </c>
      <c r="V346" s="7">
        <f>IF($X346="","",O346+R346+M346)</f>
        <v/>
      </c>
      <c r="W346" s="7">
        <f>IF($X346="","",V346-T346-K346)</f>
        <v/>
      </c>
      <c r="X346" s="13">
        <f>IF(ROWS($X$2:$X346)&lt;=MAX('Per Line'!$AL$2:$AL$1501),MATCH(ROWS($X$2:$X346),'Per Line'!$AL$2:$AL$1501,0),"")</f>
        <v/>
      </c>
    </row>
    <row r="347">
      <c r="A347">
        <f>IF($X347="","",INDEX('Per Line'!$C$2:$C$1501,$X347)&amp;"")</f>
        <v/>
      </c>
      <c r="B347" s="12" t="n"/>
      <c r="C347">
        <f>IF($X347="","",INDEX('Per Line'!$D$2:$D$1501,$X347)&amp;"")</f>
        <v/>
      </c>
      <c r="D347">
        <f>IF($X347="","",INDEX('Per Line'!$A$2:$A$1501,$X347))</f>
        <v/>
      </c>
      <c r="E347">
        <f>IF($X347="","",INDEX('Per Line'!$G$2:$G$1501,$X347)&amp;"")</f>
        <v/>
      </c>
      <c r="F347" s="11">
        <f>IF($X347="","",INDEX('Per Line'!$F$2:$F$1501,$X347))</f>
        <v/>
      </c>
      <c r="G347">
        <f>IF($X347="","",INDEX('Per Line'!$I$2:$I$1501,$X347)&amp;"")</f>
        <v/>
      </c>
      <c r="H347">
        <f>IF($X347="","",INDEX('Per Line'!$J$2:$J$1501,$X347)&amp;"")</f>
        <v/>
      </c>
      <c r="I347">
        <f>IF($X347="","",INDEX('Per Line'!$K$2:$K$1501,$X347)&amp;"")</f>
        <v/>
      </c>
      <c r="J347">
        <f>IF($X347="","",INDEX('Per Line'!$M$2:$M$1501,$X347))</f>
        <v/>
      </c>
      <c r="K347" s="7">
        <f>IF($X347="","",J347*V347/100)</f>
        <v/>
      </c>
      <c r="L347">
        <f>IF($X347="","",INDEX('Per Line'!$Y$2:$Y$1501,$X347)&amp;"")</f>
        <v/>
      </c>
      <c r="M347" s="7">
        <f>IF($X347="","",SUMIFS('Per Line'!$U$2:$U$1501,'Per Line'!$AJ$2:$AJ$1501,$A347&amp;"|"&amp;$C347,'Per Line'!$AN$2:$AN$1501,1))</f>
        <v/>
      </c>
      <c r="N347">
        <f>IF($X347="","",Settings!$C$7)</f>
        <v/>
      </c>
      <c r="O347" s="7">
        <f>IF($X347="","",SUMIFS('Per Line'!$U$2:$U$1501,'Per Line'!$AJ$2:$AJ$1501,$A347&amp;"|"&amp;$C347,'Per Line'!$AM$2:$AM$1501,0,'Per Line'!$AN$2:$AN$1501,0))</f>
        <v/>
      </c>
      <c r="P347" s="7">
        <f>IF($X347="","",O347*N347)</f>
        <v/>
      </c>
      <c r="Q347">
        <f>IF($X347="","",Settings!$C$6)</f>
        <v/>
      </c>
      <c r="R347" s="7">
        <f>IF($X347="","",SUMIFS('Per Line'!$U$2:$U$1501,'Per Line'!$AJ$2:$AJ$1501,$A347&amp;"|"&amp;$C347,'Per Line'!$AM$2:$AM$1501,1,'Per Line'!$AN$2:$AN$1501,0))</f>
        <v/>
      </c>
      <c r="S347" s="7">
        <f>IF($X347="","",R347*Q347)</f>
        <v/>
      </c>
      <c r="T347" s="7">
        <f>IF($X347="","",S347+P347)</f>
        <v/>
      </c>
      <c r="U347" s="7">
        <f>IF($X347="","",V347-T347)</f>
        <v/>
      </c>
      <c r="V347" s="7">
        <f>IF($X347="","",O347+R347+M347)</f>
        <v/>
      </c>
      <c r="W347" s="7">
        <f>IF($X347="","",V347-T347-K347)</f>
        <v/>
      </c>
      <c r="X347" s="13">
        <f>IF(ROWS($X$2:$X347)&lt;=MAX('Per Line'!$AL$2:$AL$1501),MATCH(ROWS($X$2:$X347),'Per Line'!$AL$2:$AL$1501,0),"")</f>
        <v/>
      </c>
    </row>
    <row r="348">
      <c r="A348">
        <f>IF($X348="","",INDEX('Per Line'!$C$2:$C$1501,$X348)&amp;"")</f>
        <v/>
      </c>
      <c r="B348" s="12" t="n"/>
      <c r="C348">
        <f>IF($X348="","",INDEX('Per Line'!$D$2:$D$1501,$X348)&amp;"")</f>
        <v/>
      </c>
      <c r="D348">
        <f>IF($X348="","",INDEX('Per Line'!$A$2:$A$1501,$X348))</f>
        <v/>
      </c>
      <c r="E348">
        <f>IF($X348="","",INDEX('Per Line'!$G$2:$G$1501,$X348)&amp;"")</f>
        <v/>
      </c>
      <c r="F348" s="11">
        <f>IF($X348="","",INDEX('Per Line'!$F$2:$F$1501,$X348))</f>
        <v/>
      </c>
      <c r="G348">
        <f>IF($X348="","",INDEX('Per Line'!$I$2:$I$1501,$X348)&amp;"")</f>
        <v/>
      </c>
      <c r="H348">
        <f>IF($X348="","",INDEX('Per Line'!$J$2:$J$1501,$X348)&amp;"")</f>
        <v/>
      </c>
      <c r="I348">
        <f>IF($X348="","",INDEX('Per Line'!$K$2:$K$1501,$X348)&amp;"")</f>
        <v/>
      </c>
      <c r="J348">
        <f>IF($X348="","",INDEX('Per Line'!$M$2:$M$1501,$X348))</f>
        <v/>
      </c>
      <c r="K348" s="7">
        <f>IF($X348="","",J348*V348/100)</f>
        <v/>
      </c>
      <c r="L348">
        <f>IF($X348="","",INDEX('Per Line'!$Y$2:$Y$1501,$X348)&amp;"")</f>
        <v/>
      </c>
      <c r="M348" s="7">
        <f>IF($X348="","",SUMIFS('Per Line'!$U$2:$U$1501,'Per Line'!$AJ$2:$AJ$1501,$A348&amp;"|"&amp;$C348,'Per Line'!$AN$2:$AN$1501,1))</f>
        <v/>
      </c>
      <c r="N348">
        <f>IF($X348="","",Settings!$C$7)</f>
        <v/>
      </c>
      <c r="O348" s="7">
        <f>IF($X348="","",SUMIFS('Per Line'!$U$2:$U$1501,'Per Line'!$AJ$2:$AJ$1501,$A348&amp;"|"&amp;$C348,'Per Line'!$AM$2:$AM$1501,0,'Per Line'!$AN$2:$AN$1501,0))</f>
        <v/>
      </c>
      <c r="P348" s="7">
        <f>IF($X348="","",O348*N348)</f>
        <v/>
      </c>
      <c r="Q348">
        <f>IF($X348="","",Settings!$C$6)</f>
        <v/>
      </c>
      <c r="R348" s="7">
        <f>IF($X348="","",SUMIFS('Per Line'!$U$2:$U$1501,'Per Line'!$AJ$2:$AJ$1501,$A348&amp;"|"&amp;$C348,'Per Line'!$AM$2:$AM$1501,1,'Per Line'!$AN$2:$AN$1501,0))</f>
        <v/>
      </c>
      <c r="S348" s="7">
        <f>IF($X348="","",R348*Q348)</f>
        <v/>
      </c>
      <c r="T348" s="7">
        <f>IF($X348="","",S348+P348)</f>
        <v/>
      </c>
      <c r="U348" s="7">
        <f>IF($X348="","",V348-T348)</f>
        <v/>
      </c>
      <c r="V348" s="7">
        <f>IF($X348="","",O348+R348+M348)</f>
        <v/>
      </c>
      <c r="W348" s="7">
        <f>IF($X348="","",V348-T348-K348)</f>
        <v/>
      </c>
      <c r="X348" s="13">
        <f>IF(ROWS($X$2:$X348)&lt;=MAX('Per Line'!$AL$2:$AL$1501),MATCH(ROWS($X$2:$X348),'Per Line'!$AL$2:$AL$1501,0),"")</f>
        <v/>
      </c>
    </row>
    <row r="349">
      <c r="A349">
        <f>IF($X349="","",INDEX('Per Line'!$C$2:$C$1501,$X349)&amp;"")</f>
        <v/>
      </c>
      <c r="B349" s="12" t="n"/>
      <c r="C349">
        <f>IF($X349="","",INDEX('Per Line'!$D$2:$D$1501,$X349)&amp;"")</f>
        <v/>
      </c>
      <c r="D349">
        <f>IF($X349="","",INDEX('Per Line'!$A$2:$A$1501,$X349))</f>
        <v/>
      </c>
      <c r="E349">
        <f>IF($X349="","",INDEX('Per Line'!$G$2:$G$1501,$X349)&amp;"")</f>
        <v/>
      </c>
      <c r="F349" s="11">
        <f>IF($X349="","",INDEX('Per Line'!$F$2:$F$1501,$X349))</f>
        <v/>
      </c>
      <c r="G349">
        <f>IF($X349="","",INDEX('Per Line'!$I$2:$I$1501,$X349)&amp;"")</f>
        <v/>
      </c>
      <c r="H349">
        <f>IF($X349="","",INDEX('Per Line'!$J$2:$J$1501,$X349)&amp;"")</f>
        <v/>
      </c>
      <c r="I349">
        <f>IF($X349="","",INDEX('Per Line'!$K$2:$K$1501,$X349)&amp;"")</f>
        <v/>
      </c>
      <c r="J349">
        <f>IF($X349="","",INDEX('Per Line'!$M$2:$M$1501,$X349))</f>
        <v/>
      </c>
      <c r="K349" s="7">
        <f>IF($X349="","",J349*V349/100)</f>
        <v/>
      </c>
      <c r="L349">
        <f>IF($X349="","",INDEX('Per Line'!$Y$2:$Y$1501,$X349)&amp;"")</f>
        <v/>
      </c>
      <c r="M349" s="7">
        <f>IF($X349="","",SUMIFS('Per Line'!$U$2:$U$1501,'Per Line'!$AJ$2:$AJ$1501,$A349&amp;"|"&amp;$C349,'Per Line'!$AN$2:$AN$1501,1))</f>
        <v/>
      </c>
      <c r="N349">
        <f>IF($X349="","",Settings!$C$7)</f>
        <v/>
      </c>
      <c r="O349" s="7">
        <f>IF($X349="","",SUMIFS('Per Line'!$U$2:$U$1501,'Per Line'!$AJ$2:$AJ$1501,$A349&amp;"|"&amp;$C349,'Per Line'!$AM$2:$AM$1501,0,'Per Line'!$AN$2:$AN$1501,0))</f>
        <v/>
      </c>
      <c r="P349" s="7">
        <f>IF($X349="","",O349*N349)</f>
        <v/>
      </c>
      <c r="Q349">
        <f>IF($X349="","",Settings!$C$6)</f>
        <v/>
      </c>
      <c r="R349" s="7">
        <f>IF($X349="","",SUMIFS('Per Line'!$U$2:$U$1501,'Per Line'!$AJ$2:$AJ$1501,$A349&amp;"|"&amp;$C349,'Per Line'!$AM$2:$AM$1501,1,'Per Line'!$AN$2:$AN$1501,0))</f>
        <v/>
      </c>
      <c r="S349" s="7">
        <f>IF($X349="","",R349*Q349)</f>
        <v/>
      </c>
      <c r="T349" s="7">
        <f>IF($X349="","",S349+P349)</f>
        <v/>
      </c>
      <c r="U349" s="7">
        <f>IF($X349="","",V349-T349)</f>
        <v/>
      </c>
      <c r="V349" s="7">
        <f>IF($X349="","",O349+R349+M349)</f>
        <v/>
      </c>
      <c r="W349" s="7">
        <f>IF($X349="","",V349-T349-K349)</f>
        <v/>
      </c>
      <c r="X349" s="13">
        <f>IF(ROWS($X$2:$X349)&lt;=MAX('Per Line'!$AL$2:$AL$1501),MATCH(ROWS($X$2:$X349),'Per Line'!$AL$2:$AL$1501,0),"")</f>
        <v/>
      </c>
    </row>
    <row r="350">
      <c r="A350">
        <f>IF($X350="","",INDEX('Per Line'!$C$2:$C$1501,$X350)&amp;"")</f>
        <v/>
      </c>
      <c r="B350" s="12" t="n"/>
      <c r="C350">
        <f>IF($X350="","",INDEX('Per Line'!$D$2:$D$1501,$X350)&amp;"")</f>
        <v/>
      </c>
      <c r="D350">
        <f>IF($X350="","",INDEX('Per Line'!$A$2:$A$1501,$X350))</f>
        <v/>
      </c>
      <c r="E350">
        <f>IF($X350="","",INDEX('Per Line'!$G$2:$G$1501,$X350)&amp;"")</f>
        <v/>
      </c>
      <c r="F350" s="11">
        <f>IF($X350="","",INDEX('Per Line'!$F$2:$F$1501,$X350))</f>
        <v/>
      </c>
      <c r="G350">
        <f>IF($X350="","",INDEX('Per Line'!$I$2:$I$1501,$X350)&amp;"")</f>
        <v/>
      </c>
      <c r="H350">
        <f>IF($X350="","",INDEX('Per Line'!$J$2:$J$1501,$X350)&amp;"")</f>
        <v/>
      </c>
      <c r="I350">
        <f>IF($X350="","",INDEX('Per Line'!$K$2:$K$1501,$X350)&amp;"")</f>
        <v/>
      </c>
      <c r="J350">
        <f>IF($X350="","",INDEX('Per Line'!$M$2:$M$1501,$X350))</f>
        <v/>
      </c>
      <c r="K350" s="7">
        <f>IF($X350="","",J350*V350/100)</f>
        <v/>
      </c>
      <c r="L350">
        <f>IF($X350="","",INDEX('Per Line'!$Y$2:$Y$1501,$X350)&amp;"")</f>
        <v/>
      </c>
      <c r="M350" s="7">
        <f>IF($X350="","",SUMIFS('Per Line'!$U$2:$U$1501,'Per Line'!$AJ$2:$AJ$1501,$A350&amp;"|"&amp;$C350,'Per Line'!$AN$2:$AN$1501,1))</f>
        <v/>
      </c>
      <c r="N350">
        <f>IF($X350="","",Settings!$C$7)</f>
        <v/>
      </c>
      <c r="O350" s="7">
        <f>IF($X350="","",SUMIFS('Per Line'!$U$2:$U$1501,'Per Line'!$AJ$2:$AJ$1501,$A350&amp;"|"&amp;$C350,'Per Line'!$AM$2:$AM$1501,0,'Per Line'!$AN$2:$AN$1501,0))</f>
        <v/>
      </c>
      <c r="P350" s="7">
        <f>IF($X350="","",O350*N350)</f>
        <v/>
      </c>
      <c r="Q350">
        <f>IF($X350="","",Settings!$C$6)</f>
        <v/>
      </c>
      <c r="R350" s="7">
        <f>IF($X350="","",SUMIFS('Per Line'!$U$2:$U$1501,'Per Line'!$AJ$2:$AJ$1501,$A350&amp;"|"&amp;$C350,'Per Line'!$AM$2:$AM$1501,1,'Per Line'!$AN$2:$AN$1501,0))</f>
        <v/>
      </c>
      <c r="S350" s="7">
        <f>IF($X350="","",R350*Q350)</f>
        <v/>
      </c>
      <c r="T350" s="7">
        <f>IF($X350="","",S350+P350)</f>
        <v/>
      </c>
      <c r="U350" s="7">
        <f>IF($X350="","",V350-T350)</f>
        <v/>
      </c>
      <c r="V350" s="7">
        <f>IF($X350="","",O350+R350+M350)</f>
        <v/>
      </c>
      <c r="W350" s="7">
        <f>IF($X350="","",V350-T350-K350)</f>
        <v/>
      </c>
      <c r="X350" s="13">
        <f>IF(ROWS($X$2:$X350)&lt;=MAX('Per Line'!$AL$2:$AL$1501),MATCH(ROWS($X$2:$X350),'Per Line'!$AL$2:$AL$1501,0),"")</f>
        <v/>
      </c>
    </row>
    <row r="351">
      <c r="A351">
        <f>IF($X351="","",INDEX('Per Line'!$C$2:$C$1501,$X351)&amp;"")</f>
        <v/>
      </c>
      <c r="B351" s="12" t="n"/>
      <c r="C351">
        <f>IF($X351="","",INDEX('Per Line'!$D$2:$D$1501,$X351)&amp;"")</f>
        <v/>
      </c>
      <c r="D351">
        <f>IF($X351="","",INDEX('Per Line'!$A$2:$A$1501,$X351))</f>
        <v/>
      </c>
      <c r="E351">
        <f>IF($X351="","",INDEX('Per Line'!$G$2:$G$1501,$X351)&amp;"")</f>
        <v/>
      </c>
      <c r="F351" s="11">
        <f>IF($X351="","",INDEX('Per Line'!$F$2:$F$1501,$X351))</f>
        <v/>
      </c>
      <c r="G351">
        <f>IF($X351="","",INDEX('Per Line'!$I$2:$I$1501,$X351)&amp;"")</f>
        <v/>
      </c>
      <c r="H351">
        <f>IF($X351="","",INDEX('Per Line'!$J$2:$J$1501,$X351)&amp;"")</f>
        <v/>
      </c>
      <c r="I351">
        <f>IF($X351="","",INDEX('Per Line'!$K$2:$K$1501,$X351)&amp;"")</f>
        <v/>
      </c>
      <c r="J351">
        <f>IF($X351="","",INDEX('Per Line'!$M$2:$M$1501,$X351))</f>
        <v/>
      </c>
      <c r="K351" s="7">
        <f>IF($X351="","",J351*V351/100)</f>
        <v/>
      </c>
      <c r="L351">
        <f>IF($X351="","",INDEX('Per Line'!$Y$2:$Y$1501,$X351)&amp;"")</f>
        <v/>
      </c>
      <c r="M351" s="7">
        <f>IF($X351="","",SUMIFS('Per Line'!$U$2:$U$1501,'Per Line'!$AJ$2:$AJ$1501,$A351&amp;"|"&amp;$C351,'Per Line'!$AN$2:$AN$1501,1))</f>
        <v/>
      </c>
      <c r="N351">
        <f>IF($X351="","",Settings!$C$7)</f>
        <v/>
      </c>
      <c r="O351" s="7">
        <f>IF($X351="","",SUMIFS('Per Line'!$U$2:$U$1501,'Per Line'!$AJ$2:$AJ$1501,$A351&amp;"|"&amp;$C351,'Per Line'!$AM$2:$AM$1501,0,'Per Line'!$AN$2:$AN$1501,0))</f>
        <v/>
      </c>
      <c r="P351" s="7">
        <f>IF($X351="","",O351*N351)</f>
        <v/>
      </c>
      <c r="Q351">
        <f>IF($X351="","",Settings!$C$6)</f>
        <v/>
      </c>
      <c r="R351" s="7">
        <f>IF($X351="","",SUMIFS('Per Line'!$U$2:$U$1501,'Per Line'!$AJ$2:$AJ$1501,$A351&amp;"|"&amp;$C351,'Per Line'!$AM$2:$AM$1501,1,'Per Line'!$AN$2:$AN$1501,0))</f>
        <v/>
      </c>
      <c r="S351" s="7">
        <f>IF($X351="","",R351*Q351)</f>
        <v/>
      </c>
      <c r="T351" s="7">
        <f>IF($X351="","",S351+P351)</f>
        <v/>
      </c>
      <c r="U351" s="7">
        <f>IF($X351="","",V351-T351)</f>
        <v/>
      </c>
      <c r="V351" s="7">
        <f>IF($X351="","",O351+R351+M351)</f>
        <v/>
      </c>
      <c r="W351" s="7">
        <f>IF($X351="","",V351-T351-K351)</f>
        <v/>
      </c>
      <c r="X351" s="13">
        <f>IF(ROWS($X$2:$X351)&lt;=MAX('Per Line'!$AL$2:$AL$1501),MATCH(ROWS($X$2:$X351),'Per Line'!$AL$2:$AL$1501,0),"")</f>
        <v/>
      </c>
    </row>
    <row r="352">
      <c r="A352">
        <f>IF($X352="","",INDEX('Per Line'!$C$2:$C$1501,$X352)&amp;"")</f>
        <v/>
      </c>
      <c r="B352" s="12" t="n"/>
      <c r="C352">
        <f>IF($X352="","",INDEX('Per Line'!$D$2:$D$1501,$X352)&amp;"")</f>
        <v/>
      </c>
      <c r="D352">
        <f>IF($X352="","",INDEX('Per Line'!$A$2:$A$1501,$X352))</f>
        <v/>
      </c>
      <c r="E352">
        <f>IF($X352="","",INDEX('Per Line'!$G$2:$G$1501,$X352)&amp;"")</f>
        <v/>
      </c>
      <c r="F352" s="11">
        <f>IF($X352="","",INDEX('Per Line'!$F$2:$F$1501,$X352))</f>
        <v/>
      </c>
      <c r="G352">
        <f>IF($X352="","",INDEX('Per Line'!$I$2:$I$1501,$X352)&amp;"")</f>
        <v/>
      </c>
      <c r="H352">
        <f>IF($X352="","",INDEX('Per Line'!$J$2:$J$1501,$X352)&amp;"")</f>
        <v/>
      </c>
      <c r="I352">
        <f>IF($X352="","",INDEX('Per Line'!$K$2:$K$1501,$X352)&amp;"")</f>
        <v/>
      </c>
      <c r="J352">
        <f>IF($X352="","",INDEX('Per Line'!$M$2:$M$1501,$X352))</f>
        <v/>
      </c>
      <c r="K352" s="7">
        <f>IF($X352="","",J352*V352/100)</f>
        <v/>
      </c>
      <c r="L352">
        <f>IF($X352="","",INDEX('Per Line'!$Y$2:$Y$1501,$X352)&amp;"")</f>
        <v/>
      </c>
      <c r="M352" s="7">
        <f>IF($X352="","",SUMIFS('Per Line'!$U$2:$U$1501,'Per Line'!$AJ$2:$AJ$1501,$A352&amp;"|"&amp;$C352,'Per Line'!$AN$2:$AN$1501,1))</f>
        <v/>
      </c>
      <c r="N352">
        <f>IF($X352="","",Settings!$C$7)</f>
        <v/>
      </c>
      <c r="O352" s="7">
        <f>IF($X352="","",SUMIFS('Per Line'!$U$2:$U$1501,'Per Line'!$AJ$2:$AJ$1501,$A352&amp;"|"&amp;$C352,'Per Line'!$AM$2:$AM$1501,0,'Per Line'!$AN$2:$AN$1501,0))</f>
        <v/>
      </c>
      <c r="P352" s="7">
        <f>IF($X352="","",O352*N352)</f>
        <v/>
      </c>
      <c r="Q352">
        <f>IF($X352="","",Settings!$C$6)</f>
        <v/>
      </c>
      <c r="R352" s="7">
        <f>IF($X352="","",SUMIFS('Per Line'!$U$2:$U$1501,'Per Line'!$AJ$2:$AJ$1501,$A352&amp;"|"&amp;$C352,'Per Line'!$AM$2:$AM$1501,1,'Per Line'!$AN$2:$AN$1501,0))</f>
        <v/>
      </c>
      <c r="S352" s="7">
        <f>IF($X352="","",R352*Q352)</f>
        <v/>
      </c>
      <c r="T352" s="7">
        <f>IF($X352="","",S352+P352)</f>
        <v/>
      </c>
      <c r="U352" s="7">
        <f>IF($X352="","",V352-T352)</f>
        <v/>
      </c>
      <c r="V352" s="7">
        <f>IF($X352="","",O352+R352+M352)</f>
        <v/>
      </c>
      <c r="W352" s="7">
        <f>IF($X352="","",V352-T352-K352)</f>
        <v/>
      </c>
      <c r="X352" s="13">
        <f>IF(ROWS($X$2:$X352)&lt;=MAX('Per Line'!$AL$2:$AL$1501),MATCH(ROWS($X$2:$X352),'Per Line'!$AL$2:$AL$1501,0),"")</f>
        <v/>
      </c>
    </row>
    <row r="353">
      <c r="A353">
        <f>IF($X353="","",INDEX('Per Line'!$C$2:$C$1501,$X353)&amp;"")</f>
        <v/>
      </c>
      <c r="B353" s="12" t="n"/>
      <c r="C353">
        <f>IF($X353="","",INDEX('Per Line'!$D$2:$D$1501,$X353)&amp;"")</f>
        <v/>
      </c>
      <c r="D353">
        <f>IF($X353="","",INDEX('Per Line'!$A$2:$A$1501,$X353))</f>
        <v/>
      </c>
      <c r="E353">
        <f>IF($X353="","",INDEX('Per Line'!$G$2:$G$1501,$X353)&amp;"")</f>
        <v/>
      </c>
      <c r="F353" s="11">
        <f>IF($X353="","",INDEX('Per Line'!$F$2:$F$1501,$X353))</f>
        <v/>
      </c>
      <c r="G353">
        <f>IF($X353="","",INDEX('Per Line'!$I$2:$I$1501,$X353)&amp;"")</f>
        <v/>
      </c>
      <c r="H353">
        <f>IF($X353="","",INDEX('Per Line'!$J$2:$J$1501,$X353)&amp;"")</f>
        <v/>
      </c>
      <c r="I353">
        <f>IF($X353="","",INDEX('Per Line'!$K$2:$K$1501,$X353)&amp;"")</f>
        <v/>
      </c>
      <c r="J353">
        <f>IF($X353="","",INDEX('Per Line'!$M$2:$M$1501,$X353))</f>
        <v/>
      </c>
      <c r="K353" s="7">
        <f>IF($X353="","",J353*V353/100)</f>
        <v/>
      </c>
      <c r="L353">
        <f>IF($X353="","",INDEX('Per Line'!$Y$2:$Y$1501,$X353)&amp;"")</f>
        <v/>
      </c>
      <c r="M353" s="7">
        <f>IF($X353="","",SUMIFS('Per Line'!$U$2:$U$1501,'Per Line'!$AJ$2:$AJ$1501,$A353&amp;"|"&amp;$C353,'Per Line'!$AN$2:$AN$1501,1))</f>
        <v/>
      </c>
      <c r="N353">
        <f>IF($X353="","",Settings!$C$7)</f>
        <v/>
      </c>
      <c r="O353" s="7">
        <f>IF($X353="","",SUMIFS('Per Line'!$U$2:$U$1501,'Per Line'!$AJ$2:$AJ$1501,$A353&amp;"|"&amp;$C353,'Per Line'!$AM$2:$AM$1501,0,'Per Line'!$AN$2:$AN$1501,0))</f>
        <v/>
      </c>
      <c r="P353" s="7">
        <f>IF($X353="","",O353*N353)</f>
        <v/>
      </c>
      <c r="Q353">
        <f>IF($X353="","",Settings!$C$6)</f>
        <v/>
      </c>
      <c r="R353" s="7">
        <f>IF($X353="","",SUMIFS('Per Line'!$U$2:$U$1501,'Per Line'!$AJ$2:$AJ$1501,$A353&amp;"|"&amp;$C353,'Per Line'!$AM$2:$AM$1501,1,'Per Line'!$AN$2:$AN$1501,0))</f>
        <v/>
      </c>
      <c r="S353" s="7">
        <f>IF($X353="","",R353*Q353)</f>
        <v/>
      </c>
      <c r="T353" s="7">
        <f>IF($X353="","",S353+P353)</f>
        <v/>
      </c>
      <c r="U353" s="7">
        <f>IF($X353="","",V353-T353)</f>
        <v/>
      </c>
      <c r="V353" s="7">
        <f>IF($X353="","",O353+R353+M353)</f>
        <v/>
      </c>
      <c r="W353" s="7">
        <f>IF($X353="","",V353-T353-K353)</f>
        <v/>
      </c>
      <c r="X353" s="13">
        <f>IF(ROWS($X$2:$X353)&lt;=MAX('Per Line'!$AL$2:$AL$1501),MATCH(ROWS($X$2:$X353),'Per Line'!$AL$2:$AL$1501,0),"")</f>
        <v/>
      </c>
    </row>
    <row r="354">
      <c r="A354">
        <f>IF($X354="","",INDEX('Per Line'!$C$2:$C$1501,$X354)&amp;"")</f>
        <v/>
      </c>
      <c r="B354" s="12" t="n"/>
      <c r="C354">
        <f>IF($X354="","",INDEX('Per Line'!$D$2:$D$1501,$X354)&amp;"")</f>
        <v/>
      </c>
      <c r="D354">
        <f>IF($X354="","",INDEX('Per Line'!$A$2:$A$1501,$X354))</f>
        <v/>
      </c>
      <c r="E354">
        <f>IF($X354="","",INDEX('Per Line'!$G$2:$G$1501,$X354)&amp;"")</f>
        <v/>
      </c>
      <c r="F354" s="11">
        <f>IF($X354="","",INDEX('Per Line'!$F$2:$F$1501,$X354))</f>
        <v/>
      </c>
      <c r="G354">
        <f>IF($X354="","",INDEX('Per Line'!$I$2:$I$1501,$X354)&amp;"")</f>
        <v/>
      </c>
      <c r="H354">
        <f>IF($X354="","",INDEX('Per Line'!$J$2:$J$1501,$X354)&amp;"")</f>
        <v/>
      </c>
      <c r="I354">
        <f>IF($X354="","",INDEX('Per Line'!$K$2:$K$1501,$X354)&amp;"")</f>
        <v/>
      </c>
      <c r="J354">
        <f>IF($X354="","",INDEX('Per Line'!$M$2:$M$1501,$X354))</f>
        <v/>
      </c>
      <c r="K354" s="7">
        <f>IF($X354="","",J354*V354/100)</f>
        <v/>
      </c>
      <c r="L354">
        <f>IF($X354="","",INDEX('Per Line'!$Y$2:$Y$1501,$X354)&amp;"")</f>
        <v/>
      </c>
      <c r="M354" s="7">
        <f>IF($X354="","",SUMIFS('Per Line'!$U$2:$U$1501,'Per Line'!$AJ$2:$AJ$1501,$A354&amp;"|"&amp;$C354,'Per Line'!$AN$2:$AN$1501,1))</f>
        <v/>
      </c>
      <c r="N354">
        <f>IF($X354="","",Settings!$C$7)</f>
        <v/>
      </c>
      <c r="O354" s="7">
        <f>IF($X354="","",SUMIFS('Per Line'!$U$2:$U$1501,'Per Line'!$AJ$2:$AJ$1501,$A354&amp;"|"&amp;$C354,'Per Line'!$AM$2:$AM$1501,0,'Per Line'!$AN$2:$AN$1501,0))</f>
        <v/>
      </c>
      <c r="P354" s="7">
        <f>IF($X354="","",O354*N354)</f>
        <v/>
      </c>
      <c r="Q354">
        <f>IF($X354="","",Settings!$C$6)</f>
        <v/>
      </c>
      <c r="R354" s="7">
        <f>IF($X354="","",SUMIFS('Per Line'!$U$2:$U$1501,'Per Line'!$AJ$2:$AJ$1501,$A354&amp;"|"&amp;$C354,'Per Line'!$AM$2:$AM$1501,1,'Per Line'!$AN$2:$AN$1501,0))</f>
        <v/>
      </c>
      <c r="S354" s="7">
        <f>IF($X354="","",R354*Q354)</f>
        <v/>
      </c>
      <c r="T354" s="7">
        <f>IF($X354="","",S354+P354)</f>
        <v/>
      </c>
      <c r="U354" s="7">
        <f>IF($X354="","",V354-T354)</f>
        <v/>
      </c>
      <c r="V354" s="7">
        <f>IF($X354="","",O354+R354+M354)</f>
        <v/>
      </c>
      <c r="W354" s="7">
        <f>IF($X354="","",V354-T354-K354)</f>
        <v/>
      </c>
      <c r="X354" s="13">
        <f>IF(ROWS($X$2:$X354)&lt;=MAX('Per Line'!$AL$2:$AL$1501),MATCH(ROWS($X$2:$X354),'Per Line'!$AL$2:$AL$1501,0),"")</f>
        <v/>
      </c>
    </row>
    <row r="355">
      <c r="A355">
        <f>IF($X355="","",INDEX('Per Line'!$C$2:$C$1501,$X355)&amp;"")</f>
        <v/>
      </c>
      <c r="B355" s="12" t="n"/>
      <c r="C355">
        <f>IF($X355="","",INDEX('Per Line'!$D$2:$D$1501,$X355)&amp;"")</f>
        <v/>
      </c>
      <c r="D355">
        <f>IF($X355="","",INDEX('Per Line'!$A$2:$A$1501,$X355))</f>
        <v/>
      </c>
      <c r="E355">
        <f>IF($X355="","",INDEX('Per Line'!$G$2:$G$1501,$X355)&amp;"")</f>
        <v/>
      </c>
      <c r="F355" s="11">
        <f>IF($X355="","",INDEX('Per Line'!$F$2:$F$1501,$X355))</f>
        <v/>
      </c>
      <c r="G355">
        <f>IF($X355="","",INDEX('Per Line'!$I$2:$I$1501,$X355)&amp;"")</f>
        <v/>
      </c>
      <c r="H355">
        <f>IF($X355="","",INDEX('Per Line'!$J$2:$J$1501,$X355)&amp;"")</f>
        <v/>
      </c>
      <c r="I355">
        <f>IF($X355="","",INDEX('Per Line'!$K$2:$K$1501,$X355)&amp;"")</f>
        <v/>
      </c>
      <c r="J355">
        <f>IF($X355="","",INDEX('Per Line'!$M$2:$M$1501,$X355))</f>
        <v/>
      </c>
      <c r="K355" s="7">
        <f>IF($X355="","",J355*V355/100)</f>
        <v/>
      </c>
      <c r="L355">
        <f>IF($X355="","",INDEX('Per Line'!$Y$2:$Y$1501,$X355)&amp;"")</f>
        <v/>
      </c>
      <c r="M355" s="7">
        <f>IF($X355="","",SUMIFS('Per Line'!$U$2:$U$1501,'Per Line'!$AJ$2:$AJ$1501,$A355&amp;"|"&amp;$C355,'Per Line'!$AN$2:$AN$1501,1))</f>
        <v/>
      </c>
      <c r="N355">
        <f>IF($X355="","",Settings!$C$7)</f>
        <v/>
      </c>
      <c r="O355" s="7">
        <f>IF($X355="","",SUMIFS('Per Line'!$U$2:$U$1501,'Per Line'!$AJ$2:$AJ$1501,$A355&amp;"|"&amp;$C355,'Per Line'!$AM$2:$AM$1501,0,'Per Line'!$AN$2:$AN$1501,0))</f>
        <v/>
      </c>
      <c r="P355" s="7">
        <f>IF($X355="","",O355*N355)</f>
        <v/>
      </c>
      <c r="Q355">
        <f>IF($X355="","",Settings!$C$6)</f>
        <v/>
      </c>
      <c r="R355" s="7">
        <f>IF($X355="","",SUMIFS('Per Line'!$U$2:$U$1501,'Per Line'!$AJ$2:$AJ$1501,$A355&amp;"|"&amp;$C355,'Per Line'!$AM$2:$AM$1501,1,'Per Line'!$AN$2:$AN$1501,0))</f>
        <v/>
      </c>
      <c r="S355" s="7">
        <f>IF($X355="","",R355*Q355)</f>
        <v/>
      </c>
      <c r="T355" s="7">
        <f>IF($X355="","",S355+P355)</f>
        <v/>
      </c>
      <c r="U355" s="7">
        <f>IF($X355="","",V355-T355)</f>
        <v/>
      </c>
      <c r="V355" s="7">
        <f>IF($X355="","",O355+R355+M355)</f>
        <v/>
      </c>
      <c r="W355" s="7">
        <f>IF($X355="","",V355-T355-K355)</f>
        <v/>
      </c>
      <c r="X355" s="13">
        <f>IF(ROWS($X$2:$X355)&lt;=MAX('Per Line'!$AL$2:$AL$1501),MATCH(ROWS($X$2:$X355),'Per Line'!$AL$2:$AL$1501,0),"")</f>
        <v/>
      </c>
    </row>
    <row r="356">
      <c r="A356">
        <f>IF($X356="","",INDEX('Per Line'!$C$2:$C$1501,$X356)&amp;"")</f>
        <v/>
      </c>
      <c r="B356" s="12" t="n"/>
      <c r="C356">
        <f>IF($X356="","",INDEX('Per Line'!$D$2:$D$1501,$X356)&amp;"")</f>
        <v/>
      </c>
      <c r="D356">
        <f>IF($X356="","",INDEX('Per Line'!$A$2:$A$1501,$X356))</f>
        <v/>
      </c>
      <c r="E356">
        <f>IF($X356="","",INDEX('Per Line'!$G$2:$G$1501,$X356)&amp;"")</f>
        <v/>
      </c>
      <c r="F356" s="11">
        <f>IF($X356="","",INDEX('Per Line'!$F$2:$F$1501,$X356))</f>
        <v/>
      </c>
      <c r="G356">
        <f>IF($X356="","",INDEX('Per Line'!$I$2:$I$1501,$X356)&amp;"")</f>
        <v/>
      </c>
      <c r="H356">
        <f>IF($X356="","",INDEX('Per Line'!$J$2:$J$1501,$X356)&amp;"")</f>
        <v/>
      </c>
      <c r="I356">
        <f>IF($X356="","",INDEX('Per Line'!$K$2:$K$1501,$X356)&amp;"")</f>
        <v/>
      </c>
      <c r="J356">
        <f>IF($X356="","",INDEX('Per Line'!$M$2:$M$1501,$X356))</f>
        <v/>
      </c>
      <c r="K356" s="7">
        <f>IF($X356="","",J356*V356/100)</f>
        <v/>
      </c>
      <c r="L356">
        <f>IF($X356="","",INDEX('Per Line'!$Y$2:$Y$1501,$X356)&amp;"")</f>
        <v/>
      </c>
      <c r="M356" s="7">
        <f>IF($X356="","",SUMIFS('Per Line'!$U$2:$U$1501,'Per Line'!$AJ$2:$AJ$1501,$A356&amp;"|"&amp;$C356,'Per Line'!$AN$2:$AN$1501,1))</f>
        <v/>
      </c>
      <c r="N356">
        <f>IF($X356="","",Settings!$C$7)</f>
        <v/>
      </c>
      <c r="O356" s="7">
        <f>IF($X356="","",SUMIFS('Per Line'!$U$2:$U$1501,'Per Line'!$AJ$2:$AJ$1501,$A356&amp;"|"&amp;$C356,'Per Line'!$AM$2:$AM$1501,0,'Per Line'!$AN$2:$AN$1501,0))</f>
        <v/>
      </c>
      <c r="P356" s="7">
        <f>IF($X356="","",O356*N356)</f>
        <v/>
      </c>
      <c r="Q356">
        <f>IF($X356="","",Settings!$C$6)</f>
        <v/>
      </c>
      <c r="R356" s="7">
        <f>IF($X356="","",SUMIFS('Per Line'!$U$2:$U$1501,'Per Line'!$AJ$2:$AJ$1501,$A356&amp;"|"&amp;$C356,'Per Line'!$AM$2:$AM$1501,1,'Per Line'!$AN$2:$AN$1501,0))</f>
        <v/>
      </c>
      <c r="S356" s="7">
        <f>IF($X356="","",R356*Q356)</f>
        <v/>
      </c>
      <c r="T356" s="7">
        <f>IF($X356="","",S356+P356)</f>
        <v/>
      </c>
      <c r="U356" s="7">
        <f>IF($X356="","",V356-T356)</f>
        <v/>
      </c>
      <c r="V356" s="7">
        <f>IF($X356="","",O356+R356+M356)</f>
        <v/>
      </c>
      <c r="W356" s="7">
        <f>IF($X356="","",V356-T356-K356)</f>
        <v/>
      </c>
      <c r="X356" s="13">
        <f>IF(ROWS($X$2:$X356)&lt;=MAX('Per Line'!$AL$2:$AL$1501),MATCH(ROWS($X$2:$X356),'Per Line'!$AL$2:$AL$1501,0),"")</f>
        <v/>
      </c>
    </row>
    <row r="357">
      <c r="A357">
        <f>IF($X357="","",INDEX('Per Line'!$C$2:$C$1501,$X357)&amp;"")</f>
        <v/>
      </c>
      <c r="B357" s="12" t="n"/>
      <c r="C357">
        <f>IF($X357="","",INDEX('Per Line'!$D$2:$D$1501,$X357)&amp;"")</f>
        <v/>
      </c>
      <c r="D357">
        <f>IF($X357="","",INDEX('Per Line'!$A$2:$A$1501,$X357))</f>
        <v/>
      </c>
      <c r="E357">
        <f>IF($X357="","",INDEX('Per Line'!$G$2:$G$1501,$X357)&amp;"")</f>
        <v/>
      </c>
      <c r="F357" s="11">
        <f>IF($X357="","",INDEX('Per Line'!$F$2:$F$1501,$X357))</f>
        <v/>
      </c>
      <c r="G357">
        <f>IF($X357="","",INDEX('Per Line'!$I$2:$I$1501,$X357)&amp;"")</f>
        <v/>
      </c>
      <c r="H357">
        <f>IF($X357="","",INDEX('Per Line'!$J$2:$J$1501,$X357)&amp;"")</f>
        <v/>
      </c>
      <c r="I357">
        <f>IF($X357="","",INDEX('Per Line'!$K$2:$K$1501,$X357)&amp;"")</f>
        <v/>
      </c>
      <c r="J357">
        <f>IF($X357="","",INDEX('Per Line'!$M$2:$M$1501,$X357))</f>
        <v/>
      </c>
      <c r="K357" s="7">
        <f>IF($X357="","",J357*V357/100)</f>
        <v/>
      </c>
      <c r="L357">
        <f>IF($X357="","",INDEX('Per Line'!$Y$2:$Y$1501,$X357)&amp;"")</f>
        <v/>
      </c>
      <c r="M357" s="7">
        <f>IF($X357="","",SUMIFS('Per Line'!$U$2:$U$1501,'Per Line'!$AJ$2:$AJ$1501,$A357&amp;"|"&amp;$C357,'Per Line'!$AN$2:$AN$1501,1))</f>
        <v/>
      </c>
      <c r="N357">
        <f>IF($X357="","",Settings!$C$7)</f>
        <v/>
      </c>
      <c r="O357" s="7">
        <f>IF($X357="","",SUMIFS('Per Line'!$U$2:$U$1501,'Per Line'!$AJ$2:$AJ$1501,$A357&amp;"|"&amp;$C357,'Per Line'!$AM$2:$AM$1501,0,'Per Line'!$AN$2:$AN$1501,0))</f>
        <v/>
      </c>
      <c r="P357" s="7">
        <f>IF($X357="","",O357*N357)</f>
        <v/>
      </c>
      <c r="Q357">
        <f>IF($X357="","",Settings!$C$6)</f>
        <v/>
      </c>
      <c r="R357" s="7">
        <f>IF($X357="","",SUMIFS('Per Line'!$U$2:$U$1501,'Per Line'!$AJ$2:$AJ$1501,$A357&amp;"|"&amp;$C357,'Per Line'!$AM$2:$AM$1501,1,'Per Line'!$AN$2:$AN$1501,0))</f>
        <v/>
      </c>
      <c r="S357" s="7">
        <f>IF($X357="","",R357*Q357)</f>
        <v/>
      </c>
      <c r="T357" s="7">
        <f>IF($X357="","",S357+P357)</f>
        <v/>
      </c>
      <c r="U357" s="7">
        <f>IF($X357="","",V357-T357)</f>
        <v/>
      </c>
      <c r="V357" s="7">
        <f>IF($X357="","",O357+R357+M357)</f>
        <v/>
      </c>
      <c r="W357" s="7">
        <f>IF($X357="","",V357-T357-K357)</f>
        <v/>
      </c>
      <c r="X357" s="13">
        <f>IF(ROWS($X$2:$X357)&lt;=MAX('Per Line'!$AL$2:$AL$1501),MATCH(ROWS($X$2:$X357),'Per Line'!$AL$2:$AL$1501,0),"")</f>
        <v/>
      </c>
    </row>
    <row r="358">
      <c r="A358">
        <f>IF($X358="","",INDEX('Per Line'!$C$2:$C$1501,$X358)&amp;"")</f>
        <v/>
      </c>
      <c r="B358" s="12" t="n"/>
      <c r="C358">
        <f>IF($X358="","",INDEX('Per Line'!$D$2:$D$1501,$X358)&amp;"")</f>
        <v/>
      </c>
      <c r="D358">
        <f>IF($X358="","",INDEX('Per Line'!$A$2:$A$1501,$X358))</f>
        <v/>
      </c>
      <c r="E358">
        <f>IF($X358="","",INDEX('Per Line'!$G$2:$G$1501,$X358)&amp;"")</f>
        <v/>
      </c>
      <c r="F358" s="11">
        <f>IF($X358="","",INDEX('Per Line'!$F$2:$F$1501,$X358))</f>
        <v/>
      </c>
      <c r="G358">
        <f>IF($X358="","",INDEX('Per Line'!$I$2:$I$1501,$X358)&amp;"")</f>
        <v/>
      </c>
      <c r="H358">
        <f>IF($X358="","",INDEX('Per Line'!$J$2:$J$1501,$X358)&amp;"")</f>
        <v/>
      </c>
      <c r="I358">
        <f>IF($X358="","",INDEX('Per Line'!$K$2:$K$1501,$X358)&amp;"")</f>
        <v/>
      </c>
      <c r="J358">
        <f>IF($X358="","",INDEX('Per Line'!$M$2:$M$1501,$X358))</f>
        <v/>
      </c>
      <c r="K358" s="7">
        <f>IF($X358="","",J358*V358/100)</f>
        <v/>
      </c>
      <c r="L358">
        <f>IF($X358="","",INDEX('Per Line'!$Y$2:$Y$1501,$X358)&amp;"")</f>
        <v/>
      </c>
      <c r="M358" s="7">
        <f>IF($X358="","",SUMIFS('Per Line'!$U$2:$U$1501,'Per Line'!$AJ$2:$AJ$1501,$A358&amp;"|"&amp;$C358,'Per Line'!$AN$2:$AN$1501,1))</f>
        <v/>
      </c>
      <c r="N358">
        <f>IF($X358="","",Settings!$C$7)</f>
        <v/>
      </c>
      <c r="O358" s="7">
        <f>IF($X358="","",SUMIFS('Per Line'!$U$2:$U$1501,'Per Line'!$AJ$2:$AJ$1501,$A358&amp;"|"&amp;$C358,'Per Line'!$AM$2:$AM$1501,0,'Per Line'!$AN$2:$AN$1501,0))</f>
        <v/>
      </c>
      <c r="P358" s="7">
        <f>IF($X358="","",O358*N358)</f>
        <v/>
      </c>
      <c r="Q358">
        <f>IF($X358="","",Settings!$C$6)</f>
        <v/>
      </c>
      <c r="R358" s="7">
        <f>IF($X358="","",SUMIFS('Per Line'!$U$2:$U$1501,'Per Line'!$AJ$2:$AJ$1501,$A358&amp;"|"&amp;$C358,'Per Line'!$AM$2:$AM$1501,1,'Per Line'!$AN$2:$AN$1501,0))</f>
        <v/>
      </c>
      <c r="S358" s="7">
        <f>IF($X358="","",R358*Q358)</f>
        <v/>
      </c>
      <c r="T358" s="7">
        <f>IF($X358="","",S358+P358)</f>
        <v/>
      </c>
      <c r="U358" s="7">
        <f>IF($X358="","",V358-T358)</f>
        <v/>
      </c>
      <c r="V358" s="7">
        <f>IF($X358="","",O358+R358+M358)</f>
        <v/>
      </c>
      <c r="W358" s="7">
        <f>IF($X358="","",V358-T358-K358)</f>
        <v/>
      </c>
      <c r="X358" s="13">
        <f>IF(ROWS($X$2:$X358)&lt;=MAX('Per Line'!$AL$2:$AL$1501),MATCH(ROWS($X$2:$X358),'Per Line'!$AL$2:$AL$1501,0),"")</f>
        <v/>
      </c>
    </row>
    <row r="359">
      <c r="A359">
        <f>IF($X359="","",INDEX('Per Line'!$C$2:$C$1501,$X359)&amp;"")</f>
        <v/>
      </c>
      <c r="B359" s="12" t="n"/>
      <c r="C359">
        <f>IF($X359="","",INDEX('Per Line'!$D$2:$D$1501,$X359)&amp;"")</f>
        <v/>
      </c>
      <c r="D359">
        <f>IF($X359="","",INDEX('Per Line'!$A$2:$A$1501,$X359))</f>
        <v/>
      </c>
      <c r="E359">
        <f>IF($X359="","",INDEX('Per Line'!$G$2:$G$1501,$X359)&amp;"")</f>
        <v/>
      </c>
      <c r="F359" s="11">
        <f>IF($X359="","",INDEX('Per Line'!$F$2:$F$1501,$X359))</f>
        <v/>
      </c>
      <c r="G359">
        <f>IF($X359="","",INDEX('Per Line'!$I$2:$I$1501,$X359)&amp;"")</f>
        <v/>
      </c>
      <c r="H359">
        <f>IF($X359="","",INDEX('Per Line'!$J$2:$J$1501,$X359)&amp;"")</f>
        <v/>
      </c>
      <c r="I359">
        <f>IF($X359="","",INDEX('Per Line'!$K$2:$K$1501,$X359)&amp;"")</f>
        <v/>
      </c>
      <c r="J359">
        <f>IF($X359="","",INDEX('Per Line'!$M$2:$M$1501,$X359))</f>
        <v/>
      </c>
      <c r="K359" s="7">
        <f>IF($X359="","",J359*V359/100)</f>
        <v/>
      </c>
      <c r="L359">
        <f>IF($X359="","",INDEX('Per Line'!$Y$2:$Y$1501,$X359)&amp;"")</f>
        <v/>
      </c>
      <c r="M359" s="7">
        <f>IF($X359="","",SUMIFS('Per Line'!$U$2:$U$1501,'Per Line'!$AJ$2:$AJ$1501,$A359&amp;"|"&amp;$C359,'Per Line'!$AN$2:$AN$1501,1))</f>
        <v/>
      </c>
      <c r="N359">
        <f>IF($X359="","",Settings!$C$7)</f>
        <v/>
      </c>
      <c r="O359" s="7">
        <f>IF($X359="","",SUMIFS('Per Line'!$U$2:$U$1501,'Per Line'!$AJ$2:$AJ$1501,$A359&amp;"|"&amp;$C359,'Per Line'!$AM$2:$AM$1501,0,'Per Line'!$AN$2:$AN$1501,0))</f>
        <v/>
      </c>
      <c r="P359" s="7">
        <f>IF($X359="","",O359*N359)</f>
        <v/>
      </c>
      <c r="Q359">
        <f>IF($X359="","",Settings!$C$6)</f>
        <v/>
      </c>
      <c r="R359" s="7">
        <f>IF($X359="","",SUMIFS('Per Line'!$U$2:$U$1501,'Per Line'!$AJ$2:$AJ$1501,$A359&amp;"|"&amp;$C359,'Per Line'!$AM$2:$AM$1501,1,'Per Line'!$AN$2:$AN$1501,0))</f>
        <v/>
      </c>
      <c r="S359" s="7">
        <f>IF($X359="","",R359*Q359)</f>
        <v/>
      </c>
      <c r="T359" s="7">
        <f>IF($X359="","",S359+P359)</f>
        <v/>
      </c>
      <c r="U359" s="7">
        <f>IF($X359="","",V359-T359)</f>
        <v/>
      </c>
      <c r="V359" s="7">
        <f>IF($X359="","",O359+R359+M359)</f>
        <v/>
      </c>
      <c r="W359" s="7">
        <f>IF($X359="","",V359-T359-K359)</f>
        <v/>
      </c>
      <c r="X359" s="13">
        <f>IF(ROWS($X$2:$X359)&lt;=MAX('Per Line'!$AL$2:$AL$1501),MATCH(ROWS($X$2:$X359),'Per Line'!$AL$2:$AL$1501,0),"")</f>
        <v/>
      </c>
    </row>
    <row r="360">
      <c r="A360">
        <f>IF($X360="","",INDEX('Per Line'!$C$2:$C$1501,$X360)&amp;"")</f>
        <v/>
      </c>
      <c r="B360" s="12" t="n"/>
      <c r="C360">
        <f>IF($X360="","",INDEX('Per Line'!$D$2:$D$1501,$X360)&amp;"")</f>
        <v/>
      </c>
      <c r="D360">
        <f>IF($X360="","",INDEX('Per Line'!$A$2:$A$1501,$X360))</f>
        <v/>
      </c>
      <c r="E360">
        <f>IF($X360="","",INDEX('Per Line'!$G$2:$G$1501,$X360)&amp;"")</f>
        <v/>
      </c>
      <c r="F360" s="11">
        <f>IF($X360="","",INDEX('Per Line'!$F$2:$F$1501,$X360))</f>
        <v/>
      </c>
      <c r="G360">
        <f>IF($X360="","",INDEX('Per Line'!$I$2:$I$1501,$X360)&amp;"")</f>
        <v/>
      </c>
      <c r="H360">
        <f>IF($X360="","",INDEX('Per Line'!$J$2:$J$1501,$X360)&amp;"")</f>
        <v/>
      </c>
      <c r="I360">
        <f>IF($X360="","",INDEX('Per Line'!$K$2:$K$1501,$X360)&amp;"")</f>
        <v/>
      </c>
      <c r="J360">
        <f>IF($X360="","",INDEX('Per Line'!$M$2:$M$1501,$X360))</f>
        <v/>
      </c>
      <c r="K360" s="7">
        <f>IF($X360="","",J360*V360/100)</f>
        <v/>
      </c>
      <c r="L360">
        <f>IF($X360="","",INDEX('Per Line'!$Y$2:$Y$1501,$X360)&amp;"")</f>
        <v/>
      </c>
      <c r="M360" s="7">
        <f>IF($X360="","",SUMIFS('Per Line'!$U$2:$U$1501,'Per Line'!$AJ$2:$AJ$1501,$A360&amp;"|"&amp;$C360,'Per Line'!$AN$2:$AN$1501,1))</f>
        <v/>
      </c>
      <c r="N360">
        <f>IF($X360="","",Settings!$C$7)</f>
        <v/>
      </c>
      <c r="O360" s="7">
        <f>IF($X360="","",SUMIFS('Per Line'!$U$2:$U$1501,'Per Line'!$AJ$2:$AJ$1501,$A360&amp;"|"&amp;$C360,'Per Line'!$AM$2:$AM$1501,0,'Per Line'!$AN$2:$AN$1501,0))</f>
        <v/>
      </c>
      <c r="P360" s="7">
        <f>IF($X360="","",O360*N360)</f>
        <v/>
      </c>
      <c r="Q360">
        <f>IF($X360="","",Settings!$C$6)</f>
        <v/>
      </c>
      <c r="R360" s="7">
        <f>IF($X360="","",SUMIFS('Per Line'!$U$2:$U$1501,'Per Line'!$AJ$2:$AJ$1501,$A360&amp;"|"&amp;$C360,'Per Line'!$AM$2:$AM$1501,1,'Per Line'!$AN$2:$AN$1501,0))</f>
        <v/>
      </c>
      <c r="S360" s="7">
        <f>IF($X360="","",R360*Q360)</f>
        <v/>
      </c>
      <c r="T360" s="7">
        <f>IF($X360="","",S360+P360)</f>
        <v/>
      </c>
      <c r="U360" s="7">
        <f>IF($X360="","",V360-T360)</f>
        <v/>
      </c>
      <c r="V360" s="7">
        <f>IF($X360="","",O360+R360+M360)</f>
        <v/>
      </c>
      <c r="W360" s="7">
        <f>IF($X360="","",V360-T360-K360)</f>
        <v/>
      </c>
      <c r="X360" s="13">
        <f>IF(ROWS($X$2:$X360)&lt;=MAX('Per Line'!$AL$2:$AL$1501),MATCH(ROWS($X$2:$X360),'Per Line'!$AL$2:$AL$1501,0),"")</f>
        <v/>
      </c>
    </row>
    <row r="361">
      <c r="A361">
        <f>IF($X361="","",INDEX('Per Line'!$C$2:$C$1501,$X361)&amp;"")</f>
        <v/>
      </c>
      <c r="B361" s="12" t="n"/>
      <c r="C361">
        <f>IF($X361="","",INDEX('Per Line'!$D$2:$D$1501,$X361)&amp;"")</f>
        <v/>
      </c>
      <c r="D361">
        <f>IF($X361="","",INDEX('Per Line'!$A$2:$A$1501,$X361))</f>
        <v/>
      </c>
      <c r="E361">
        <f>IF($X361="","",INDEX('Per Line'!$G$2:$G$1501,$X361)&amp;"")</f>
        <v/>
      </c>
      <c r="F361" s="11">
        <f>IF($X361="","",INDEX('Per Line'!$F$2:$F$1501,$X361))</f>
        <v/>
      </c>
      <c r="G361">
        <f>IF($X361="","",INDEX('Per Line'!$I$2:$I$1501,$X361)&amp;"")</f>
        <v/>
      </c>
      <c r="H361">
        <f>IF($X361="","",INDEX('Per Line'!$J$2:$J$1501,$X361)&amp;"")</f>
        <v/>
      </c>
      <c r="I361">
        <f>IF($X361="","",INDEX('Per Line'!$K$2:$K$1501,$X361)&amp;"")</f>
        <v/>
      </c>
      <c r="J361">
        <f>IF($X361="","",INDEX('Per Line'!$M$2:$M$1501,$X361))</f>
        <v/>
      </c>
      <c r="K361" s="7">
        <f>IF($X361="","",J361*V361/100)</f>
        <v/>
      </c>
      <c r="L361">
        <f>IF($X361="","",INDEX('Per Line'!$Y$2:$Y$1501,$X361)&amp;"")</f>
        <v/>
      </c>
      <c r="M361" s="7">
        <f>IF($X361="","",SUMIFS('Per Line'!$U$2:$U$1501,'Per Line'!$AJ$2:$AJ$1501,$A361&amp;"|"&amp;$C361,'Per Line'!$AN$2:$AN$1501,1))</f>
        <v/>
      </c>
      <c r="N361">
        <f>IF($X361="","",Settings!$C$7)</f>
        <v/>
      </c>
      <c r="O361" s="7">
        <f>IF($X361="","",SUMIFS('Per Line'!$U$2:$U$1501,'Per Line'!$AJ$2:$AJ$1501,$A361&amp;"|"&amp;$C361,'Per Line'!$AM$2:$AM$1501,0,'Per Line'!$AN$2:$AN$1501,0))</f>
        <v/>
      </c>
      <c r="P361" s="7">
        <f>IF($X361="","",O361*N361)</f>
        <v/>
      </c>
      <c r="Q361">
        <f>IF($X361="","",Settings!$C$6)</f>
        <v/>
      </c>
      <c r="R361" s="7">
        <f>IF($X361="","",SUMIFS('Per Line'!$U$2:$U$1501,'Per Line'!$AJ$2:$AJ$1501,$A361&amp;"|"&amp;$C361,'Per Line'!$AM$2:$AM$1501,1,'Per Line'!$AN$2:$AN$1501,0))</f>
        <v/>
      </c>
      <c r="S361" s="7">
        <f>IF($X361="","",R361*Q361)</f>
        <v/>
      </c>
      <c r="T361" s="7">
        <f>IF($X361="","",S361+P361)</f>
        <v/>
      </c>
      <c r="U361" s="7">
        <f>IF($X361="","",V361-T361)</f>
        <v/>
      </c>
      <c r="V361" s="7">
        <f>IF($X361="","",O361+R361+M361)</f>
        <v/>
      </c>
      <c r="W361" s="7">
        <f>IF($X361="","",V361-T361-K361)</f>
        <v/>
      </c>
      <c r="X361" s="13">
        <f>IF(ROWS($X$2:$X361)&lt;=MAX('Per Line'!$AL$2:$AL$1501),MATCH(ROWS($X$2:$X361),'Per Line'!$AL$2:$AL$1501,0),"")</f>
        <v/>
      </c>
    </row>
    <row r="362">
      <c r="A362">
        <f>IF($X362="","",INDEX('Per Line'!$C$2:$C$1501,$X362)&amp;"")</f>
        <v/>
      </c>
      <c r="B362" s="12" t="n"/>
      <c r="C362">
        <f>IF($X362="","",INDEX('Per Line'!$D$2:$D$1501,$X362)&amp;"")</f>
        <v/>
      </c>
      <c r="D362">
        <f>IF($X362="","",INDEX('Per Line'!$A$2:$A$1501,$X362))</f>
        <v/>
      </c>
      <c r="E362">
        <f>IF($X362="","",INDEX('Per Line'!$G$2:$G$1501,$X362)&amp;"")</f>
        <v/>
      </c>
      <c r="F362" s="11">
        <f>IF($X362="","",INDEX('Per Line'!$F$2:$F$1501,$X362))</f>
        <v/>
      </c>
      <c r="G362">
        <f>IF($X362="","",INDEX('Per Line'!$I$2:$I$1501,$X362)&amp;"")</f>
        <v/>
      </c>
      <c r="H362">
        <f>IF($X362="","",INDEX('Per Line'!$J$2:$J$1501,$X362)&amp;"")</f>
        <v/>
      </c>
      <c r="I362">
        <f>IF($X362="","",INDEX('Per Line'!$K$2:$K$1501,$X362)&amp;"")</f>
        <v/>
      </c>
      <c r="J362">
        <f>IF($X362="","",INDEX('Per Line'!$M$2:$M$1501,$X362))</f>
        <v/>
      </c>
      <c r="K362" s="7">
        <f>IF($X362="","",J362*V362/100)</f>
        <v/>
      </c>
      <c r="L362">
        <f>IF($X362="","",INDEX('Per Line'!$Y$2:$Y$1501,$X362)&amp;"")</f>
        <v/>
      </c>
      <c r="M362" s="7">
        <f>IF($X362="","",SUMIFS('Per Line'!$U$2:$U$1501,'Per Line'!$AJ$2:$AJ$1501,$A362&amp;"|"&amp;$C362,'Per Line'!$AN$2:$AN$1501,1))</f>
        <v/>
      </c>
      <c r="N362">
        <f>IF($X362="","",Settings!$C$7)</f>
        <v/>
      </c>
      <c r="O362" s="7">
        <f>IF($X362="","",SUMIFS('Per Line'!$U$2:$U$1501,'Per Line'!$AJ$2:$AJ$1501,$A362&amp;"|"&amp;$C362,'Per Line'!$AM$2:$AM$1501,0,'Per Line'!$AN$2:$AN$1501,0))</f>
        <v/>
      </c>
      <c r="P362" s="7">
        <f>IF($X362="","",O362*N362)</f>
        <v/>
      </c>
      <c r="Q362">
        <f>IF($X362="","",Settings!$C$6)</f>
        <v/>
      </c>
      <c r="R362" s="7">
        <f>IF($X362="","",SUMIFS('Per Line'!$U$2:$U$1501,'Per Line'!$AJ$2:$AJ$1501,$A362&amp;"|"&amp;$C362,'Per Line'!$AM$2:$AM$1501,1,'Per Line'!$AN$2:$AN$1501,0))</f>
        <v/>
      </c>
      <c r="S362" s="7">
        <f>IF($X362="","",R362*Q362)</f>
        <v/>
      </c>
      <c r="T362" s="7">
        <f>IF($X362="","",S362+P362)</f>
        <v/>
      </c>
      <c r="U362" s="7">
        <f>IF($X362="","",V362-T362)</f>
        <v/>
      </c>
      <c r="V362" s="7">
        <f>IF($X362="","",O362+R362+M362)</f>
        <v/>
      </c>
      <c r="W362" s="7">
        <f>IF($X362="","",V362-T362-K362)</f>
        <v/>
      </c>
      <c r="X362" s="13">
        <f>IF(ROWS($X$2:$X362)&lt;=MAX('Per Line'!$AL$2:$AL$1501),MATCH(ROWS($X$2:$X362),'Per Line'!$AL$2:$AL$1501,0),"")</f>
        <v/>
      </c>
    </row>
    <row r="363">
      <c r="A363">
        <f>IF($X363="","",INDEX('Per Line'!$C$2:$C$1501,$X363)&amp;"")</f>
        <v/>
      </c>
      <c r="B363" s="12" t="n"/>
      <c r="C363">
        <f>IF($X363="","",INDEX('Per Line'!$D$2:$D$1501,$X363)&amp;"")</f>
        <v/>
      </c>
      <c r="D363">
        <f>IF($X363="","",INDEX('Per Line'!$A$2:$A$1501,$X363))</f>
        <v/>
      </c>
      <c r="E363">
        <f>IF($X363="","",INDEX('Per Line'!$G$2:$G$1501,$X363)&amp;"")</f>
        <v/>
      </c>
      <c r="F363" s="11">
        <f>IF($X363="","",INDEX('Per Line'!$F$2:$F$1501,$X363))</f>
        <v/>
      </c>
      <c r="G363">
        <f>IF($X363="","",INDEX('Per Line'!$I$2:$I$1501,$X363)&amp;"")</f>
        <v/>
      </c>
      <c r="H363">
        <f>IF($X363="","",INDEX('Per Line'!$J$2:$J$1501,$X363)&amp;"")</f>
        <v/>
      </c>
      <c r="I363">
        <f>IF($X363="","",INDEX('Per Line'!$K$2:$K$1501,$X363)&amp;"")</f>
        <v/>
      </c>
      <c r="J363">
        <f>IF($X363="","",INDEX('Per Line'!$M$2:$M$1501,$X363))</f>
        <v/>
      </c>
      <c r="K363" s="7">
        <f>IF($X363="","",J363*V363/100)</f>
        <v/>
      </c>
      <c r="L363">
        <f>IF($X363="","",INDEX('Per Line'!$Y$2:$Y$1501,$X363)&amp;"")</f>
        <v/>
      </c>
      <c r="M363" s="7">
        <f>IF($X363="","",SUMIFS('Per Line'!$U$2:$U$1501,'Per Line'!$AJ$2:$AJ$1501,$A363&amp;"|"&amp;$C363,'Per Line'!$AN$2:$AN$1501,1))</f>
        <v/>
      </c>
      <c r="N363">
        <f>IF($X363="","",Settings!$C$7)</f>
        <v/>
      </c>
      <c r="O363" s="7">
        <f>IF($X363="","",SUMIFS('Per Line'!$U$2:$U$1501,'Per Line'!$AJ$2:$AJ$1501,$A363&amp;"|"&amp;$C363,'Per Line'!$AM$2:$AM$1501,0,'Per Line'!$AN$2:$AN$1501,0))</f>
        <v/>
      </c>
      <c r="P363" s="7">
        <f>IF($X363="","",O363*N363)</f>
        <v/>
      </c>
      <c r="Q363">
        <f>IF($X363="","",Settings!$C$6)</f>
        <v/>
      </c>
      <c r="R363" s="7">
        <f>IF($X363="","",SUMIFS('Per Line'!$U$2:$U$1501,'Per Line'!$AJ$2:$AJ$1501,$A363&amp;"|"&amp;$C363,'Per Line'!$AM$2:$AM$1501,1,'Per Line'!$AN$2:$AN$1501,0))</f>
        <v/>
      </c>
      <c r="S363" s="7">
        <f>IF($X363="","",R363*Q363)</f>
        <v/>
      </c>
      <c r="T363" s="7">
        <f>IF($X363="","",S363+P363)</f>
        <v/>
      </c>
      <c r="U363" s="7">
        <f>IF($X363="","",V363-T363)</f>
        <v/>
      </c>
      <c r="V363" s="7">
        <f>IF($X363="","",O363+R363+M363)</f>
        <v/>
      </c>
      <c r="W363" s="7">
        <f>IF($X363="","",V363-T363-K363)</f>
        <v/>
      </c>
      <c r="X363" s="13">
        <f>IF(ROWS($X$2:$X363)&lt;=MAX('Per Line'!$AL$2:$AL$1501),MATCH(ROWS($X$2:$X363),'Per Line'!$AL$2:$AL$1501,0),"")</f>
        <v/>
      </c>
    </row>
    <row r="364">
      <c r="A364">
        <f>IF($X364="","",INDEX('Per Line'!$C$2:$C$1501,$X364)&amp;"")</f>
        <v/>
      </c>
      <c r="B364" s="12" t="n"/>
      <c r="C364">
        <f>IF($X364="","",INDEX('Per Line'!$D$2:$D$1501,$X364)&amp;"")</f>
        <v/>
      </c>
      <c r="D364">
        <f>IF($X364="","",INDEX('Per Line'!$A$2:$A$1501,$X364))</f>
        <v/>
      </c>
      <c r="E364">
        <f>IF($X364="","",INDEX('Per Line'!$G$2:$G$1501,$X364)&amp;"")</f>
        <v/>
      </c>
      <c r="F364" s="11">
        <f>IF($X364="","",INDEX('Per Line'!$F$2:$F$1501,$X364))</f>
        <v/>
      </c>
      <c r="G364">
        <f>IF($X364="","",INDEX('Per Line'!$I$2:$I$1501,$X364)&amp;"")</f>
        <v/>
      </c>
      <c r="H364">
        <f>IF($X364="","",INDEX('Per Line'!$J$2:$J$1501,$X364)&amp;"")</f>
        <v/>
      </c>
      <c r="I364">
        <f>IF($X364="","",INDEX('Per Line'!$K$2:$K$1501,$X364)&amp;"")</f>
        <v/>
      </c>
      <c r="J364">
        <f>IF($X364="","",INDEX('Per Line'!$M$2:$M$1501,$X364))</f>
        <v/>
      </c>
      <c r="K364" s="7">
        <f>IF($X364="","",J364*V364/100)</f>
        <v/>
      </c>
      <c r="L364">
        <f>IF($X364="","",INDEX('Per Line'!$Y$2:$Y$1501,$X364)&amp;"")</f>
        <v/>
      </c>
      <c r="M364" s="7">
        <f>IF($X364="","",SUMIFS('Per Line'!$U$2:$U$1501,'Per Line'!$AJ$2:$AJ$1501,$A364&amp;"|"&amp;$C364,'Per Line'!$AN$2:$AN$1501,1))</f>
        <v/>
      </c>
      <c r="N364">
        <f>IF($X364="","",Settings!$C$7)</f>
        <v/>
      </c>
      <c r="O364" s="7">
        <f>IF($X364="","",SUMIFS('Per Line'!$U$2:$U$1501,'Per Line'!$AJ$2:$AJ$1501,$A364&amp;"|"&amp;$C364,'Per Line'!$AM$2:$AM$1501,0,'Per Line'!$AN$2:$AN$1501,0))</f>
        <v/>
      </c>
      <c r="P364" s="7">
        <f>IF($X364="","",O364*N364)</f>
        <v/>
      </c>
      <c r="Q364">
        <f>IF($X364="","",Settings!$C$6)</f>
        <v/>
      </c>
      <c r="R364" s="7">
        <f>IF($X364="","",SUMIFS('Per Line'!$U$2:$U$1501,'Per Line'!$AJ$2:$AJ$1501,$A364&amp;"|"&amp;$C364,'Per Line'!$AM$2:$AM$1501,1,'Per Line'!$AN$2:$AN$1501,0))</f>
        <v/>
      </c>
      <c r="S364" s="7">
        <f>IF($X364="","",R364*Q364)</f>
        <v/>
      </c>
      <c r="T364" s="7">
        <f>IF($X364="","",S364+P364)</f>
        <v/>
      </c>
      <c r="U364" s="7">
        <f>IF($X364="","",V364-T364)</f>
        <v/>
      </c>
      <c r="V364" s="7">
        <f>IF($X364="","",O364+R364+M364)</f>
        <v/>
      </c>
      <c r="W364" s="7">
        <f>IF($X364="","",V364-T364-K364)</f>
        <v/>
      </c>
      <c r="X364" s="13">
        <f>IF(ROWS($X$2:$X364)&lt;=MAX('Per Line'!$AL$2:$AL$1501),MATCH(ROWS($X$2:$X364),'Per Line'!$AL$2:$AL$1501,0),"")</f>
        <v/>
      </c>
    </row>
    <row r="365">
      <c r="A365">
        <f>IF($X365="","",INDEX('Per Line'!$C$2:$C$1501,$X365)&amp;"")</f>
        <v/>
      </c>
      <c r="B365" s="12" t="n"/>
      <c r="C365">
        <f>IF($X365="","",INDEX('Per Line'!$D$2:$D$1501,$X365)&amp;"")</f>
        <v/>
      </c>
      <c r="D365">
        <f>IF($X365="","",INDEX('Per Line'!$A$2:$A$1501,$X365))</f>
        <v/>
      </c>
      <c r="E365">
        <f>IF($X365="","",INDEX('Per Line'!$G$2:$G$1501,$X365)&amp;"")</f>
        <v/>
      </c>
      <c r="F365" s="11">
        <f>IF($X365="","",INDEX('Per Line'!$F$2:$F$1501,$X365))</f>
        <v/>
      </c>
      <c r="G365">
        <f>IF($X365="","",INDEX('Per Line'!$I$2:$I$1501,$X365)&amp;"")</f>
        <v/>
      </c>
      <c r="H365">
        <f>IF($X365="","",INDEX('Per Line'!$J$2:$J$1501,$X365)&amp;"")</f>
        <v/>
      </c>
      <c r="I365">
        <f>IF($X365="","",INDEX('Per Line'!$K$2:$K$1501,$X365)&amp;"")</f>
        <v/>
      </c>
      <c r="J365">
        <f>IF($X365="","",INDEX('Per Line'!$M$2:$M$1501,$X365))</f>
        <v/>
      </c>
      <c r="K365" s="7">
        <f>IF($X365="","",J365*V365/100)</f>
        <v/>
      </c>
      <c r="L365">
        <f>IF($X365="","",INDEX('Per Line'!$Y$2:$Y$1501,$X365)&amp;"")</f>
        <v/>
      </c>
      <c r="M365" s="7">
        <f>IF($X365="","",SUMIFS('Per Line'!$U$2:$U$1501,'Per Line'!$AJ$2:$AJ$1501,$A365&amp;"|"&amp;$C365,'Per Line'!$AN$2:$AN$1501,1))</f>
        <v/>
      </c>
      <c r="N365">
        <f>IF($X365="","",Settings!$C$7)</f>
        <v/>
      </c>
      <c r="O365" s="7">
        <f>IF($X365="","",SUMIFS('Per Line'!$U$2:$U$1501,'Per Line'!$AJ$2:$AJ$1501,$A365&amp;"|"&amp;$C365,'Per Line'!$AM$2:$AM$1501,0,'Per Line'!$AN$2:$AN$1501,0))</f>
        <v/>
      </c>
      <c r="P365" s="7">
        <f>IF($X365="","",O365*N365)</f>
        <v/>
      </c>
      <c r="Q365">
        <f>IF($X365="","",Settings!$C$6)</f>
        <v/>
      </c>
      <c r="R365" s="7">
        <f>IF($X365="","",SUMIFS('Per Line'!$U$2:$U$1501,'Per Line'!$AJ$2:$AJ$1501,$A365&amp;"|"&amp;$C365,'Per Line'!$AM$2:$AM$1501,1,'Per Line'!$AN$2:$AN$1501,0))</f>
        <v/>
      </c>
      <c r="S365" s="7">
        <f>IF($X365="","",R365*Q365)</f>
        <v/>
      </c>
      <c r="T365" s="7">
        <f>IF($X365="","",S365+P365)</f>
        <v/>
      </c>
      <c r="U365" s="7">
        <f>IF($X365="","",V365-T365)</f>
        <v/>
      </c>
      <c r="V365" s="7">
        <f>IF($X365="","",O365+R365+M365)</f>
        <v/>
      </c>
      <c r="W365" s="7">
        <f>IF($X365="","",V365-T365-K365)</f>
        <v/>
      </c>
      <c r="X365" s="13">
        <f>IF(ROWS($X$2:$X365)&lt;=MAX('Per Line'!$AL$2:$AL$1501),MATCH(ROWS($X$2:$X365),'Per Line'!$AL$2:$AL$1501,0),"")</f>
        <v/>
      </c>
    </row>
    <row r="366">
      <c r="A366">
        <f>IF($X366="","",INDEX('Per Line'!$C$2:$C$1501,$X366)&amp;"")</f>
        <v/>
      </c>
      <c r="B366" s="12" t="n"/>
      <c r="C366">
        <f>IF($X366="","",INDEX('Per Line'!$D$2:$D$1501,$X366)&amp;"")</f>
        <v/>
      </c>
      <c r="D366">
        <f>IF($X366="","",INDEX('Per Line'!$A$2:$A$1501,$X366))</f>
        <v/>
      </c>
      <c r="E366">
        <f>IF($X366="","",INDEX('Per Line'!$G$2:$G$1501,$X366)&amp;"")</f>
        <v/>
      </c>
      <c r="F366" s="11">
        <f>IF($X366="","",INDEX('Per Line'!$F$2:$F$1501,$X366))</f>
        <v/>
      </c>
      <c r="G366">
        <f>IF($X366="","",INDEX('Per Line'!$I$2:$I$1501,$X366)&amp;"")</f>
        <v/>
      </c>
      <c r="H366">
        <f>IF($X366="","",INDEX('Per Line'!$J$2:$J$1501,$X366)&amp;"")</f>
        <v/>
      </c>
      <c r="I366">
        <f>IF($X366="","",INDEX('Per Line'!$K$2:$K$1501,$X366)&amp;"")</f>
        <v/>
      </c>
      <c r="J366">
        <f>IF($X366="","",INDEX('Per Line'!$M$2:$M$1501,$X366))</f>
        <v/>
      </c>
      <c r="K366" s="7">
        <f>IF($X366="","",J366*V366/100)</f>
        <v/>
      </c>
      <c r="L366">
        <f>IF($X366="","",INDEX('Per Line'!$Y$2:$Y$1501,$X366)&amp;"")</f>
        <v/>
      </c>
      <c r="M366" s="7">
        <f>IF($X366="","",SUMIFS('Per Line'!$U$2:$U$1501,'Per Line'!$AJ$2:$AJ$1501,$A366&amp;"|"&amp;$C366,'Per Line'!$AN$2:$AN$1501,1))</f>
        <v/>
      </c>
      <c r="N366">
        <f>IF($X366="","",Settings!$C$7)</f>
        <v/>
      </c>
      <c r="O366" s="7">
        <f>IF($X366="","",SUMIFS('Per Line'!$U$2:$U$1501,'Per Line'!$AJ$2:$AJ$1501,$A366&amp;"|"&amp;$C366,'Per Line'!$AM$2:$AM$1501,0,'Per Line'!$AN$2:$AN$1501,0))</f>
        <v/>
      </c>
      <c r="P366" s="7">
        <f>IF($X366="","",O366*N366)</f>
        <v/>
      </c>
      <c r="Q366">
        <f>IF($X366="","",Settings!$C$6)</f>
        <v/>
      </c>
      <c r="R366" s="7">
        <f>IF($X366="","",SUMIFS('Per Line'!$U$2:$U$1501,'Per Line'!$AJ$2:$AJ$1501,$A366&amp;"|"&amp;$C366,'Per Line'!$AM$2:$AM$1501,1,'Per Line'!$AN$2:$AN$1501,0))</f>
        <v/>
      </c>
      <c r="S366" s="7">
        <f>IF($X366="","",R366*Q366)</f>
        <v/>
      </c>
      <c r="T366" s="7">
        <f>IF($X366="","",S366+P366)</f>
        <v/>
      </c>
      <c r="U366" s="7">
        <f>IF($X366="","",V366-T366)</f>
        <v/>
      </c>
      <c r="V366" s="7">
        <f>IF($X366="","",O366+R366+M366)</f>
        <v/>
      </c>
      <c r="W366" s="7">
        <f>IF($X366="","",V366-T366-K366)</f>
        <v/>
      </c>
      <c r="X366" s="13">
        <f>IF(ROWS($X$2:$X366)&lt;=MAX('Per Line'!$AL$2:$AL$1501),MATCH(ROWS($X$2:$X366),'Per Line'!$AL$2:$AL$1501,0),"")</f>
        <v/>
      </c>
    </row>
    <row r="367">
      <c r="A367">
        <f>IF($X367="","",INDEX('Per Line'!$C$2:$C$1501,$X367)&amp;"")</f>
        <v/>
      </c>
      <c r="B367" s="12" t="n"/>
      <c r="C367">
        <f>IF($X367="","",INDEX('Per Line'!$D$2:$D$1501,$X367)&amp;"")</f>
        <v/>
      </c>
      <c r="D367">
        <f>IF($X367="","",INDEX('Per Line'!$A$2:$A$1501,$X367))</f>
        <v/>
      </c>
      <c r="E367">
        <f>IF($X367="","",INDEX('Per Line'!$G$2:$G$1501,$X367)&amp;"")</f>
        <v/>
      </c>
      <c r="F367" s="11">
        <f>IF($X367="","",INDEX('Per Line'!$F$2:$F$1501,$X367))</f>
        <v/>
      </c>
      <c r="G367">
        <f>IF($X367="","",INDEX('Per Line'!$I$2:$I$1501,$X367)&amp;"")</f>
        <v/>
      </c>
      <c r="H367">
        <f>IF($X367="","",INDEX('Per Line'!$J$2:$J$1501,$X367)&amp;"")</f>
        <v/>
      </c>
      <c r="I367">
        <f>IF($X367="","",INDEX('Per Line'!$K$2:$K$1501,$X367)&amp;"")</f>
        <v/>
      </c>
      <c r="J367">
        <f>IF($X367="","",INDEX('Per Line'!$M$2:$M$1501,$X367))</f>
        <v/>
      </c>
      <c r="K367" s="7">
        <f>IF($X367="","",J367*V367/100)</f>
        <v/>
      </c>
      <c r="L367">
        <f>IF($X367="","",INDEX('Per Line'!$Y$2:$Y$1501,$X367)&amp;"")</f>
        <v/>
      </c>
      <c r="M367" s="7">
        <f>IF($X367="","",SUMIFS('Per Line'!$U$2:$U$1501,'Per Line'!$AJ$2:$AJ$1501,$A367&amp;"|"&amp;$C367,'Per Line'!$AN$2:$AN$1501,1))</f>
        <v/>
      </c>
      <c r="N367">
        <f>IF($X367="","",Settings!$C$7)</f>
        <v/>
      </c>
      <c r="O367" s="7">
        <f>IF($X367="","",SUMIFS('Per Line'!$U$2:$U$1501,'Per Line'!$AJ$2:$AJ$1501,$A367&amp;"|"&amp;$C367,'Per Line'!$AM$2:$AM$1501,0,'Per Line'!$AN$2:$AN$1501,0))</f>
        <v/>
      </c>
      <c r="P367" s="7">
        <f>IF($X367="","",O367*N367)</f>
        <v/>
      </c>
      <c r="Q367">
        <f>IF($X367="","",Settings!$C$6)</f>
        <v/>
      </c>
      <c r="R367" s="7">
        <f>IF($X367="","",SUMIFS('Per Line'!$U$2:$U$1501,'Per Line'!$AJ$2:$AJ$1501,$A367&amp;"|"&amp;$C367,'Per Line'!$AM$2:$AM$1501,1,'Per Line'!$AN$2:$AN$1501,0))</f>
        <v/>
      </c>
      <c r="S367" s="7">
        <f>IF($X367="","",R367*Q367)</f>
        <v/>
      </c>
      <c r="T367" s="7">
        <f>IF($X367="","",S367+P367)</f>
        <v/>
      </c>
      <c r="U367" s="7">
        <f>IF($X367="","",V367-T367)</f>
        <v/>
      </c>
      <c r="V367" s="7">
        <f>IF($X367="","",O367+R367+M367)</f>
        <v/>
      </c>
      <c r="W367" s="7">
        <f>IF($X367="","",V367-T367-K367)</f>
        <v/>
      </c>
      <c r="X367" s="13">
        <f>IF(ROWS($X$2:$X367)&lt;=MAX('Per Line'!$AL$2:$AL$1501),MATCH(ROWS($X$2:$X367),'Per Line'!$AL$2:$AL$1501,0),"")</f>
        <v/>
      </c>
    </row>
    <row r="368">
      <c r="A368">
        <f>IF($X368="","",INDEX('Per Line'!$C$2:$C$1501,$X368)&amp;"")</f>
        <v/>
      </c>
      <c r="B368" s="12" t="n"/>
      <c r="C368">
        <f>IF($X368="","",INDEX('Per Line'!$D$2:$D$1501,$X368)&amp;"")</f>
        <v/>
      </c>
      <c r="D368">
        <f>IF($X368="","",INDEX('Per Line'!$A$2:$A$1501,$X368))</f>
        <v/>
      </c>
      <c r="E368">
        <f>IF($X368="","",INDEX('Per Line'!$G$2:$G$1501,$X368)&amp;"")</f>
        <v/>
      </c>
      <c r="F368" s="11">
        <f>IF($X368="","",INDEX('Per Line'!$F$2:$F$1501,$X368))</f>
        <v/>
      </c>
      <c r="G368">
        <f>IF($X368="","",INDEX('Per Line'!$I$2:$I$1501,$X368)&amp;"")</f>
        <v/>
      </c>
      <c r="H368">
        <f>IF($X368="","",INDEX('Per Line'!$J$2:$J$1501,$X368)&amp;"")</f>
        <v/>
      </c>
      <c r="I368">
        <f>IF($X368="","",INDEX('Per Line'!$K$2:$K$1501,$X368)&amp;"")</f>
        <v/>
      </c>
      <c r="J368">
        <f>IF($X368="","",INDEX('Per Line'!$M$2:$M$1501,$X368))</f>
        <v/>
      </c>
      <c r="K368" s="7">
        <f>IF($X368="","",J368*V368/100)</f>
        <v/>
      </c>
      <c r="L368">
        <f>IF($X368="","",INDEX('Per Line'!$Y$2:$Y$1501,$X368)&amp;"")</f>
        <v/>
      </c>
      <c r="M368" s="7">
        <f>IF($X368="","",SUMIFS('Per Line'!$U$2:$U$1501,'Per Line'!$AJ$2:$AJ$1501,$A368&amp;"|"&amp;$C368,'Per Line'!$AN$2:$AN$1501,1))</f>
        <v/>
      </c>
      <c r="N368">
        <f>IF($X368="","",Settings!$C$7)</f>
        <v/>
      </c>
      <c r="O368" s="7">
        <f>IF($X368="","",SUMIFS('Per Line'!$U$2:$U$1501,'Per Line'!$AJ$2:$AJ$1501,$A368&amp;"|"&amp;$C368,'Per Line'!$AM$2:$AM$1501,0,'Per Line'!$AN$2:$AN$1501,0))</f>
        <v/>
      </c>
      <c r="P368" s="7">
        <f>IF($X368="","",O368*N368)</f>
        <v/>
      </c>
      <c r="Q368">
        <f>IF($X368="","",Settings!$C$6)</f>
        <v/>
      </c>
      <c r="R368" s="7">
        <f>IF($X368="","",SUMIFS('Per Line'!$U$2:$U$1501,'Per Line'!$AJ$2:$AJ$1501,$A368&amp;"|"&amp;$C368,'Per Line'!$AM$2:$AM$1501,1,'Per Line'!$AN$2:$AN$1501,0))</f>
        <v/>
      </c>
      <c r="S368" s="7">
        <f>IF($X368="","",R368*Q368)</f>
        <v/>
      </c>
      <c r="T368" s="7">
        <f>IF($X368="","",S368+P368)</f>
        <v/>
      </c>
      <c r="U368" s="7">
        <f>IF($X368="","",V368-T368)</f>
        <v/>
      </c>
      <c r="V368" s="7">
        <f>IF($X368="","",O368+R368+M368)</f>
        <v/>
      </c>
      <c r="W368" s="7">
        <f>IF($X368="","",V368-T368-K368)</f>
        <v/>
      </c>
      <c r="X368" s="13">
        <f>IF(ROWS($X$2:$X368)&lt;=MAX('Per Line'!$AL$2:$AL$1501),MATCH(ROWS($X$2:$X368),'Per Line'!$AL$2:$AL$1501,0),"")</f>
        <v/>
      </c>
    </row>
    <row r="369">
      <c r="A369">
        <f>IF($X369="","",INDEX('Per Line'!$C$2:$C$1501,$X369)&amp;"")</f>
        <v/>
      </c>
      <c r="B369" s="12" t="n"/>
      <c r="C369">
        <f>IF($X369="","",INDEX('Per Line'!$D$2:$D$1501,$X369)&amp;"")</f>
        <v/>
      </c>
      <c r="D369">
        <f>IF($X369="","",INDEX('Per Line'!$A$2:$A$1501,$X369))</f>
        <v/>
      </c>
      <c r="E369">
        <f>IF($X369="","",INDEX('Per Line'!$G$2:$G$1501,$X369)&amp;"")</f>
        <v/>
      </c>
      <c r="F369" s="11">
        <f>IF($X369="","",INDEX('Per Line'!$F$2:$F$1501,$X369))</f>
        <v/>
      </c>
      <c r="G369">
        <f>IF($X369="","",INDEX('Per Line'!$I$2:$I$1501,$X369)&amp;"")</f>
        <v/>
      </c>
      <c r="H369">
        <f>IF($X369="","",INDEX('Per Line'!$J$2:$J$1501,$X369)&amp;"")</f>
        <v/>
      </c>
      <c r="I369">
        <f>IF($X369="","",INDEX('Per Line'!$K$2:$K$1501,$X369)&amp;"")</f>
        <v/>
      </c>
      <c r="J369">
        <f>IF($X369="","",INDEX('Per Line'!$M$2:$M$1501,$X369))</f>
        <v/>
      </c>
      <c r="K369" s="7">
        <f>IF($X369="","",J369*V369/100)</f>
        <v/>
      </c>
      <c r="L369">
        <f>IF($X369="","",INDEX('Per Line'!$Y$2:$Y$1501,$X369)&amp;"")</f>
        <v/>
      </c>
      <c r="M369" s="7">
        <f>IF($X369="","",SUMIFS('Per Line'!$U$2:$U$1501,'Per Line'!$AJ$2:$AJ$1501,$A369&amp;"|"&amp;$C369,'Per Line'!$AN$2:$AN$1501,1))</f>
        <v/>
      </c>
      <c r="N369">
        <f>IF($X369="","",Settings!$C$7)</f>
        <v/>
      </c>
      <c r="O369" s="7">
        <f>IF($X369="","",SUMIFS('Per Line'!$U$2:$U$1501,'Per Line'!$AJ$2:$AJ$1501,$A369&amp;"|"&amp;$C369,'Per Line'!$AM$2:$AM$1501,0,'Per Line'!$AN$2:$AN$1501,0))</f>
        <v/>
      </c>
      <c r="P369" s="7">
        <f>IF($X369="","",O369*N369)</f>
        <v/>
      </c>
      <c r="Q369">
        <f>IF($X369="","",Settings!$C$6)</f>
        <v/>
      </c>
      <c r="R369" s="7">
        <f>IF($X369="","",SUMIFS('Per Line'!$U$2:$U$1501,'Per Line'!$AJ$2:$AJ$1501,$A369&amp;"|"&amp;$C369,'Per Line'!$AM$2:$AM$1501,1,'Per Line'!$AN$2:$AN$1501,0))</f>
        <v/>
      </c>
      <c r="S369" s="7">
        <f>IF($X369="","",R369*Q369)</f>
        <v/>
      </c>
      <c r="T369" s="7">
        <f>IF($X369="","",S369+P369)</f>
        <v/>
      </c>
      <c r="U369" s="7">
        <f>IF($X369="","",V369-T369)</f>
        <v/>
      </c>
      <c r="V369" s="7">
        <f>IF($X369="","",O369+R369+M369)</f>
        <v/>
      </c>
      <c r="W369" s="7">
        <f>IF($X369="","",V369-T369-K369)</f>
        <v/>
      </c>
      <c r="X369" s="13">
        <f>IF(ROWS($X$2:$X369)&lt;=MAX('Per Line'!$AL$2:$AL$1501),MATCH(ROWS($X$2:$X369),'Per Line'!$AL$2:$AL$1501,0),"")</f>
        <v/>
      </c>
    </row>
    <row r="370">
      <c r="A370">
        <f>IF($X370="","",INDEX('Per Line'!$C$2:$C$1501,$X370)&amp;"")</f>
        <v/>
      </c>
      <c r="B370" s="12" t="n"/>
      <c r="C370">
        <f>IF($X370="","",INDEX('Per Line'!$D$2:$D$1501,$X370)&amp;"")</f>
        <v/>
      </c>
      <c r="D370">
        <f>IF($X370="","",INDEX('Per Line'!$A$2:$A$1501,$X370))</f>
        <v/>
      </c>
      <c r="E370">
        <f>IF($X370="","",INDEX('Per Line'!$G$2:$G$1501,$X370)&amp;"")</f>
        <v/>
      </c>
      <c r="F370" s="11">
        <f>IF($X370="","",INDEX('Per Line'!$F$2:$F$1501,$X370))</f>
        <v/>
      </c>
      <c r="G370">
        <f>IF($X370="","",INDEX('Per Line'!$I$2:$I$1501,$X370)&amp;"")</f>
        <v/>
      </c>
      <c r="H370">
        <f>IF($X370="","",INDEX('Per Line'!$J$2:$J$1501,$X370)&amp;"")</f>
        <v/>
      </c>
      <c r="I370">
        <f>IF($X370="","",INDEX('Per Line'!$K$2:$K$1501,$X370)&amp;"")</f>
        <v/>
      </c>
      <c r="J370">
        <f>IF($X370="","",INDEX('Per Line'!$M$2:$M$1501,$X370))</f>
        <v/>
      </c>
      <c r="K370" s="7">
        <f>IF($X370="","",J370*V370/100)</f>
        <v/>
      </c>
      <c r="L370">
        <f>IF($X370="","",INDEX('Per Line'!$Y$2:$Y$1501,$X370)&amp;"")</f>
        <v/>
      </c>
      <c r="M370" s="7">
        <f>IF($X370="","",SUMIFS('Per Line'!$U$2:$U$1501,'Per Line'!$AJ$2:$AJ$1501,$A370&amp;"|"&amp;$C370,'Per Line'!$AN$2:$AN$1501,1))</f>
        <v/>
      </c>
      <c r="N370">
        <f>IF($X370="","",Settings!$C$7)</f>
        <v/>
      </c>
      <c r="O370" s="7">
        <f>IF($X370="","",SUMIFS('Per Line'!$U$2:$U$1501,'Per Line'!$AJ$2:$AJ$1501,$A370&amp;"|"&amp;$C370,'Per Line'!$AM$2:$AM$1501,0,'Per Line'!$AN$2:$AN$1501,0))</f>
        <v/>
      </c>
      <c r="P370" s="7">
        <f>IF($X370="","",O370*N370)</f>
        <v/>
      </c>
      <c r="Q370">
        <f>IF($X370="","",Settings!$C$6)</f>
        <v/>
      </c>
      <c r="R370" s="7">
        <f>IF($X370="","",SUMIFS('Per Line'!$U$2:$U$1501,'Per Line'!$AJ$2:$AJ$1501,$A370&amp;"|"&amp;$C370,'Per Line'!$AM$2:$AM$1501,1,'Per Line'!$AN$2:$AN$1501,0))</f>
        <v/>
      </c>
      <c r="S370" s="7">
        <f>IF($X370="","",R370*Q370)</f>
        <v/>
      </c>
      <c r="T370" s="7">
        <f>IF($X370="","",S370+P370)</f>
        <v/>
      </c>
      <c r="U370" s="7">
        <f>IF($X370="","",V370-T370)</f>
        <v/>
      </c>
      <c r="V370" s="7">
        <f>IF($X370="","",O370+R370+M370)</f>
        <v/>
      </c>
      <c r="W370" s="7">
        <f>IF($X370="","",V370-T370-K370)</f>
        <v/>
      </c>
      <c r="X370" s="13">
        <f>IF(ROWS($X$2:$X370)&lt;=MAX('Per Line'!$AL$2:$AL$1501),MATCH(ROWS($X$2:$X370),'Per Line'!$AL$2:$AL$1501,0),"")</f>
        <v/>
      </c>
    </row>
    <row r="371">
      <c r="A371">
        <f>IF($X371="","",INDEX('Per Line'!$C$2:$C$1501,$X371)&amp;"")</f>
        <v/>
      </c>
      <c r="B371" s="12" t="n"/>
      <c r="C371">
        <f>IF($X371="","",INDEX('Per Line'!$D$2:$D$1501,$X371)&amp;"")</f>
        <v/>
      </c>
      <c r="D371">
        <f>IF($X371="","",INDEX('Per Line'!$A$2:$A$1501,$X371))</f>
        <v/>
      </c>
      <c r="E371">
        <f>IF($X371="","",INDEX('Per Line'!$G$2:$G$1501,$X371)&amp;"")</f>
        <v/>
      </c>
      <c r="F371" s="11">
        <f>IF($X371="","",INDEX('Per Line'!$F$2:$F$1501,$X371))</f>
        <v/>
      </c>
      <c r="G371">
        <f>IF($X371="","",INDEX('Per Line'!$I$2:$I$1501,$X371)&amp;"")</f>
        <v/>
      </c>
      <c r="H371">
        <f>IF($X371="","",INDEX('Per Line'!$J$2:$J$1501,$X371)&amp;"")</f>
        <v/>
      </c>
      <c r="I371">
        <f>IF($X371="","",INDEX('Per Line'!$K$2:$K$1501,$X371)&amp;"")</f>
        <v/>
      </c>
      <c r="J371">
        <f>IF($X371="","",INDEX('Per Line'!$M$2:$M$1501,$X371))</f>
        <v/>
      </c>
      <c r="K371" s="7">
        <f>IF($X371="","",J371*V371/100)</f>
        <v/>
      </c>
      <c r="L371">
        <f>IF($X371="","",INDEX('Per Line'!$Y$2:$Y$1501,$X371)&amp;"")</f>
        <v/>
      </c>
      <c r="M371" s="7">
        <f>IF($X371="","",SUMIFS('Per Line'!$U$2:$U$1501,'Per Line'!$AJ$2:$AJ$1501,$A371&amp;"|"&amp;$C371,'Per Line'!$AN$2:$AN$1501,1))</f>
        <v/>
      </c>
      <c r="N371">
        <f>IF($X371="","",Settings!$C$7)</f>
        <v/>
      </c>
      <c r="O371" s="7">
        <f>IF($X371="","",SUMIFS('Per Line'!$U$2:$U$1501,'Per Line'!$AJ$2:$AJ$1501,$A371&amp;"|"&amp;$C371,'Per Line'!$AM$2:$AM$1501,0,'Per Line'!$AN$2:$AN$1501,0))</f>
        <v/>
      </c>
      <c r="P371" s="7">
        <f>IF($X371="","",O371*N371)</f>
        <v/>
      </c>
      <c r="Q371">
        <f>IF($X371="","",Settings!$C$6)</f>
        <v/>
      </c>
      <c r="R371" s="7">
        <f>IF($X371="","",SUMIFS('Per Line'!$U$2:$U$1501,'Per Line'!$AJ$2:$AJ$1501,$A371&amp;"|"&amp;$C371,'Per Line'!$AM$2:$AM$1501,1,'Per Line'!$AN$2:$AN$1501,0))</f>
        <v/>
      </c>
      <c r="S371" s="7">
        <f>IF($X371="","",R371*Q371)</f>
        <v/>
      </c>
      <c r="T371" s="7">
        <f>IF($X371="","",S371+P371)</f>
        <v/>
      </c>
      <c r="U371" s="7">
        <f>IF($X371="","",V371-T371)</f>
        <v/>
      </c>
      <c r="V371" s="7">
        <f>IF($X371="","",O371+R371+M371)</f>
        <v/>
      </c>
      <c r="W371" s="7">
        <f>IF($X371="","",V371-T371-K371)</f>
        <v/>
      </c>
      <c r="X371" s="13">
        <f>IF(ROWS($X$2:$X371)&lt;=MAX('Per Line'!$AL$2:$AL$1501),MATCH(ROWS($X$2:$X371),'Per Line'!$AL$2:$AL$1501,0),"")</f>
        <v/>
      </c>
    </row>
    <row r="372">
      <c r="A372">
        <f>IF($X372="","",INDEX('Per Line'!$C$2:$C$1501,$X372)&amp;"")</f>
        <v/>
      </c>
      <c r="B372" s="12" t="n"/>
      <c r="C372">
        <f>IF($X372="","",INDEX('Per Line'!$D$2:$D$1501,$X372)&amp;"")</f>
        <v/>
      </c>
      <c r="D372">
        <f>IF($X372="","",INDEX('Per Line'!$A$2:$A$1501,$X372))</f>
        <v/>
      </c>
      <c r="E372">
        <f>IF($X372="","",INDEX('Per Line'!$G$2:$G$1501,$X372)&amp;"")</f>
        <v/>
      </c>
      <c r="F372" s="11">
        <f>IF($X372="","",INDEX('Per Line'!$F$2:$F$1501,$X372))</f>
        <v/>
      </c>
      <c r="G372">
        <f>IF($X372="","",INDEX('Per Line'!$I$2:$I$1501,$X372)&amp;"")</f>
        <v/>
      </c>
      <c r="H372">
        <f>IF($X372="","",INDEX('Per Line'!$J$2:$J$1501,$X372)&amp;"")</f>
        <v/>
      </c>
      <c r="I372">
        <f>IF($X372="","",INDEX('Per Line'!$K$2:$K$1501,$X372)&amp;"")</f>
        <v/>
      </c>
      <c r="J372">
        <f>IF($X372="","",INDEX('Per Line'!$M$2:$M$1501,$X372))</f>
        <v/>
      </c>
      <c r="K372" s="7">
        <f>IF($X372="","",J372*V372/100)</f>
        <v/>
      </c>
      <c r="L372">
        <f>IF($X372="","",INDEX('Per Line'!$Y$2:$Y$1501,$X372)&amp;"")</f>
        <v/>
      </c>
      <c r="M372" s="7">
        <f>IF($X372="","",SUMIFS('Per Line'!$U$2:$U$1501,'Per Line'!$AJ$2:$AJ$1501,$A372&amp;"|"&amp;$C372,'Per Line'!$AN$2:$AN$1501,1))</f>
        <v/>
      </c>
      <c r="N372">
        <f>IF($X372="","",Settings!$C$7)</f>
        <v/>
      </c>
      <c r="O372" s="7">
        <f>IF($X372="","",SUMIFS('Per Line'!$U$2:$U$1501,'Per Line'!$AJ$2:$AJ$1501,$A372&amp;"|"&amp;$C372,'Per Line'!$AM$2:$AM$1501,0,'Per Line'!$AN$2:$AN$1501,0))</f>
        <v/>
      </c>
      <c r="P372" s="7">
        <f>IF($X372="","",O372*N372)</f>
        <v/>
      </c>
      <c r="Q372">
        <f>IF($X372="","",Settings!$C$6)</f>
        <v/>
      </c>
      <c r="R372" s="7">
        <f>IF($X372="","",SUMIFS('Per Line'!$U$2:$U$1501,'Per Line'!$AJ$2:$AJ$1501,$A372&amp;"|"&amp;$C372,'Per Line'!$AM$2:$AM$1501,1,'Per Line'!$AN$2:$AN$1501,0))</f>
        <v/>
      </c>
      <c r="S372" s="7">
        <f>IF($X372="","",R372*Q372)</f>
        <v/>
      </c>
      <c r="T372" s="7">
        <f>IF($X372="","",S372+P372)</f>
        <v/>
      </c>
      <c r="U372" s="7">
        <f>IF($X372="","",V372-T372)</f>
        <v/>
      </c>
      <c r="V372" s="7">
        <f>IF($X372="","",O372+R372+M372)</f>
        <v/>
      </c>
      <c r="W372" s="7">
        <f>IF($X372="","",V372-T372-K372)</f>
        <v/>
      </c>
      <c r="X372" s="13">
        <f>IF(ROWS($X$2:$X372)&lt;=MAX('Per Line'!$AL$2:$AL$1501),MATCH(ROWS($X$2:$X372),'Per Line'!$AL$2:$AL$1501,0),"")</f>
        <v/>
      </c>
    </row>
    <row r="373">
      <c r="A373">
        <f>IF($X373="","",INDEX('Per Line'!$C$2:$C$1501,$X373)&amp;"")</f>
        <v/>
      </c>
      <c r="B373" s="12" t="n"/>
      <c r="C373">
        <f>IF($X373="","",INDEX('Per Line'!$D$2:$D$1501,$X373)&amp;"")</f>
        <v/>
      </c>
      <c r="D373">
        <f>IF($X373="","",INDEX('Per Line'!$A$2:$A$1501,$X373))</f>
        <v/>
      </c>
      <c r="E373">
        <f>IF($X373="","",INDEX('Per Line'!$G$2:$G$1501,$X373)&amp;"")</f>
        <v/>
      </c>
      <c r="F373" s="11">
        <f>IF($X373="","",INDEX('Per Line'!$F$2:$F$1501,$X373))</f>
        <v/>
      </c>
      <c r="G373">
        <f>IF($X373="","",INDEX('Per Line'!$I$2:$I$1501,$X373)&amp;"")</f>
        <v/>
      </c>
      <c r="H373">
        <f>IF($X373="","",INDEX('Per Line'!$J$2:$J$1501,$X373)&amp;"")</f>
        <v/>
      </c>
      <c r="I373">
        <f>IF($X373="","",INDEX('Per Line'!$K$2:$K$1501,$X373)&amp;"")</f>
        <v/>
      </c>
      <c r="J373">
        <f>IF($X373="","",INDEX('Per Line'!$M$2:$M$1501,$X373))</f>
        <v/>
      </c>
      <c r="K373" s="7">
        <f>IF($X373="","",J373*V373/100)</f>
        <v/>
      </c>
      <c r="L373">
        <f>IF($X373="","",INDEX('Per Line'!$Y$2:$Y$1501,$X373)&amp;"")</f>
        <v/>
      </c>
      <c r="M373" s="7">
        <f>IF($X373="","",SUMIFS('Per Line'!$U$2:$U$1501,'Per Line'!$AJ$2:$AJ$1501,$A373&amp;"|"&amp;$C373,'Per Line'!$AN$2:$AN$1501,1))</f>
        <v/>
      </c>
      <c r="N373">
        <f>IF($X373="","",Settings!$C$7)</f>
        <v/>
      </c>
      <c r="O373" s="7">
        <f>IF($X373="","",SUMIFS('Per Line'!$U$2:$U$1501,'Per Line'!$AJ$2:$AJ$1501,$A373&amp;"|"&amp;$C373,'Per Line'!$AM$2:$AM$1501,0,'Per Line'!$AN$2:$AN$1501,0))</f>
        <v/>
      </c>
      <c r="P373" s="7">
        <f>IF($X373="","",O373*N373)</f>
        <v/>
      </c>
      <c r="Q373">
        <f>IF($X373="","",Settings!$C$6)</f>
        <v/>
      </c>
      <c r="R373" s="7">
        <f>IF($X373="","",SUMIFS('Per Line'!$U$2:$U$1501,'Per Line'!$AJ$2:$AJ$1501,$A373&amp;"|"&amp;$C373,'Per Line'!$AM$2:$AM$1501,1,'Per Line'!$AN$2:$AN$1501,0))</f>
        <v/>
      </c>
      <c r="S373" s="7">
        <f>IF($X373="","",R373*Q373)</f>
        <v/>
      </c>
      <c r="T373" s="7">
        <f>IF($X373="","",S373+P373)</f>
        <v/>
      </c>
      <c r="U373" s="7">
        <f>IF($X373="","",V373-T373)</f>
        <v/>
      </c>
      <c r="V373" s="7">
        <f>IF($X373="","",O373+R373+M373)</f>
        <v/>
      </c>
      <c r="W373" s="7">
        <f>IF($X373="","",V373-T373-K373)</f>
        <v/>
      </c>
      <c r="X373" s="13">
        <f>IF(ROWS($X$2:$X373)&lt;=MAX('Per Line'!$AL$2:$AL$1501),MATCH(ROWS($X$2:$X373),'Per Line'!$AL$2:$AL$1501,0),"")</f>
        <v/>
      </c>
    </row>
    <row r="374">
      <c r="A374">
        <f>IF($X374="","",INDEX('Per Line'!$C$2:$C$1501,$X374)&amp;"")</f>
        <v/>
      </c>
      <c r="B374" s="12" t="n"/>
      <c r="C374">
        <f>IF($X374="","",INDEX('Per Line'!$D$2:$D$1501,$X374)&amp;"")</f>
        <v/>
      </c>
      <c r="D374">
        <f>IF($X374="","",INDEX('Per Line'!$A$2:$A$1501,$X374))</f>
        <v/>
      </c>
      <c r="E374">
        <f>IF($X374="","",INDEX('Per Line'!$G$2:$G$1501,$X374)&amp;"")</f>
        <v/>
      </c>
      <c r="F374" s="11">
        <f>IF($X374="","",INDEX('Per Line'!$F$2:$F$1501,$X374))</f>
        <v/>
      </c>
      <c r="G374">
        <f>IF($X374="","",INDEX('Per Line'!$I$2:$I$1501,$X374)&amp;"")</f>
        <v/>
      </c>
      <c r="H374">
        <f>IF($X374="","",INDEX('Per Line'!$J$2:$J$1501,$X374)&amp;"")</f>
        <v/>
      </c>
      <c r="I374">
        <f>IF($X374="","",INDEX('Per Line'!$K$2:$K$1501,$X374)&amp;"")</f>
        <v/>
      </c>
      <c r="J374">
        <f>IF($X374="","",INDEX('Per Line'!$M$2:$M$1501,$X374))</f>
        <v/>
      </c>
      <c r="K374" s="7">
        <f>IF($X374="","",J374*V374/100)</f>
        <v/>
      </c>
      <c r="L374">
        <f>IF($X374="","",INDEX('Per Line'!$Y$2:$Y$1501,$X374)&amp;"")</f>
        <v/>
      </c>
      <c r="M374" s="7">
        <f>IF($X374="","",SUMIFS('Per Line'!$U$2:$U$1501,'Per Line'!$AJ$2:$AJ$1501,$A374&amp;"|"&amp;$C374,'Per Line'!$AN$2:$AN$1501,1))</f>
        <v/>
      </c>
      <c r="N374">
        <f>IF($X374="","",Settings!$C$7)</f>
        <v/>
      </c>
      <c r="O374" s="7">
        <f>IF($X374="","",SUMIFS('Per Line'!$U$2:$U$1501,'Per Line'!$AJ$2:$AJ$1501,$A374&amp;"|"&amp;$C374,'Per Line'!$AM$2:$AM$1501,0,'Per Line'!$AN$2:$AN$1501,0))</f>
        <v/>
      </c>
      <c r="P374" s="7">
        <f>IF($X374="","",O374*N374)</f>
        <v/>
      </c>
      <c r="Q374">
        <f>IF($X374="","",Settings!$C$6)</f>
        <v/>
      </c>
      <c r="R374" s="7">
        <f>IF($X374="","",SUMIFS('Per Line'!$U$2:$U$1501,'Per Line'!$AJ$2:$AJ$1501,$A374&amp;"|"&amp;$C374,'Per Line'!$AM$2:$AM$1501,1,'Per Line'!$AN$2:$AN$1501,0))</f>
        <v/>
      </c>
      <c r="S374" s="7">
        <f>IF($X374="","",R374*Q374)</f>
        <v/>
      </c>
      <c r="T374" s="7">
        <f>IF($X374="","",S374+P374)</f>
        <v/>
      </c>
      <c r="U374" s="7">
        <f>IF($X374="","",V374-T374)</f>
        <v/>
      </c>
      <c r="V374" s="7">
        <f>IF($X374="","",O374+R374+M374)</f>
        <v/>
      </c>
      <c r="W374" s="7">
        <f>IF($X374="","",V374-T374-K374)</f>
        <v/>
      </c>
      <c r="X374" s="13">
        <f>IF(ROWS($X$2:$X374)&lt;=MAX('Per Line'!$AL$2:$AL$1501),MATCH(ROWS($X$2:$X374),'Per Line'!$AL$2:$AL$1501,0),"")</f>
        <v/>
      </c>
    </row>
    <row r="375">
      <c r="A375">
        <f>IF($X375="","",INDEX('Per Line'!$C$2:$C$1501,$X375)&amp;"")</f>
        <v/>
      </c>
      <c r="B375" s="12" t="n"/>
      <c r="C375">
        <f>IF($X375="","",INDEX('Per Line'!$D$2:$D$1501,$X375)&amp;"")</f>
        <v/>
      </c>
      <c r="D375">
        <f>IF($X375="","",INDEX('Per Line'!$A$2:$A$1501,$X375))</f>
        <v/>
      </c>
      <c r="E375">
        <f>IF($X375="","",INDEX('Per Line'!$G$2:$G$1501,$X375)&amp;"")</f>
        <v/>
      </c>
      <c r="F375" s="11">
        <f>IF($X375="","",INDEX('Per Line'!$F$2:$F$1501,$X375))</f>
        <v/>
      </c>
      <c r="G375">
        <f>IF($X375="","",INDEX('Per Line'!$I$2:$I$1501,$X375)&amp;"")</f>
        <v/>
      </c>
      <c r="H375">
        <f>IF($X375="","",INDEX('Per Line'!$J$2:$J$1501,$X375)&amp;"")</f>
        <v/>
      </c>
      <c r="I375">
        <f>IF($X375="","",INDEX('Per Line'!$K$2:$K$1501,$X375)&amp;"")</f>
        <v/>
      </c>
      <c r="J375">
        <f>IF($X375="","",INDEX('Per Line'!$M$2:$M$1501,$X375))</f>
        <v/>
      </c>
      <c r="K375" s="7">
        <f>IF($X375="","",J375*V375/100)</f>
        <v/>
      </c>
      <c r="L375">
        <f>IF($X375="","",INDEX('Per Line'!$Y$2:$Y$1501,$X375)&amp;"")</f>
        <v/>
      </c>
      <c r="M375" s="7">
        <f>IF($X375="","",SUMIFS('Per Line'!$U$2:$U$1501,'Per Line'!$AJ$2:$AJ$1501,$A375&amp;"|"&amp;$C375,'Per Line'!$AN$2:$AN$1501,1))</f>
        <v/>
      </c>
      <c r="N375">
        <f>IF($X375="","",Settings!$C$7)</f>
        <v/>
      </c>
      <c r="O375" s="7">
        <f>IF($X375="","",SUMIFS('Per Line'!$U$2:$U$1501,'Per Line'!$AJ$2:$AJ$1501,$A375&amp;"|"&amp;$C375,'Per Line'!$AM$2:$AM$1501,0,'Per Line'!$AN$2:$AN$1501,0))</f>
        <v/>
      </c>
      <c r="P375" s="7">
        <f>IF($X375="","",O375*N375)</f>
        <v/>
      </c>
      <c r="Q375">
        <f>IF($X375="","",Settings!$C$6)</f>
        <v/>
      </c>
      <c r="R375" s="7">
        <f>IF($X375="","",SUMIFS('Per Line'!$U$2:$U$1501,'Per Line'!$AJ$2:$AJ$1501,$A375&amp;"|"&amp;$C375,'Per Line'!$AM$2:$AM$1501,1,'Per Line'!$AN$2:$AN$1501,0))</f>
        <v/>
      </c>
      <c r="S375" s="7">
        <f>IF($X375="","",R375*Q375)</f>
        <v/>
      </c>
      <c r="T375" s="7">
        <f>IF($X375="","",S375+P375)</f>
        <v/>
      </c>
      <c r="U375" s="7">
        <f>IF($X375="","",V375-T375)</f>
        <v/>
      </c>
      <c r="V375" s="7">
        <f>IF($X375="","",O375+R375+M375)</f>
        <v/>
      </c>
      <c r="W375" s="7">
        <f>IF($X375="","",V375-T375-K375)</f>
        <v/>
      </c>
      <c r="X375" s="13">
        <f>IF(ROWS($X$2:$X375)&lt;=MAX('Per Line'!$AL$2:$AL$1501),MATCH(ROWS($X$2:$X375),'Per Line'!$AL$2:$AL$1501,0),"")</f>
        <v/>
      </c>
    </row>
    <row r="376">
      <c r="A376">
        <f>IF($X376="","",INDEX('Per Line'!$C$2:$C$1501,$X376)&amp;"")</f>
        <v/>
      </c>
      <c r="B376" s="12" t="n"/>
      <c r="C376">
        <f>IF($X376="","",INDEX('Per Line'!$D$2:$D$1501,$X376)&amp;"")</f>
        <v/>
      </c>
      <c r="D376">
        <f>IF($X376="","",INDEX('Per Line'!$A$2:$A$1501,$X376))</f>
        <v/>
      </c>
      <c r="E376">
        <f>IF($X376="","",INDEX('Per Line'!$G$2:$G$1501,$X376)&amp;"")</f>
        <v/>
      </c>
      <c r="F376" s="11">
        <f>IF($X376="","",INDEX('Per Line'!$F$2:$F$1501,$X376))</f>
        <v/>
      </c>
      <c r="G376">
        <f>IF($X376="","",INDEX('Per Line'!$I$2:$I$1501,$X376)&amp;"")</f>
        <v/>
      </c>
      <c r="H376">
        <f>IF($X376="","",INDEX('Per Line'!$J$2:$J$1501,$X376)&amp;"")</f>
        <v/>
      </c>
      <c r="I376">
        <f>IF($X376="","",INDEX('Per Line'!$K$2:$K$1501,$X376)&amp;"")</f>
        <v/>
      </c>
      <c r="J376">
        <f>IF($X376="","",INDEX('Per Line'!$M$2:$M$1501,$X376))</f>
        <v/>
      </c>
      <c r="K376" s="7">
        <f>IF($X376="","",J376*V376/100)</f>
        <v/>
      </c>
      <c r="L376">
        <f>IF($X376="","",INDEX('Per Line'!$Y$2:$Y$1501,$X376)&amp;"")</f>
        <v/>
      </c>
      <c r="M376" s="7">
        <f>IF($X376="","",SUMIFS('Per Line'!$U$2:$U$1501,'Per Line'!$AJ$2:$AJ$1501,$A376&amp;"|"&amp;$C376,'Per Line'!$AN$2:$AN$1501,1))</f>
        <v/>
      </c>
      <c r="N376">
        <f>IF($X376="","",Settings!$C$7)</f>
        <v/>
      </c>
      <c r="O376" s="7">
        <f>IF($X376="","",SUMIFS('Per Line'!$U$2:$U$1501,'Per Line'!$AJ$2:$AJ$1501,$A376&amp;"|"&amp;$C376,'Per Line'!$AM$2:$AM$1501,0,'Per Line'!$AN$2:$AN$1501,0))</f>
        <v/>
      </c>
      <c r="P376" s="7">
        <f>IF($X376="","",O376*N376)</f>
        <v/>
      </c>
      <c r="Q376">
        <f>IF($X376="","",Settings!$C$6)</f>
        <v/>
      </c>
      <c r="R376" s="7">
        <f>IF($X376="","",SUMIFS('Per Line'!$U$2:$U$1501,'Per Line'!$AJ$2:$AJ$1501,$A376&amp;"|"&amp;$C376,'Per Line'!$AM$2:$AM$1501,1,'Per Line'!$AN$2:$AN$1501,0))</f>
        <v/>
      </c>
      <c r="S376" s="7">
        <f>IF($X376="","",R376*Q376)</f>
        <v/>
      </c>
      <c r="T376" s="7">
        <f>IF($X376="","",S376+P376)</f>
        <v/>
      </c>
      <c r="U376" s="7">
        <f>IF($X376="","",V376-T376)</f>
        <v/>
      </c>
      <c r="V376" s="7">
        <f>IF($X376="","",O376+R376+M376)</f>
        <v/>
      </c>
      <c r="W376" s="7">
        <f>IF($X376="","",V376-T376-K376)</f>
        <v/>
      </c>
      <c r="X376" s="13">
        <f>IF(ROWS($X$2:$X376)&lt;=MAX('Per Line'!$AL$2:$AL$1501),MATCH(ROWS($X$2:$X376),'Per Line'!$AL$2:$AL$1501,0),"")</f>
        <v/>
      </c>
    </row>
    <row r="377">
      <c r="A377">
        <f>IF($X377="","",INDEX('Per Line'!$C$2:$C$1501,$X377)&amp;"")</f>
        <v/>
      </c>
      <c r="B377" s="12" t="n"/>
      <c r="C377">
        <f>IF($X377="","",INDEX('Per Line'!$D$2:$D$1501,$X377)&amp;"")</f>
        <v/>
      </c>
      <c r="D377">
        <f>IF($X377="","",INDEX('Per Line'!$A$2:$A$1501,$X377))</f>
        <v/>
      </c>
      <c r="E377">
        <f>IF($X377="","",INDEX('Per Line'!$G$2:$G$1501,$X377)&amp;"")</f>
        <v/>
      </c>
      <c r="F377" s="11">
        <f>IF($X377="","",INDEX('Per Line'!$F$2:$F$1501,$X377))</f>
        <v/>
      </c>
      <c r="G377">
        <f>IF($X377="","",INDEX('Per Line'!$I$2:$I$1501,$X377)&amp;"")</f>
        <v/>
      </c>
      <c r="H377">
        <f>IF($X377="","",INDEX('Per Line'!$J$2:$J$1501,$X377)&amp;"")</f>
        <v/>
      </c>
      <c r="I377">
        <f>IF($X377="","",INDEX('Per Line'!$K$2:$K$1501,$X377)&amp;"")</f>
        <v/>
      </c>
      <c r="J377">
        <f>IF($X377="","",INDEX('Per Line'!$M$2:$M$1501,$X377))</f>
        <v/>
      </c>
      <c r="K377" s="7">
        <f>IF($X377="","",J377*V377/100)</f>
        <v/>
      </c>
      <c r="L377">
        <f>IF($X377="","",INDEX('Per Line'!$Y$2:$Y$1501,$X377)&amp;"")</f>
        <v/>
      </c>
      <c r="M377" s="7">
        <f>IF($X377="","",SUMIFS('Per Line'!$U$2:$U$1501,'Per Line'!$AJ$2:$AJ$1501,$A377&amp;"|"&amp;$C377,'Per Line'!$AN$2:$AN$1501,1))</f>
        <v/>
      </c>
      <c r="N377">
        <f>IF($X377="","",Settings!$C$7)</f>
        <v/>
      </c>
      <c r="O377" s="7">
        <f>IF($X377="","",SUMIFS('Per Line'!$U$2:$U$1501,'Per Line'!$AJ$2:$AJ$1501,$A377&amp;"|"&amp;$C377,'Per Line'!$AM$2:$AM$1501,0,'Per Line'!$AN$2:$AN$1501,0))</f>
        <v/>
      </c>
      <c r="P377" s="7">
        <f>IF($X377="","",O377*N377)</f>
        <v/>
      </c>
      <c r="Q377">
        <f>IF($X377="","",Settings!$C$6)</f>
        <v/>
      </c>
      <c r="R377" s="7">
        <f>IF($X377="","",SUMIFS('Per Line'!$U$2:$U$1501,'Per Line'!$AJ$2:$AJ$1501,$A377&amp;"|"&amp;$C377,'Per Line'!$AM$2:$AM$1501,1,'Per Line'!$AN$2:$AN$1501,0))</f>
        <v/>
      </c>
      <c r="S377" s="7">
        <f>IF($X377="","",R377*Q377)</f>
        <v/>
      </c>
      <c r="T377" s="7">
        <f>IF($X377="","",S377+P377)</f>
        <v/>
      </c>
      <c r="U377" s="7">
        <f>IF($X377="","",V377-T377)</f>
        <v/>
      </c>
      <c r="V377" s="7">
        <f>IF($X377="","",O377+R377+M377)</f>
        <v/>
      </c>
      <c r="W377" s="7">
        <f>IF($X377="","",V377-T377-K377)</f>
        <v/>
      </c>
      <c r="X377" s="13">
        <f>IF(ROWS($X$2:$X377)&lt;=MAX('Per Line'!$AL$2:$AL$1501),MATCH(ROWS($X$2:$X377),'Per Line'!$AL$2:$AL$1501,0),"")</f>
        <v/>
      </c>
    </row>
    <row r="378">
      <c r="A378">
        <f>IF($X378="","",INDEX('Per Line'!$C$2:$C$1501,$X378)&amp;"")</f>
        <v/>
      </c>
      <c r="B378" s="12" t="n"/>
      <c r="C378">
        <f>IF($X378="","",INDEX('Per Line'!$D$2:$D$1501,$X378)&amp;"")</f>
        <v/>
      </c>
      <c r="D378">
        <f>IF($X378="","",INDEX('Per Line'!$A$2:$A$1501,$X378))</f>
        <v/>
      </c>
      <c r="E378">
        <f>IF($X378="","",INDEX('Per Line'!$G$2:$G$1501,$X378)&amp;"")</f>
        <v/>
      </c>
      <c r="F378" s="11">
        <f>IF($X378="","",INDEX('Per Line'!$F$2:$F$1501,$X378))</f>
        <v/>
      </c>
      <c r="G378">
        <f>IF($X378="","",INDEX('Per Line'!$I$2:$I$1501,$X378)&amp;"")</f>
        <v/>
      </c>
      <c r="H378">
        <f>IF($X378="","",INDEX('Per Line'!$J$2:$J$1501,$X378)&amp;"")</f>
        <v/>
      </c>
      <c r="I378">
        <f>IF($X378="","",INDEX('Per Line'!$K$2:$K$1501,$X378)&amp;"")</f>
        <v/>
      </c>
      <c r="J378">
        <f>IF($X378="","",INDEX('Per Line'!$M$2:$M$1501,$X378))</f>
        <v/>
      </c>
      <c r="K378" s="7">
        <f>IF($X378="","",J378*V378/100)</f>
        <v/>
      </c>
      <c r="L378">
        <f>IF($X378="","",INDEX('Per Line'!$Y$2:$Y$1501,$X378)&amp;"")</f>
        <v/>
      </c>
      <c r="M378" s="7">
        <f>IF($X378="","",SUMIFS('Per Line'!$U$2:$U$1501,'Per Line'!$AJ$2:$AJ$1501,$A378&amp;"|"&amp;$C378,'Per Line'!$AN$2:$AN$1501,1))</f>
        <v/>
      </c>
      <c r="N378">
        <f>IF($X378="","",Settings!$C$7)</f>
        <v/>
      </c>
      <c r="O378" s="7">
        <f>IF($X378="","",SUMIFS('Per Line'!$U$2:$U$1501,'Per Line'!$AJ$2:$AJ$1501,$A378&amp;"|"&amp;$C378,'Per Line'!$AM$2:$AM$1501,0,'Per Line'!$AN$2:$AN$1501,0))</f>
        <v/>
      </c>
      <c r="P378" s="7">
        <f>IF($X378="","",O378*N378)</f>
        <v/>
      </c>
      <c r="Q378">
        <f>IF($X378="","",Settings!$C$6)</f>
        <v/>
      </c>
      <c r="R378" s="7">
        <f>IF($X378="","",SUMIFS('Per Line'!$U$2:$U$1501,'Per Line'!$AJ$2:$AJ$1501,$A378&amp;"|"&amp;$C378,'Per Line'!$AM$2:$AM$1501,1,'Per Line'!$AN$2:$AN$1501,0))</f>
        <v/>
      </c>
      <c r="S378" s="7">
        <f>IF($X378="","",R378*Q378)</f>
        <v/>
      </c>
      <c r="T378" s="7">
        <f>IF($X378="","",S378+P378)</f>
        <v/>
      </c>
      <c r="U378" s="7">
        <f>IF($X378="","",V378-T378)</f>
        <v/>
      </c>
      <c r="V378" s="7">
        <f>IF($X378="","",O378+R378+M378)</f>
        <v/>
      </c>
      <c r="W378" s="7">
        <f>IF($X378="","",V378-T378-K378)</f>
        <v/>
      </c>
      <c r="X378" s="13">
        <f>IF(ROWS($X$2:$X378)&lt;=MAX('Per Line'!$AL$2:$AL$1501),MATCH(ROWS($X$2:$X378),'Per Line'!$AL$2:$AL$1501,0),"")</f>
        <v/>
      </c>
    </row>
    <row r="379">
      <c r="A379">
        <f>IF($X379="","",INDEX('Per Line'!$C$2:$C$1501,$X379)&amp;"")</f>
        <v/>
      </c>
      <c r="B379" s="12" t="n"/>
      <c r="C379">
        <f>IF($X379="","",INDEX('Per Line'!$D$2:$D$1501,$X379)&amp;"")</f>
        <v/>
      </c>
      <c r="D379">
        <f>IF($X379="","",INDEX('Per Line'!$A$2:$A$1501,$X379))</f>
        <v/>
      </c>
      <c r="E379">
        <f>IF($X379="","",INDEX('Per Line'!$G$2:$G$1501,$X379)&amp;"")</f>
        <v/>
      </c>
      <c r="F379" s="11">
        <f>IF($X379="","",INDEX('Per Line'!$F$2:$F$1501,$X379))</f>
        <v/>
      </c>
      <c r="G379">
        <f>IF($X379="","",INDEX('Per Line'!$I$2:$I$1501,$X379)&amp;"")</f>
        <v/>
      </c>
      <c r="H379">
        <f>IF($X379="","",INDEX('Per Line'!$J$2:$J$1501,$X379)&amp;"")</f>
        <v/>
      </c>
      <c r="I379">
        <f>IF($X379="","",INDEX('Per Line'!$K$2:$K$1501,$X379)&amp;"")</f>
        <v/>
      </c>
      <c r="J379">
        <f>IF($X379="","",INDEX('Per Line'!$M$2:$M$1501,$X379))</f>
        <v/>
      </c>
      <c r="K379" s="7">
        <f>IF($X379="","",J379*V379/100)</f>
        <v/>
      </c>
      <c r="L379">
        <f>IF($X379="","",INDEX('Per Line'!$Y$2:$Y$1501,$X379)&amp;"")</f>
        <v/>
      </c>
      <c r="M379" s="7">
        <f>IF($X379="","",SUMIFS('Per Line'!$U$2:$U$1501,'Per Line'!$AJ$2:$AJ$1501,$A379&amp;"|"&amp;$C379,'Per Line'!$AN$2:$AN$1501,1))</f>
        <v/>
      </c>
      <c r="N379">
        <f>IF($X379="","",Settings!$C$7)</f>
        <v/>
      </c>
      <c r="O379" s="7">
        <f>IF($X379="","",SUMIFS('Per Line'!$U$2:$U$1501,'Per Line'!$AJ$2:$AJ$1501,$A379&amp;"|"&amp;$C379,'Per Line'!$AM$2:$AM$1501,0,'Per Line'!$AN$2:$AN$1501,0))</f>
        <v/>
      </c>
      <c r="P379" s="7">
        <f>IF($X379="","",O379*N379)</f>
        <v/>
      </c>
      <c r="Q379">
        <f>IF($X379="","",Settings!$C$6)</f>
        <v/>
      </c>
      <c r="R379" s="7">
        <f>IF($X379="","",SUMIFS('Per Line'!$U$2:$U$1501,'Per Line'!$AJ$2:$AJ$1501,$A379&amp;"|"&amp;$C379,'Per Line'!$AM$2:$AM$1501,1,'Per Line'!$AN$2:$AN$1501,0))</f>
        <v/>
      </c>
      <c r="S379" s="7">
        <f>IF($X379="","",R379*Q379)</f>
        <v/>
      </c>
      <c r="T379" s="7">
        <f>IF($X379="","",S379+P379)</f>
        <v/>
      </c>
      <c r="U379" s="7">
        <f>IF($X379="","",V379-T379)</f>
        <v/>
      </c>
      <c r="V379" s="7">
        <f>IF($X379="","",O379+R379+M379)</f>
        <v/>
      </c>
      <c r="W379" s="7">
        <f>IF($X379="","",V379-T379-K379)</f>
        <v/>
      </c>
      <c r="X379" s="13">
        <f>IF(ROWS($X$2:$X379)&lt;=MAX('Per Line'!$AL$2:$AL$1501),MATCH(ROWS($X$2:$X379),'Per Line'!$AL$2:$AL$1501,0),"")</f>
        <v/>
      </c>
    </row>
    <row r="380">
      <c r="A380">
        <f>IF($X380="","",INDEX('Per Line'!$C$2:$C$1501,$X380)&amp;"")</f>
        <v/>
      </c>
      <c r="B380" s="12" t="n"/>
      <c r="C380">
        <f>IF($X380="","",INDEX('Per Line'!$D$2:$D$1501,$X380)&amp;"")</f>
        <v/>
      </c>
      <c r="D380">
        <f>IF($X380="","",INDEX('Per Line'!$A$2:$A$1501,$X380))</f>
        <v/>
      </c>
      <c r="E380">
        <f>IF($X380="","",INDEX('Per Line'!$G$2:$G$1501,$X380)&amp;"")</f>
        <v/>
      </c>
      <c r="F380" s="11">
        <f>IF($X380="","",INDEX('Per Line'!$F$2:$F$1501,$X380))</f>
        <v/>
      </c>
      <c r="G380">
        <f>IF($X380="","",INDEX('Per Line'!$I$2:$I$1501,$X380)&amp;"")</f>
        <v/>
      </c>
      <c r="H380">
        <f>IF($X380="","",INDEX('Per Line'!$J$2:$J$1501,$X380)&amp;"")</f>
        <v/>
      </c>
      <c r="I380">
        <f>IF($X380="","",INDEX('Per Line'!$K$2:$K$1501,$X380)&amp;"")</f>
        <v/>
      </c>
      <c r="J380">
        <f>IF($X380="","",INDEX('Per Line'!$M$2:$M$1501,$X380))</f>
        <v/>
      </c>
      <c r="K380" s="7">
        <f>IF($X380="","",J380*V380/100)</f>
        <v/>
      </c>
      <c r="L380">
        <f>IF($X380="","",INDEX('Per Line'!$Y$2:$Y$1501,$X380)&amp;"")</f>
        <v/>
      </c>
      <c r="M380" s="7">
        <f>IF($X380="","",SUMIFS('Per Line'!$U$2:$U$1501,'Per Line'!$AJ$2:$AJ$1501,$A380&amp;"|"&amp;$C380,'Per Line'!$AN$2:$AN$1501,1))</f>
        <v/>
      </c>
      <c r="N380">
        <f>IF($X380="","",Settings!$C$7)</f>
        <v/>
      </c>
      <c r="O380" s="7">
        <f>IF($X380="","",SUMIFS('Per Line'!$U$2:$U$1501,'Per Line'!$AJ$2:$AJ$1501,$A380&amp;"|"&amp;$C380,'Per Line'!$AM$2:$AM$1501,0,'Per Line'!$AN$2:$AN$1501,0))</f>
        <v/>
      </c>
      <c r="P380" s="7">
        <f>IF($X380="","",O380*N380)</f>
        <v/>
      </c>
      <c r="Q380">
        <f>IF($X380="","",Settings!$C$6)</f>
        <v/>
      </c>
      <c r="R380" s="7">
        <f>IF($X380="","",SUMIFS('Per Line'!$U$2:$U$1501,'Per Line'!$AJ$2:$AJ$1501,$A380&amp;"|"&amp;$C380,'Per Line'!$AM$2:$AM$1501,1,'Per Line'!$AN$2:$AN$1501,0))</f>
        <v/>
      </c>
      <c r="S380" s="7">
        <f>IF($X380="","",R380*Q380)</f>
        <v/>
      </c>
      <c r="T380" s="7">
        <f>IF($X380="","",S380+P380)</f>
        <v/>
      </c>
      <c r="U380" s="7">
        <f>IF($X380="","",V380-T380)</f>
        <v/>
      </c>
      <c r="V380" s="7">
        <f>IF($X380="","",O380+R380+M380)</f>
        <v/>
      </c>
      <c r="W380" s="7">
        <f>IF($X380="","",V380-T380-K380)</f>
        <v/>
      </c>
      <c r="X380" s="13">
        <f>IF(ROWS($X$2:$X380)&lt;=MAX('Per Line'!$AL$2:$AL$1501),MATCH(ROWS($X$2:$X380),'Per Line'!$AL$2:$AL$1501,0),"")</f>
        <v/>
      </c>
    </row>
    <row r="381">
      <c r="A381">
        <f>IF($X381="","",INDEX('Per Line'!$C$2:$C$1501,$X381)&amp;"")</f>
        <v/>
      </c>
      <c r="B381" s="12" t="n"/>
      <c r="C381">
        <f>IF($X381="","",INDEX('Per Line'!$D$2:$D$1501,$X381)&amp;"")</f>
        <v/>
      </c>
      <c r="D381">
        <f>IF($X381="","",INDEX('Per Line'!$A$2:$A$1501,$X381))</f>
        <v/>
      </c>
      <c r="E381">
        <f>IF($X381="","",INDEX('Per Line'!$G$2:$G$1501,$X381)&amp;"")</f>
        <v/>
      </c>
      <c r="F381" s="11">
        <f>IF($X381="","",INDEX('Per Line'!$F$2:$F$1501,$X381))</f>
        <v/>
      </c>
      <c r="G381">
        <f>IF($X381="","",INDEX('Per Line'!$I$2:$I$1501,$X381)&amp;"")</f>
        <v/>
      </c>
      <c r="H381">
        <f>IF($X381="","",INDEX('Per Line'!$J$2:$J$1501,$X381)&amp;"")</f>
        <v/>
      </c>
      <c r="I381">
        <f>IF($X381="","",INDEX('Per Line'!$K$2:$K$1501,$X381)&amp;"")</f>
        <v/>
      </c>
      <c r="J381">
        <f>IF($X381="","",INDEX('Per Line'!$M$2:$M$1501,$X381))</f>
        <v/>
      </c>
      <c r="K381" s="7">
        <f>IF($X381="","",J381*V381/100)</f>
        <v/>
      </c>
      <c r="L381">
        <f>IF($X381="","",INDEX('Per Line'!$Y$2:$Y$1501,$X381)&amp;"")</f>
        <v/>
      </c>
      <c r="M381" s="7">
        <f>IF($X381="","",SUMIFS('Per Line'!$U$2:$U$1501,'Per Line'!$AJ$2:$AJ$1501,$A381&amp;"|"&amp;$C381,'Per Line'!$AN$2:$AN$1501,1))</f>
        <v/>
      </c>
      <c r="N381">
        <f>IF($X381="","",Settings!$C$7)</f>
        <v/>
      </c>
      <c r="O381" s="7">
        <f>IF($X381="","",SUMIFS('Per Line'!$U$2:$U$1501,'Per Line'!$AJ$2:$AJ$1501,$A381&amp;"|"&amp;$C381,'Per Line'!$AM$2:$AM$1501,0,'Per Line'!$AN$2:$AN$1501,0))</f>
        <v/>
      </c>
      <c r="P381" s="7">
        <f>IF($X381="","",O381*N381)</f>
        <v/>
      </c>
      <c r="Q381">
        <f>IF($X381="","",Settings!$C$6)</f>
        <v/>
      </c>
      <c r="R381" s="7">
        <f>IF($X381="","",SUMIFS('Per Line'!$U$2:$U$1501,'Per Line'!$AJ$2:$AJ$1501,$A381&amp;"|"&amp;$C381,'Per Line'!$AM$2:$AM$1501,1,'Per Line'!$AN$2:$AN$1501,0))</f>
        <v/>
      </c>
      <c r="S381" s="7">
        <f>IF($X381="","",R381*Q381)</f>
        <v/>
      </c>
      <c r="T381" s="7">
        <f>IF($X381="","",S381+P381)</f>
        <v/>
      </c>
      <c r="U381" s="7">
        <f>IF($X381="","",V381-T381)</f>
        <v/>
      </c>
      <c r="V381" s="7">
        <f>IF($X381="","",O381+R381+M381)</f>
        <v/>
      </c>
      <c r="W381" s="7">
        <f>IF($X381="","",V381-T381-K381)</f>
        <v/>
      </c>
      <c r="X381" s="13">
        <f>IF(ROWS($X$2:$X381)&lt;=MAX('Per Line'!$AL$2:$AL$1501),MATCH(ROWS($X$2:$X381),'Per Line'!$AL$2:$AL$1501,0),"")</f>
        <v/>
      </c>
    </row>
    <row r="382">
      <c r="A382">
        <f>IF($X382="","",INDEX('Per Line'!$C$2:$C$1501,$X382)&amp;"")</f>
        <v/>
      </c>
      <c r="B382" s="12" t="n"/>
      <c r="C382">
        <f>IF($X382="","",INDEX('Per Line'!$D$2:$D$1501,$X382)&amp;"")</f>
        <v/>
      </c>
      <c r="D382">
        <f>IF($X382="","",INDEX('Per Line'!$A$2:$A$1501,$X382))</f>
        <v/>
      </c>
      <c r="E382">
        <f>IF($X382="","",INDEX('Per Line'!$G$2:$G$1501,$X382)&amp;"")</f>
        <v/>
      </c>
      <c r="F382" s="11">
        <f>IF($X382="","",INDEX('Per Line'!$F$2:$F$1501,$X382))</f>
        <v/>
      </c>
      <c r="G382">
        <f>IF($X382="","",INDEX('Per Line'!$I$2:$I$1501,$X382)&amp;"")</f>
        <v/>
      </c>
      <c r="H382">
        <f>IF($X382="","",INDEX('Per Line'!$J$2:$J$1501,$X382)&amp;"")</f>
        <v/>
      </c>
      <c r="I382">
        <f>IF($X382="","",INDEX('Per Line'!$K$2:$K$1501,$X382)&amp;"")</f>
        <v/>
      </c>
      <c r="J382">
        <f>IF($X382="","",INDEX('Per Line'!$M$2:$M$1501,$X382))</f>
        <v/>
      </c>
      <c r="K382" s="7">
        <f>IF($X382="","",J382*V382/100)</f>
        <v/>
      </c>
      <c r="L382">
        <f>IF($X382="","",INDEX('Per Line'!$Y$2:$Y$1501,$X382)&amp;"")</f>
        <v/>
      </c>
      <c r="M382" s="7">
        <f>IF($X382="","",SUMIFS('Per Line'!$U$2:$U$1501,'Per Line'!$AJ$2:$AJ$1501,$A382&amp;"|"&amp;$C382,'Per Line'!$AN$2:$AN$1501,1))</f>
        <v/>
      </c>
      <c r="N382">
        <f>IF($X382="","",Settings!$C$7)</f>
        <v/>
      </c>
      <c r="O382" s="7">
        <f>IF($X382="","",SUMIFS('Per Line'!$U$2:$U$1501,'Per Line'!$AJ$2:$AJ$1501,$A382&amp;"|"&amp;$C382,'Per Line'!$AM$2:$AM$1501,0,'Per Line'!$AN$2:$AN$1501,0))</f>
        <v/>
      </c>
      <c r="P382" s="7">
        <f>IF($X382="","",O382*N382)</f>
        <v/>
      </c>
      <c r="Q382">
        <f>IF($X382="","",Settings!$C$6)</f>
        <v/>
      </c>
      <c r="R382" s="7">
        <f>IF($X382="","",SUMIFS('Per Line'!$U$2:$U$1501,'Per Line'!$AJ$2:$AJ$1501,$A382&amp;"|"&amp;$C382,'Per Line'!$AM$2:$AM$1501,1,'Per Line'!$AN$2:$AN$1501,0))</f>
        <v/>
      </c>
      <c r="S382" s="7">
        <f>IF($X382="","",R382*Q382)</f>
        <v/>
      </c>
      <c r="T382" s="7">
        <f>IF($X382="","",S382+P382)</f>
        <v/>
      </c>
      <c r="U382" s="7">
        <f>IF($X382="","",V382-T382)</f>
        <v/>
      </c>
      <c r="V382" s="7">
        <f>IF($X382="","",O382+R382+M382)</f>
        <v/>
      </c>
      <c r="W382" s="7">
        <f>IF($X382="","",V382-T382-K382)</f>
        <v/>
      </c>
      <c r="X382" s="13">
        <f>IF(ROWS($X$2:$X382)&lt;=MAX('Per Line'!$AL$2:$AL$1501),MATCH(ROWS($X$2:$X382),'Per Line'!$AL$2:$AL$1501,0),"")</f>
        <v/>
      </c>
    </row>
    <row r="383">
      <c r="A383">
        <f>IF($X383="","",INDEX('Per Line'!$C$2:$C$1501,$X383)&amp;"")</f>
        <v/>
      </c>
      <c r="B383" s="12" t="n"/>
      <c r="C383">
        <f>IF($X383="","",INDEX('Per Line'!$D$2:$D$1501,$X383)&amp;"")</f>
        <v/>
      </c>
      <c r="D383">
        <f>IF($X383="","",INDEX('Per Line'!$A$2:$A$1501,$X383))</f>
        <v/>
      </c>
      <c r="E383">
        <f>IF($X383="","",INDEX('Per Line'!$G$2:$G$1501,$X383)&amp;"")</f>
        <v/>
      </c>
      <c r="F383" s="11">
        <f>IF($X383="","",INDEX('Per Line'!$F$2:$F$1501,$X383))</f>
        <v/>
      </c>
      <c r="G383">
        <f>IF($X383="","",INDEX('Per Line'!$I$2:$I$1501,$X383)&amp;"")</f>
        <v/>
      </c>
      <c r="H383">
        <f>IF($X383="","",INDEX('Per Line'!$J$2:$J$1501,$X383)&amp;"")</f>
        <v/>
      </c>
      <c r="I383">
        <f>IF($X383="","",INDEX('Per Line'!$K$2:$K$1501,$X383)&amp;"")</f>
        <v/>
      </c>
      <c r="J383">
        <f>IF($X383="","",INDEX('Per Line'!$M$2:$M$1501,$X383))</f>
        <v/>
      </c>
      <c r="K383" s="7">
        <f>IF($X383="","",J383*V383/100)</f>
        <v/>
      </c>
      <c r="L383">
        <f>IF($X383="","",INDEX('Per Line'!$Y$2:$Y$1501,$X383)&amp;"")</f>
        <v/>
      </c>
      <c r="M383" s="7">
        <f>IF($X383="","",SUMIFS('Per Line'!$U$2:$U$1501,'Per Line'!$AJ$2:$AJ$1501,$A383&amp;"|"&amp;$C383,'Per Line'!$AN$2:$AN$1501,1))</f>
        <v/>
      </c>
      <c r="N383">
        <f>IF($X383="","",Settings!$C$7)</f>
        <v/>
      </c>
      <c r="O383" s="7">
        <f>IF($X383="","",SUMIFS('Per Line'!$U$2:$U$1501,'Per Line'!$AJ$2:$AJ$1501,$A383&amp;"|"&amp;$C383,'Per Line'!$AM$2:$AM$1501,0,'Per Line'!$AN$2:$AN$1501,0))</f>
        <v/>
      </c>
      <c r="P383" s="7">
        <f>IF($X383="","",O383*N383)</f>
        <v/>
      </c>
      <c r="Q383">
        <f>IF($X383="","",Settings!$C$6)</f>
        <v/>
      </c>
      <c r="R383" s="7">
        <f>IF($X383="","",SUMIFS('Per Line'!$U$2:$U$1501,'Per Line'!$AJ$2:$AJ$1501,$A383&amp;"|"&amp;$C383,'Per Line'!$AM$2:$AM$1501,1,'Per Line'!$AN$2:$AN$1501,0))</f>
        <v/>
      </c>
      <c r="S383" s="7">
        <f>IF($X383="","",R383*Q383)</f>
        <v/>
      </c>
      <c r="T383" s="7">
        <f>IF($X383="","",S383+P383)</f>
        <v/>
      </c>
      <c r="U383" s="7">
        <f>IF($X383="","",V383-T383)</f>
        <v/>
      </c>
      <c r="V383" s="7">
        <f>IF($X383="","",O383+R383+M383)</f>
        <v/>
      </c>
      <c r="W383" s="7">
        <f>IF($X383="","",V383-T383-K383)</f>
        <v/>
      </c>
      <c r="X383" s="13">
        <f>IF(ROWS($X$2:$X383)&lt;=MAX('Per Line'!$AL$2:$AL$1501),MATCH(ROWS($X$2:$X383),'Per Line'!$AL$2:$AL$1501,0),"")</f>
        <v/>
      </c>
    </row>
    <row r="384">
      <c r="A384">
        <f>IF($X384="","",INDEX('Per Line'!$C$2:$C$1501,$X384)&amp;"")</f>
        <v/>
      </c>
      <c r="B384" s="12" t="n"/>
      <c r="C384">
        <f>IF($X384="","",INDEX('Per Line'!$D$2:$D$1501,$X384)&amp;"")</f>
        <v/>
      </c>
      <c r="D384">
        <f>IF($X384="","",INDEX('Per Line'!$A$2:$A$1501,$X384))</f>
        <v/>
      </c>
      <c r="E384">
        <f>IF($X384="","",INDEX('Per Line'!$G$2:$G$1501,$X384)&amp;"")</f>
        <v/>
      </c>
      <c r="F384" s="11">
        <f>IF($X384="","",INDEX('Per Line'!$F$2:$F$1501,$X384))</f>
        <v/>
      </c>
      <c r="G384">
        <f>IF($X384="","",INDEX('Per Line'!$I$2:$I$1501,$X384)&amp;"")</f>
        <v/>
      </c>
      <c r="H384">
        <f>IF($X384="","",INDEX('Per Line'!$J$2:$J$1501,$X384)&amp;"")</f>
        <v/>
      </c>
      <c r="I384">
        <f>IF($X384="","",INDEX('Per Line'!$K$2:$K$1501,$X384)&amp;"")</f>
        <v/>
      </c>
      <c r="J384">
        <f>IF($X384="","",INDEX('Per Line'!$M$2:$M$1501,$X384))</f>
        <v/>
      </c>
      <c r="K384" s="7">
        <f>IF($X384="","",J384*V384/100)</f>
        <v/>
      </c>
      <c r="L384">
        <f>IF($X384="","",INDEX('Per Line'!$Y$2:$Y$1501,$X384)&amp;"")</f>
        <v/>
      </c>
      <c r="M384" s="7">
        <f>IF($X384="","",SUMIFS('Per Line'!$U$2:$U$1501,'Per Line'!$AJ$2:$AJ$1501,$A384&amp;"|"&amp;$C384,'Per Line'!$AN$2:$AN$1501,1))</f>
        <v/>
      </c>
      <c r="N384">
        <f>IF($X384="","",Settings!$C$7)</f>
        <v/>
      </c>
      <c r="O384" s="7">
        <f>IF($X384="","",SUMIFS('Per Line'!$U$2:$U$1501,'Per Line'!$AJ$2:$AJ$1501,$A384&amp;"|"&amp;$C384,'Per Line'!$AM$2:$AM$1501,0,'Per Line'!$AN$2:$AN$1501,0))</f>
        <v/>
      </c>
      <c r="P384" s="7">
        <f>IF($X384="","",O384*N384)</f>
        <v/>
      </c>
      <c r="Q384">
        <f>IF($X384="","",Settings!$C$6)</f>
        <v/>
      </c>
      <c r="R384" s="7">
        <f>IF($X384="","",SUMIFS('Per Line'!$U$2:$U$1501,'Per Line'!$AJ$2:$AJ$1501,$A384&amp;"|"&amp;$C384,'Per Line'!$AM$2:$AM$1501,1,'Per Line'!$AN$2:$AN$1501,0))</f>
        <v/>
      </c>
      <c r="S384" s="7">
        <f>IF($X384="","",R384*Q384)</f>
        <v/>
      </c>
      <c r="T384" s="7">
        <f>IF($X384="","",S384+P384)</f>
        <v/>
      </c>
      <c r="U384" s="7">
        <f>IF($X384="","",V384-T384)</f>
        <v/>
      </c>
      <c r="V384" s="7">
        <f>IF($X384="","",O384+R384+M384)</f>
        <v/>
      </c>
      <c r="W384" s="7">
        <f>IF($X384="","",V384-T384-K384)</f>
        <v/>
      </c>
      <c r="X384" s="13">
        <f>IF(ROWS($X$2:$X384)&lt;=MAX('Per Line'!$AL$2:$AL$1501),MATCH(ROWS($X$2:$X384),'Per Line'!$AL$2:$AL$1501,0),"")</f>
        <v/>
      </c>
    </row>
    <row r="385">
      <c r="A385">
        <f>IF($X385="","",INDEX('Per Line'!$C$2:$C$1501,$X385)&amp;"")</f>
        <v/>
      </c>
      <c r="B385" s="12" t="n"/>
      <c r="C385">
        <f>IF($X385="","",INDEX('Per Line'!$D$2:$D$1501,$X385)&amp;"")</f>
        <v/>
      </c>
      <c r="D385">
        <f>IF($X385="","",INDEX('Per Line'!$A$2:$A$1501,$X385))</f>
        <v/>
      </c>
      <c r="E385">
        <f>IF($X385="","",INDEX('Per Line'!$G$2:$G$1501,$X385)&amp;"")</f>
        <v/>
      </c>
      <c r="F385" s="11">
        <f>IF($X385="","",INDEX('Per Line'!$F$2:$F$1501,$X385))</f>
        <v/>
      </c>
      <c r="G385">
        <f>IF($X385="","",INDEX('Per Line'!$I$2:$I$1501,$X385)&amp;"")</f>
        <v/>
      </c>
      <c r="H385">
        <f>IF($X385="","",INDEX('Per Line'!$J$2:$J$1501,$X385)&amp;"")</f>
        <v/>
      </c>
      <c r="I385">
        <f>IF($X385="","",INDEX('Per Line'!$K$2:$K$1501,$X385)&amp;"")</f>
        <v/>
      </c>
      <c r="J385">
        <f>IF($X385="","",INDEX('Per Line'!$M$2:$M$1501,$X385))</f>
        <v/>
      </c>
      <c r="K385" s="7">
        <f>IF($X385="","",J385*V385/100)</f>
        <v/>
      </c>
      <c r="L385">
        <f>IF($X385="","",INDEX('Per Line'!$Y$2:$Y$1501,$X385)&amp;"")</f>
        <v/>
      </c>
      <c r="M385" s="7">
        <f>IF($X385="","",SUMIFS('Per Line'!$U$2:$U$1501,'Per Line'!$AJ$2:$AJ$1501,$A385&amp;"|"&amp;$C385,'Per Line'!$AN$2:$AN$1501,1))</f>
        <v/>
      </c>
      <c r="N385">
        <f>IF($X385="","",Settings!$C$7)</f>
        <v/>
      </c>
      <c r="O385" s="7">
        <f>IF($X385="","",SUMIFS('Per Line'!$U$2:$U$1501,'Per Line'!$AJ$2:$AJ$1501,$A385&amp;"|"&amp;$C385,'Per Line'!$AM$2:$AM$1501,0,'Per Line'!$AN$2:$AN$1501,0))</f>
        <v/>
      </c>
      <c r="P385" s="7">
        <f>IF($X385="","",O385*N385)</f>
        <v/>
      </c>
      <c r="Q385">
        <f>IF($X385="","",Settings!$C$6)</f>
        <v/>
      </c>
      <c r="R385" s="7">
        <f>IF($X385="","",SUMIFS('Per Line'!$U$2:$U$1501,'Per Line'!$AJ$2:$AJ$1501,$A385&amp;"|"&amp;$C385,'Per Line'!$AM$2:$AM$1501,1,'Per Line'!$AN$2:$AN$1501,0))</f>
        <v/>
      </c>
      <c r="S385" s="7">
        <f>IF($X385="","",R385*Q385)</f>
        <v/>
      </c>
      <c r="T385" s="7">
        <f>IF($X385="","",S385+P385)</f>
        <v/>
      </c>
      <c r="U385" s="7">
        <f>IF($X385="","",V385-T385)</f>
        <v/>
      </c>
      <c r="V385" s="7">
        <f>IF($X385="","",O385+R385+M385)</f>
        <v/>
      </c>
      <c r="W385" s="7">
        <f>IF($X385="","",V385-T385-K385)</f>
        <v/>
      </c>
      <c r="X385" s="13">
        <f>IF(ROWS($X$2:$X385)&lt;=MAX('Per Line'!$AL$2:$AL$1501),MATCH(ROWS($X$2:$X385),'Per Line'!$AL$2:$AL$1501,0),"")</f>
        <v/>
      </c>
    </row>
    <row r="386">
      <c r="A386">
        <f>IF($X386="","",INDEX('Per Line'!$C$2:$C$1501,$X386)&amp;"")</f>
        <v/>
      </c>
      <c r="B386" s="12" t="n"/>
      <c r="C386">
        <f>IF($X386="","",INDEX('Per Line'!$D$2:$D$1501,$X386)&amp;"")</f>
        <v/>
      </c>
      <c r="D386">
        <f>IF($X386="","",INDEX('Per Line'!$A$2:$A$1501,$X386))</f>
        <v/>
      </c>
      <c r="E386">
        <f>IF($X386="","",INDEX('Per Line'!$G$2:$G$1501,$X386)&amp;"")</f>
        <v/>
      </c>
      <c r="F386" s="11">
        <f>IF($X386="","",INDEX('Per Line'!$F$2:$F$1501,$X386))</f>
        <v/>
      </c>
      <c r="G386">
        <f>IF($X386="","",INDEX('Per Line'!$I$2:$I$1501,$X386)&amp;"")</f>
        <v/>
      </c>
      <c r="H386">
        <f>IF($X386="","",INDEX('Per Line'!$J$2:$J$1501,$X386)&amp;"")</f>
        <v/>
      </c>
      <c r="I386">
        <f>IF($X386="","",INDEX('Per Line'!$K$2:$K$1501,$X386)&amp;"")</f>
        <v/>
      </c>
      <c r="J386">
        <f>IF($X386="","",INDEX('Per Line'!$M$2:$M$1501,$X386))</f>
        <v/>
      </c>
      <c r="K386" s="7">
        <f>IF($X386="","",J386*V386/100)</f>
        <v/>
      </c>
      <c r="L386">
        <f>IF($X386="","",INDEX('Per Line'!$Y$2:$Y$1501,$X386)&amp;"")</f>
        <v/>
      </c>
      <c r="M386" s="7">
        <f>IF($X386="","",SUMIFS('Per Line'!$U$2:$U$1501,'Per Line'!$AJ$2:$AJ$1501,$A386&amp;"|"&amp;$C386,'Per Line'!$AN$2:$AN$1501,1))</f>
        <v/>
      </c>
      <c r="N386">
        <f>IF($X386="","",Settings!$C$7)</f>
        <v/>
      </c>
      <c r="O386" s="7">
        <f>IF($X386="","",SUMIFS('Per Line'!$U$2:$U$1501,'Per Line'!$AJ$2:$AJ$1501,$A386&amp;"|"&amp;$C386,'Per Line'!$AM$2:$AM$1501,0,'Per Line'!$AN$2:$AN$1501,0))</f>
        <v/>
      </c>
      <c r="P386" s="7">
        <f>IF($X386="","",O386*N386)</f>
        <v/>
      </c>
      <c r="Q386">
        <f>IF($X386="","",Settings!$C$6)</f>
        <v/>
      </c>
      <c r="R386" s="7">
        <f>IF($X386="","",SUMIFS('Per Line'!$U$2:$U$1501,'Per Line'!$AJ$2:$AJ$1501,$A386&amp;"|"&amp;$C386,'Per Line'!$AM$2:$AM$1501,1,'Per Line'!$AN$2:$AN$1501,0))</f>
        <v/>
      </c>
      <c r="S386" s="7">
        <f>IF($X386="","",R386*Q386)</f>
        <v/>
      </c>
      <c r="T386" s="7">
        <f>IF($X386="","",S386+P386)</f>
        <v/>
      </c>
      <c r="U386" s="7">
        <f>IF($X386="","",V386-T386)</f>
        <v/>
      </c>
      <c r="V386" s="7">
        <f>IF($X386="","",O386+R386+M386)</f>
        <v/>
      </c>
      <c r="W386" s="7">
        <f>IF($X386="","",V386-T386-K386)</f>
        <v/>
      </c>
      <c r="X386" s="13">
        <f>IF(ROWS($X$2:$X386)&lt;=MAX('Per Line'!$AL$2:$AL$1501),MATCH(ROWS($X$2:$X386),'Per Line'!$AL$2:$AL$1501,0),"")</f>
        <v/>
      </c>
    </row>
    <row r="387">
      <c r="A387">
        <f>IF($X387="","",INDEX('Per Line'!$C$2:$C$1501,$X387)&amp;"")</f>
        <v/>
      </c>
      <c r="B387" s="12" t="n"/>
      <c r="C387">
        <f>IF($X387="","",INDEX('Per Line'!$D$2:$D$1501,$X387)&amp;"")</f>
        <v/>
      </c>
      <c r="D387">
        <f>IF($X387="","",INDEX('Per Line'!$A$2:$A$1501,$X387))</f>
        <v/>
      </c>
      <c r="E387">
        <f>IF($X387="","",INDEX('Per Line'!$G$2:$G$1501,$X387)&amp;"")</f>
        <v/>
      </c>
      <c r="F387" s="11">
        <f>IF($X387="","",INDEX('Per Line'!$F$2:$F$1501,$X387))</f>
        <v/>
      </c>
      <c r="G387">
        <f>IF($X387="","",INDEX('Per Line'!$I$2:$I$1501,$X387)&amp;"")</f>
        <v/>
      </c>
      <c r="H387">
        <f>IF($X387="","",INDEX('Per Line'!$J$2:$J$1501,$X387)&amp;"")</f>
        <v/>
      </c>
      <c r="I387">
        <f>IF($X387="","",INDEX('Per Line'!$K$2:$K$1501,$X387)&amp;"")</f>
        <v/>
      </c>
      <c r="J387">
        <f>IF($X387="","",INDEX('Per Line'!$M$2:$M$1501,$X387))</f>
        <v/>
      </c>
      <c r="K387" s="7">
        <f>IF($X387="","",J387*V387/100)</f>
        <v/>
      </c>
      <c r="L387">
        <f>IF($X387="","",INDEX('Per Line'!$Y$2:$Y$1501,$X387)&amp;"")</f>
        <v/>
      </c>
      <c r="M387" s="7">
        <f>IF($X387="","",SUMIFS('Per Line'!$U$2:$U$1501,'Per Line'!$AJ$2:$AJ$1501,$A387&amp;"|"&amp;$C387,'Per Line'!$AN$2:$AN$1501,1))</f>
        <v/>
      </c>
      <c r="N387">
        <f>IF($X387="","",Settings!$C$7)</f>
        <v/>
      </c>
      <c r="O387" s="7">
        <f>IF($X387="","",SUMIFS('Per Line'!$U$2:$U$1501,'Per Line'!$AJ$2:$AJ$1501,$A387&amp;"|"&amp;$C387,'Per Line'!$AM$2:$AM$1501,0,'Per Line'!$AN$2:$AN$1501,0))</f>
        <v/>
      </c>
      <c r="P387" s="7">
        <f>IF($X387="","",O387*N387)</f>
        <v/>
      </c>
      <c r="Q387">
        <f>IF($X387="","",Settings!$C$6)</f>
        <v/>
      </c>
      <c r="R387" s="7">
        <f>IF($X387="","",SUMIFS('Per Line'!$U$2:$U$1501,'Per Line'!$AJ$2:$AJ$1501,$A387&amp;"|"&amp;$C387,'Per Line'!$AM$2:$AM$1501,1,'Per Line'!$AN$2:$AN$1501,0))</f>
        <v/>
      </c>
      <c r="S387" s="7">
        <f>IF($X387="","",R387*Q387)</f>
        <v/>
      </c>
      <c r="T387" s="7">
        <f>IF($X387="","",S387+P387)</f>
        <v/>
      </c>
      <c r="U387" s="7">
        <f>IF($X387="","",V387-T387)</f>
        <v/>
      </c>
      <c r="V387" s="7">
        <f>IF($X387="","",O387+R387+M387)</f>
        <v/>
      </c>
      <c r="W387" s="7">
        <f>IF($X387="","",V387-T387-K387)</f>
        <v/>
      </c>
      <c r="X387" s="13">
        <f>IF(ROWS($X$2:$X387)&lt;=MAX('Per Line'!$AL$2:$AL$1501),MATCH(ROWS($X$2:$X387),'Per Line'!$AL$2:$AL$1501,0),"")</f>
        <v/>
      </c>
    </row>
    <row r="388">
      <c r="A388">
        <f>IF($X388="","",INDEX('Per Line'!$C$2:$C$1501,$X388)&amp;"")</f>
        <v/>
      </c>
      <c r="B388" s="12" t="n"/>
      <c r="C388">
        <f>IF($X388="","",INDEX('Per Line'!$D$2:$D$1501,$X388)&amp;"")</f>
        <v/>
      </c>
      <c r="D388">
        <f>IF($X388="","",INDEX('Per Line'!$A$2:$A$1501,$X388))</f>
        <v/>
      </c>
      <c r="E388">
        <f>IF($X388="","",INDEX('Per Line'!$G$2:$G$1501,$X388)&amp;"")</f>
        <v/>
      </c>
      <c r="F388" s="11">
        <f>IF($X388="","",INDEX('Per Line'!$F$2:$F$1501,$X388))</f>
        <v/>
      </c>
      <c r="G388">
        <f>IF($X388="","",INDEX('Per Line'!$I$2:$I$1501,$X388)&amp;"")</f>
        <v/>
      </c>
      <c r="H388">
        <f>IF($X388="","",INDEX('Per Line'!$J$2:$J$1501,$X388)&amp;"")</f>
        <v/>
      </c>
      <c r="I388">
        <f>IF($X388="","",INDEX('Per Line'!$K$2:$K$1501,$X388)&amp;"")</f>
        <v/>
      </c>
      <c r="J388">
        <f>IF($X388="","",INDEX('Per Line'!$M$2:$M$1501,$X388))</f>
        <v/>
      </c>
      <c r="K388" s="7">
        <f>IF($X388="","",J388*V388/100)</f>
        <v/>
      </c>
      <c r="L388">
        <f>IF($X388="","",INDEX('Per Line'!$Y$2:$Y$1501,$X388)&amp;"")</f>
        <v/>
      </c>
      <c r="M388" s="7">
        <f>IF($X388="","",SUMIFS('Per Line'!$U$2:$U$1501,'Per Line'!$AJ$2:$AJ$1501,$A388&amp;"|"&amp;$C388,'Per Line'!$AN$2:$AN$1501,1))</f>
        <v/>
      </c>
      <c r="N388">
        <f>IF($X388="","",Settings!$C$7)</f>
        <v/>
      </c>
      <c r="O388" s="7">
        <f>IF($X388="","",SUMIFS('Per Line'!$U$2:$U$1501,'Per Line'!$AJ$2:$AJ$1501,$A388&amp;"|"&amp;$C388,'Per Line'!$AM$2:$AM$1501,0,'Per Line'!$AN$2:$AN$1501,0))</f>
        <v/>
      </c>
      <c r="P388" s="7">
        <f>IF($X388="","",O388*N388)</f>
        <v/>
      </c>
      <c r="Q388">
        <f>IF($X388="","",Settings!$C$6)</f>
        <v/>
      </c>
      <c r="R388" s="7">
        <f>IF($X388="","",SUMIFS('Per Line'!$U$2:$U$1501,'Per Line'!$AJ$2:$AJ$1501,$A388&amp;"|"&amp;$C388,'Per Line'!$AM$2:$AM$1501,1,'Per Line'!$AN$2:$AN$1501,0))</f>
        <v/>
      </c>
      <c r="S388" s="7">
        <f>IF($X388="","",R388*Q388)</f>
        <v/>
      </c>
      <c r="T388" s="7">
        <f>IF($X388="","",S388+P388)</f>
        <v/>
      </c>
      <c r="U388" s="7">
        <f>IF($X388="","",V388-T388)</f>
        <v/>
      </c>
      <c r="V388" s="7">
        <f>IF($X388="","",O388+R388+M388)</f>
        <v/>
      </c>
      <c r="W388" s="7">
        <f>IF($X388="","",V388-T388-K388)</f>
        <v/>
      </c>
      <c r="X388" s="13">
        <f>IF(ROWS($X$2:$X388)&lt;=MAX('Per Line'!$AL$2:$AL$1501),MATCH(ROWS($X$2:$X388),'Per Line'!$AL$2:$AL$1501,0),"")</f>
        <v/>
      </c>
    </row>
    <row r="389">
      <c r="A389">
        <f>IF($X389="","",INDEX('Per Line'!$C$2:$C$1501,$X389)&amp;"")</f>
        <v/>
      </c>
      <c r="B389" s="12" t="n"/>
      <c r="C389">
        <f>IF($X389="","",INDEX('Per Line'!$D$2:$D$1501,$X389)&amp;"")</f>
        <v/>
      </c>
      <c r="D389">
        <f>IF($X389="","",INDEX('Per Line'!$A$2:$A$1501,$X389))</f>
        <v/>
      </c>
      <c r="E389">
        <f>IF($X389="","",INDEX('Per Line'!$G$2:$G$1501,$X389)&amp;"")</f>
        <v/>
      </c>
      <c r="F389" s="11">
        <f>IF($X389="","",INDEX('Per Line'!$F$2:$F$1501,$X389))</f>
        <v/>
      </c>
      <c r="G389">
        <f>IF($X389="","",INDEX('Per Line'!$I$2:$I$1501,$X389)&amp;"")</f>
        <v/>
      </c>
      <c r="H389">
        <f>IF($X389="","",INDEX('Per Line'!$J$2:$J$1501,$X389)&amp;"")</f>
        <v/>
      </c>
      <c r="I389">
        <f>IF($X389="","",INDEX('Per Line'!$K$2:$K$1501,$X389)&amp;"")</f>
        <v/>
      </c>
      <c r="J389">
        <f>IF($X389="","",INDEX('Per Line'!$M$2:$M$1501,$X389))</f>
        <v/>
      </c>
      <c r="K389" s="7">
        <f>IF($X389="","",J389*V389/100)</f>
        <v/>
      </c>
      <c r="L389">
        <f>IF($X389="","",INDEX('Per Line'!$Y$2:$Y$1501,$X389)&amp;"")</f>
        <v/>
      </c>
      <c r="M389" s="7">
        <f>IF($X389="","",SUMIFS('Per Line'!$U$2:$U$1501,'Per Line'!$AJ$2:$AJ$1501,$A389&amp;"|"&amp;$C389,'Per Line'!$AN$2:$AN$1501,1))</f>
        <v/>
      </c>
      <c r="N389">
        <f>IF($X389="","",Settings!$C$7)</f>
        <v/>
      </c>
      <c r="O389" s="7">
        <f>IF($X389="","",SUMIFS('Per Line'!$U$2:$U$1501,'Per Line'!$AJ$2:$AJ$1501,$A389&amp;"|"&amp;$C389,'Per Line'!$AM$2:$AM$1501,0,'Per Line'!$AN$2:$AN$1501,0))</f>
        <v/>
      </c>
      <c r="P389" s="7">
        <f>IF($X389="","",O389*N389)</f>
        <v/>
      </c>
      <c r="Q389">
        <f>IF($X389="","",Settings!$C$6)</f>
        <v/>
      </c>
      <c r="R389" s="7">
        <f>IF($X389="","",SUMIFS('Per Line'!$U$2:$U$1501,'Per Line'!$AJ$2:$AJ$1501,$A389&amp;"|"&amp;$C389,'Per Line'!$AM$2:$AM$1501,1,'Per Line'!$AN$2:$AN$1501,0))</f>
        <v/>
      </c>
      <c r="S389" s="7">
        <f>IF($X389="","",R389*Q389)</f>
        <v/>
      </c>
      <c r="T389" s="7">
        <f>IF($X389="","",S389+P389)</f>
        <v/>
      </c>
      <c r="U389" s="7">
        <f>IF($X389="","",V389-T389)</f>
        <v/>
      </c>
      <c r="V389" s="7">
        <f>IF($X389="","",O389+R389+M389)</f>
        <v/>
      </c>
      <c r="W389" s="7">
        <f>IF($X389="","",V389-T389-K389)</f>
        <v/>
      </c>
      <c r="X389" s="13">
        <f>IF(ROWS($X$2:$X389)&lt;=MAX('Per Line'!$AL$2:$AL$1501),MATCH(ROWS($X$2:$X389),'Per Line'!$AL$2:$AL$1501,0),"")</f>
        <v/>
      </c>
    </row>
    <row r="390">
      <c r="A390">
        <f>IF($X390="","",INDEX('Per Line'!$C$2:$C$1501,$X390)&amp;"")</f>
        <v/>
      </c>
      <c r="B390" s="12" t="n"/>
      <c r="C390">
        <f>IF($X390="","",INDEX('Per Line'!$D$2:$D$1501,$X390)&amp;"")</f>
        <v/>
      </c>
      <c r="D390">
        <f>IF($X390="","",INDEX('Per Line'!$A$2:$A$1501,$X390))</f>
        <v/>
      </c>
      <c r="E390">
        <f>IF($X390="","",INDEX('Per Line'!$G$2:$G$1501,$X390)&amp;"")</f>
        <v/>
      </c>
      <c r="F390" s="11">
        <f>IF($X390="","",INDEX('Per Line'!$F$2:$F$1501,$X390))</f>
        <v/>
      </c>
      <c r="G390">
        <f>IF($X390="","",INDEX('Per Line'!$I$2:$I$1501,$X390)&amp;"")</f>
        <v/>
      </c>
      <c r="H390">
        <f>IF($X390="","",INDEX('Per Line'!$J$2:$J$1501,$X390)&amp;"")</f>
        <v/>
      </c>
      <c r="I390">
        <f>IF($X390="","",INDEX('Per Line'!$K$2:$K$1501,$X390)&amp;"")</f>
        <v/>
      </c>
      <c r="J390">
        <f>IF($X390="","",INDEX('Per Line'!$M$2:$M$1501,$X390))</f>
        <v/>
      </c>
      <c r="K390" s="7">
        <f>IF($X390="","",J390*V390/100)</f>
        <v/>
      </c>
      <c r="L390">
        <f>IF($X390="","",INDEX('Per Line'!$Y$2:$Y$1501,$X390)&amp;"")</f>
        <v/>
      </c>
      <c r="M390" s="7">
        <f>IF($X390="","",SUMIFS('Per Line'!$U$2:$U$1501,'Per Line'!$AJ$2:$AJ$1501,$A390&amp;"|"&amp;$C390,'Per Line'!$AN$2:$AN$1501,1))</f>
        <v/>
      </c>
      <c r="N390">
        <f>IF($X390="","",Settings!$C$7)</f>
        <v/>
      </c>
      <c r="O390" s="7">
        <f>IF($X390="","",SUMIFS('Per Line'!$U$2:$U$1501,'Per Line'!$AJ$2:$AJ$1501,$A390&amp;"|"&amp;$C390,'Per Line'!$AM$2:$AM$1501,0,'Per Line'!$AN$2:$AN$1501,0))</f>
        <v/>
      </c>
      <c r="P390" s="7">
        <f>IF($X390="","",O390*N390)</f>
        <v/>
      </c>
      <c r="Q390">
        <f>IF($X390="","",Settings!$C$6)</f>
        <v/>
      </c>
      <c r="R390" s="7">
        <f>IF($X390="","",SUMIFS('Per Line'!$U$2:$U$1501,'Per Line'!$AJ$2:$AJ$1501,$A390&amp;"|"&amp;$C390,'Per Line'!$AM$2:$AM$1501,1,'Per Line'!$AN$2:$AN$1501,0))</f>
        <v/>
      </c>
      <c r="S390" s="7">
        <f>IF($X390="","",R390*Q390)</f>
        <v/>
      </c>
      <c r="T390" s="7">
        <f>IF($X390="","",S390+P390)</f>
        <v/>
      </c>
      <c r="U390" s="7">
        <f>IF($X390="","",V390-T390)</f>
        <v/>
      </c>
      <c r="V390" s="7">
        <f>IF($X390="","",O390+R390+M390)</f>
        <v/>
      </c>
      <c r="W390" s="7">
        <f>IF($X390="","",V390-T390-K390)</f>
        <v/>
      </c>
      <c r="X390" s="13">
        <f>IF(ROWS($X$2:$X390)&lt;=MAX('Per Line'!$AL$2:$AL$1501),MATCH(ROWS($X$2:$X390),'Per Line'!$AL$2:$AL$1501,0),"")</f>
        <v/>
      </c>
    </row>
    <row r="391">
      <c r="A391">
        <f>IF($X391="","",INDEX('Per Line'!$C$2:$C$1501,$X391)&amp;"")</f>
        <v/>
      </c>
      <c r="B391" s="12" t="n"/>
      <c r="C391">
        <f>IF($X391="","",INDEX('Per Line'!$D$2:$D$1501,$X391)&amp;"")</f>
        <v/>
      </c>
      <c r="D391">
        <f>IF($X391="","",INDEX('Per Line'!$A$2:$A$1501,$X391))</f>
        <v/>
      </c>
      <c r="E391">
        <f>IF($X391="","",INDEX('Per Line'!$G$2:$G$1501,$X391)&amp;"")</f>
        <v/>
      </c>
      <c r="F391" s="11">
        <f>IF($X391="","",INDEX('Per Line'!$F$2:$F$1501,$X391))</f>
        <v/>
      </c>
      <c r="G391">
        <f>IF($X391="","",INDEX('Per Line'!$I$2:$I$1501,$X391)&amp;"")</f>
        <v/>
      </c>
      <c r="H391">
        <f>IF($X391="","",INDEX('Per Line'!$J$2:$J$1501,$X391)&amp;"")</f>
        <v/>
      </c>
      <c r="I391">
        <f>IF($X391="","",INDEX('Per Line'!$K$2:$K$1501,$X391)&amp;"")</f>
        <v/>
      </c>
      <c r="J391">
        <f>IF($X391="","",INDEX('Per Line'!$M$2:$M$1501,$X391))</f>
        <v/>
      </c>
      <c r="K391" s="7">
        <f>IF($X391="","",J391*V391/100)</f>
        <v/>
      </c>
      <c r="L391">
        <f>IF($X391="","",INDEX('Per Line'!$Y$2:$Y$1501,$X391)&amp;"")</f>
        <v/>
      </c>
      <c r="M391" s="7">
        <f>IF($X391="","",SUMIFS('Per Line'!$U$2:$U$1501,'Per Line'!$AJ$2:$AJ$1501,$A391&amp;"|"&amp;$C391,'Per Line'!$AN$2:$AN$1501,1))</f>
        <v/>
      </c>
      <c r="N391">
        <f>IF($X391="","",Settings!$C$7)</f>
        <v/>
      </c>
      <c r="O391" s="7">
        <f>IF($X391="","",SUMIFS('Per Line'!$U$2:$U$1501,'Per Line'!$AJ$2:$AJ$1501,$A391&amp;"|"&amp;$C391,'Per Line'!$AM$2:$AM$1501,0,'Per Line'!$AN$2:$AN$1501,0))</f>
        <v/>
      </c>
      <c r="P391" s="7">
        <f>IF($X391="","",O391*N391)</f>
        <v/>
      </c>
      <c r="Q391">
        <f>IF($X391="","",Settings!$C$6)</f>
        <v/>
      </c>
      <c r="R391" s="7">
        <f>IF($X391="","",SUMIFS('Per Line'!$U$2:$U$1501,'Per Line'!$AJ$2:$AJ$1501,$A391&amp;"|"&amp;$C391,'Per Line'!$AM$2:$AM$1501,1,'Per Line'!$AN$2:$AN$1501,0))</f>
        <v/>
      </c>
      <c r="S391" s="7">
        <f>IF($X391="","",R391*Q391)</f>
        <v/>
      </c>
      <c r="T391" s="7">
        <f>IF($X391="","",S391+P391)</f>
        <v/>
      </c>
      <c r="U391" s="7">
        <f>IF($X391="","",V391-T391)</f>
        <v/>
      </c>
      <c r="V391" s="7">
        <f>IF($X391="","",O391+R391+M391)</f>
        <v/>
      </c>
      <c r="W391" s="7">
        <f>IF($X391="","",V391-T391-K391)</f>
        <v/>
      </c>
      <c r="X391" s="13">
        <f>IF(ROWS($X$2:$X391)&lt;=MAX('Per Line'!$AL$2:$AL$1501),MATCH(ROWS($X$2:$X391),'Per Line'!$AL$2:$AL$1501,0),"")</f>
        <v/>
      </c>
    </row>
    <row r="392">
      <c r="A392">
        <f>IF($X392="","",INDEX('Per Line'!$C$2:$C$1501,$X392)&amp;"")</f>
        <v/>
      </c>
      <c r="B392" s="12" t="n"/>
      <c r="C392">
        <f>IF($X392="","",INDEX('Per Line'!$D$2:$D$1501,$X392)&amp;"")</f>
        <v/>
      </c>
      <c r="D392">
        <f>IF($X392="","",INDEX('Per Line'!$A$2:$A$1501,$X392))</f>
        <v/>
      </c>
      <c r="E392">
        <f>IF($X392="","",INDEX('Per Line'!$G$2:$G$1501,$X392)&amp;"")</f>
        <v/>
      </c>
      <c r="F392" s="11">
        <f>IF($X392="","",INDEX('Per Line'!$F$2:$F$1501,$X392))</f>
        <v/>
      </c>
      <c r="G392">
        <f>IF($X392="","",INDEX('Per Line'!$I$2:$I$1501,$X392)&amp;"")</f>
        <v/>
      </c>
      <c r="H392">
        <f>IF($X392="","",INDEX('Per Line'!$J$2:$J$1501,$X392)&amp;"")</f>
        <v/>
      </c>
      <c r="I392">
        <f>IF($X392="","",INDEX('Per Line'!$K$2:$K$1501,$X392)&amp;"")</f>
        <v/>
      </c>
      <c r="J392">
        <f>IF($X392="","",INDEX('Per Line'!$M$2:$M$1501,$X392))</f>
        <v/>
      </c>
      <c r="K392" s="7">
        <f>IF($X392="","",J392*V392/100)</f>
        <v/>
      </c>
      <c r="L392">
        <f>IF($X392="","",INDEX('Per Line'!$Y$2:$Y$1501,$X392)&amp;"")</f>
        <v/>
      </c>
      <c r="M392" s="7">
        <f>IF($X392="","",SUMIFS('Per Line'!$U$2:$U$1501,'Per Line'!$AJ$2:$AJ$1501,$A392&amp;"|"&amp;$C392,'Per Line'!$AN$2:$AN$1501,1))</f>
        <v/>
      </c>
      <c r="N392">
        <f>IF($X392="","",Settings!$C$7)</f>
        <v/>
      </c>
      <c r="O392" s="7">
        <f>IF($X392="","",SUMIFS('Per Line'!$U$2:$U$1501,'Per Line'!$AJ$2:$AJ$1501,$A392&amp;"|"&amp;$C392,'Per Line'!$AM$2:$AM$1501,0,'Per Line'!$AN$2:$AN$1501,0))</f>
        <v/>
      </c>
      <c r="P392" s="7">
        <f>IF($X392="","",O392*N392)</f>
        <v/>
      </c>
      <c r="Q392">
        <f>IF($X392="","",Settings!$C$6)</f>
        <v/>
      </c>
      <c r="R392" s="7">
        <f>IF($X392="","",SUMIFS('Per Line'!$U$2:$U$1501,'Per Line'!$AJ$2:$AJ$1501,$A392&amp;"|"&amp;$C392,'Per Line'!$AM$2:$AM$1501,1,'Per Line'!$AN$2:$AN$1501,0))</f>
        <v/>
      </c>
      <c r="S392" s="7">
        <f>IF($X392="","",R392*Q392)</f>
        <v/>
      </c>
      <c r="T392" s="7">
        <f>IF($X392="","",S392+P392)</f>
        <v/>
      </c>
      <c r="U392" s="7">
        <f>IF($X392="","",V392-T392)</f>
        <v/>
      </c>
      <c r="V392" s="7">
        <f>IF($X392="","",O392+R392+M392)</f>
        <v/>
      </c>
      <c r="W392" s="7">
        <f>IF($X392="","",V392-T392-K392)</f>
        <v/>
      </c>
      <c r="X392" s="13">
        <f>IF(ROWS($X$2:$X392)&lt;=MAX('Per Line'!$AL$2:$AL$1501),MATCH(ROWS($X$2:$X392),'Per Line'!$AL$2:$AL$1501,0),"")</f>
        <v/>
      </c>
    </row>
    <row r="393">
      <c r="A393">
        <f>IF($X393="","",INDEX('Per Line'!$C$2:$C$1501,$X393)&amp;"")</f>
        <v/>
      </c>
      <c r="B393" s="12" t="n"/>
      <c r="C393">
        <f>IF($X393="","",INDEX('Per Line'!$D$2:$D$1501,$X393)&amp;"")</f>
        <v/>
      </c>
      <c r="D393">
        <f>IF($X393="","",INDEX('Per Line'!$A$2:$A$1501,$X393))</f>
        <v/>
      </c>
      <c r="E393">
        <f>IF($X393="","",INDEX('Per Line'!$G$2:$G$1501,$X393)&amp;"")</f>
        <v/>
      </c>
      <c r="F393" s="11">
        <f>IF($X393="","",INDEX('Per Line'!$F$2:$F$1501,$X393))</f>
        <v/>
      </c>
      <c r="G393">
        <f>IF($X393="","",INDEX('Per Line'!$I$2:$I$1501,$X393)&amp;"")</f>
        <v/>
      </c>
      <c r="H393">
        <f>IF($X393="","",INDEX('Per Line'!$J$2:$J$1501,$X393)&amp;"")</f>
        <v/>
      </c>
      <c r="I393">
        <f>IF($X393="","",INDEX('Per Line'!$K$2:$K$1501,$X393)&amp;"")</f>
        <v/>
      </c>
      <c r="J393">
        <f>IF($X393="","",INDEX('Per Line'!$M$2:$M$1501,$X393))</f>
        <v/>
      </c>
      <c r="K393" s="7">
        <f>IF($X393="","",J393*V393/100)</f>
        <v/>
      </c>
      <c r="L393">
        <f>IF($X393="","",INDEX('Per Line'!$Y$2:$Y$1501,$X393)&amp;"")</f>
        <v/>
      </c>
      <c r="M393" s="7">
        <f>IF($X393="","",SUMIFS('Per Line'!$U$2:$U$1501,'Per Line'!$AJ$2:$AJ$1501,$A393&amp;"|"&amp;$C393,'Per Line'!$AN$2:$AN$1501,1))</f>
        <v/>
      </c>
      <c r="N393">
        <f>IF($X393="","",Settings!$C$7)</f>
        <v/>
      </c>
      <c r="O393" s="7">
        <f>IF($X393="","",SUMIFS('Per Line'!$U$2:$U$1501,'Per Line'!$AJ$2:$AJ$1501,$A393&amp;"|"&amp;$C393,'Per Line'!$AM$2:$AM$1501,0,'Per Line'!$AN$2:$AN$1501,0))</f>
        <v/>
      </c>
      <c r="P393" s="7">
        <f>IF($X393="","",O393*N393)</f>
        <v/>
      </c>
      <c r="Q393">
        <f>IF($X393="","",Settings!$C$6)</f>
        <v/>
      </c>
      <c r="R393" s="7">
        <f>IF($X393="","",SUMIFS('Per Line'!$U$2:$U$1501,'Per Line'!$AJ$2:$AJ$1501,$A393&amp;"|"&amp;$C393,'Per Line'!$AM$2:$AM$1501,1,'Per Line'!$AN$2:$AN$1501,0))</f>
        <v/>
      </c>
      <c r="S393" s="7">
        <f>IF($X393="","",R393*Q393)</f>
        <v/>
      </c>
      <c r="T393" s="7">
        <f>IF($X393="","",S393+P393)</f>
        <v/>
      </c>
      <c r="U393" s="7">
        <f>IF($X393="","",V393-T393)</f>
        <v/>
      </c>
      <c r="V393" s="7">
        <f>IF($X393="","",O393+R393+M393)</f>
        <v/>
      </c>
      <c r="W393" s="7">
        <f>IF($X393="","",V393-T393-K393)</f>
        <v/>
      </c>
      <c r="X393" s="13">
        <f>IF(ROWS($X$2:$X393)&lt;=MAX('Per Line'!$AL$2:$AL$1501),MATCH(ROWS($X$2:$X393),'Per Line'!$AL$2:$AL$1501,0),"")</f>
        <v/>
      </c>
    </row>
    <row r="394">
      <c r="A394">
        <f>IF($X394="","",INDEX('Per Line'!$C$2:$C$1501,$X394)&amp;"")</f>
        <v/>
      </c>
      <c r="B394" s="12" t="n"/>
      <c r="C394">
        <f>IF($X394="","",INDEX('Per Line'!$D$2:$D$1501,$X394)&amp;"")</f>
        <v/>
      </c>
      <c r="D394">
        <f>IF($X394="","",INDEX('Per Line'!$A$2:$A$1501,$X394))</f>
        <v/>
      </c>
      <c r="E394">
        <f>IF($X394="","",INDEX('Per Line'!$G$2:$G$1501,$X394)&amp;"")</f>
        <v/>
      </c>
      <c r="F394" s="11">
        <f>IF($X394="","",INDEX('Per Line'!$F$2:$F$1501,$X394))</f>
        <v/>
      </c>
      <c r="G394">
        <f>IF($X394="","",INDEX('Per Line'!$I$2:$I$1501,$X394)&amp;"")</f>
        <v/>
      </c>
      <c r="H394">
        <f>IF($X394="","",INDEX('Per Line'!$J$2:$J$1501,$X394)&amp;"")</f>
        <v/>
      </c>
      <c r="I394">
        <f>IF($X394="","",INDEX('Per Line'!$K$2:$K$1501,$X394)&amp;"")</f>
        <v/>
      </c>
      <c r="J394">
        <f>IF($X394="","",INDEX('Per Line'!$M$2:$M$1501,$X394))</f>
        <v/>
      </c>
      <c r="K394" s="7">
        <f>IF($X394="","",J394*V394/100)</f>
        <v/>
      </c>
      <c r="L394">
        <f>IF($X394="","",INDEX('Per Line'!$Y$2:$Y$1501,$X394)&amp;"")</f>
        <v/>
      </c>
      <c r="M394" s="7">
        <f>IF($X394="","",SUMIFS('Per Line'!$U$2:$U$1501,'Per Line'!$AJ$2:$AJ$1501,$A394&amp;"|"&amp;$C394,'Per Line'!$AN$2:$AN$1501,1))</f>
        <v/>
      </c>
      <c r="N394">
        <f>IF($X394="","",Settings!$C$7)</f>
        <v/>
      </c>
      <c r="O394" s="7">
        <f>IF($X394="","",SUMIFS('Per Line'!$U$2:$U$1501,'Per Line'!$AJ$2:$AJ$1501,$A394&amp;"|"&amp;$C394,'Per Line'!$AM$2:$AM$1501,0,'Per Line'!$AN$2:$AN$1501,0))</f>
        <v/>
      </c>
      <c r="P394" s="7">
        <f>IF($X394="","",O394*N394)</f>
        <v/>
      </c>
      <c r="Q394">
        <f>IF($X394="","",Settings!$C$6)</f>
        <v/>
      </c>
      <c r="R394" s="7">
        <f>IF($X394="","",SUMIFS('Per Line'!$U$2:$U$1501,'Per Line'!$AJ$2:$AJ$1501,$A394&amp;"|"&amp;$C394,'Per Line'!$AM$2:$AM$1501,1,'Per Line'!$AN$2:$AN$1501,0))</f>
        <v/>
      </c>
      <c r="S394" s="7">
        <f>IF($X394="","",R394*Q394)</f>
        <v/>
      </c>
      <c r="T394" s="7">
        <f>IF($X394="","",S394+P394)</f>
        <v/>
      </c>
      <c r="U394" s="7">
        <f>IF($X394="","",V394-T394)</f>
        <v/>
      </c>
      <c r="V394" s="7">
        <f>IF($X394="","",O394+R394+M394)</f>
        <v/>
      </c>
      <c r="W394" s="7">
        <f>IF($X394="","",V394-T394-K394)</f>
        <v/>
      </c>
      <c r="X394" s="13">
        <f>IF(ROWS($X$2:$X394)&lt;=MAX('Per Line'!$AL$2:$AL$1501),MATCH(ROWS($X$2:$X394),'Per Line'!$AL$2:$AL$1501,0),"")</f>
        <v/>
      </c>
    </row>
    <row r="395">
      <c r="A395">
        <f>IF($X395="","",INDEX('Per Line'!$C$2:$C$1501,$X395)&amp;"")</f>
        <v/>
      </c>
      <c r="B395" s="12" t="n"/>
      <c r="C395">
        <f>IF($X395="","",INDEX('Per Line'!$D$2:$D$1501,$X395)&amp;"")</f>
        <v/>
      </c>
      <c r="D395">
        <f>IF($X395="","",INDEX('Per Line'!$A$2:$A$1501,$X395))</f>
        <v/>
      </c>
      <c r="E395">
        <f>IF($X395="","",INDEX('Per Line'!$G$2:$G$1501,$X395)&amp;"")</f>
        <v/>
      </c>
      <c r="F395" s="11">
        <f>IF($X395="","",INDEX('Per Line'!$F$2:$F$1501,$X395))</f>
        <v/>
      </c>
      <c r="G395">
        <f>IF($X395="","",INDEX('Per Line'!$I$2:$I$1501,$X395)&amp;"")</f>
        <v/>
      </c>
      <c r="H395">
        <f>IF($X395="","",INDEX('Per Line'!$J$2:$J$1501,$X395)&amp;"")</f>
        <v/>
      </c>
      <c r="I395">
        <f>IF($X395="","",INDEX('Per Line'!$K$2:$K$1501,$X395)&amp;"")</f>
        <v/>
      </c>
      <c r="J395">
        <f>IF($X395="","",INDEX('Per Line'!$M$2:$M$1501,$X395))</f>
        <v/>
      </c>
      <c r="K395" s="7">
        <f>IF($X395="","",J395*V395/100)</f>
        <v/>
      </c>
      <c r="L395">
        <f>IF($X395="","",INDEX('Per Line'!$Y$2:$Y$1501,$X395)&amp;"")</f>
        <v/>
      </c>
      <c r="M395" s="7">
        <f>IF($X395="","",SUMIFS('Per Line'!$U$2:$U$1501,'Per Line'!$AJ$2:$AJ$1501,$A395&amp;"|"&amp;$C395,'Per Line'!$AN$2:$AN$1501,1))</f>
        <v/>
      </c>
      <c r="N395">
        <f>IF($X395="","",Settings!$C$7)</f>
        <v/>
      </c>
      <c r="O395" s="7">
        <f>IF($X395="","",SUMIFS('Per Line'!$U$2:$U$1501,'Per Line'!$AJ$2:$AJ$1501,$A395&amp;"|"&amp;$C395,'Per Line'!$AM$2:$AM$1501,0,'Per Line'!$AN$2:$AN$1501,0))</f>
        <v/>
      </c>
      <c r="P395" s="7">
        <f>IF($X395="","",O395*N395)</f>
        <v/>
      </c>
      <c r="Q395">
        <f>IF($X395="","",Settings!$C$6)</f>
        <v/>
      </c>
      <c r="R395" s="7">
        <f>IF($X395="","",SUMIFS('Per Line'!$U$2:$U$1501,'Per Line'!$AJ$2:$AJ$1501,$A395&amp;"|"&amp;$C395,'Per Line'!$AM$2:$AM$1501,1,'Per Line'!$AN$2:$AN$1501,0))</f>
        <v/>
      </c>
      <c r="S395" s="7">
        <f>IF($X395="","",R395*Q395)</f>
        <v/>
      </c>
      <c r="T395" s="7">
        <f>IF($X395="","",S395+P395)</f>
        <v/>
      </c>
      <c r="U395" s="7">
        <f>IF($X395="","",V395-T395)</f>
        <v/>
      </c>
      <c r="V395" s="7">
        <f>IF($X395="","",O395+R395+M395)</f>
        <v/>
      </c>
      <c r="W395" s="7">
        <f>IF($X395="","",V395-T395-K395)</f>
        <v/>
      </c>
      <c r="X395" s="13">
        <f>IF(ROWS($X$2:$X395)&lt;=MAX('Per Line'!$AL$2:$AL$1501),MATCH(ROWS($X$2:$X395),'Per Line'!$AL$2:$AL$1501,0),"")</f>
        <v/>
      </c>
    </row>
    <row r="396">
      <c r="A396">
        <f>IF($X396="","",INDEX('Per Line'!$C$2:$C$1501,$X396)&amp;"")</f>
        <v/>
      </c>
      <c r="B396" s="12" t="n"/>
      <c r="C396">
        <f>IF($X396="","",INDEX('Per Line'!$D$2:$D$1501,$X396)&amp;"")</f>
        <v/>
      </c>
      <c r="D396">
        <f>IF($X396="","",INDEX('Per Line'!$A$2:$A$1501,$X396))</f>
        <v/>
      </c>
      <c r="E396">
        <f>IF($X396="","",INDEX('Per Line'!$G$2:$G$1501,$X396)&amp;"")</f>
        <v/>
      </c>
      <c r="F396" s="11">
        <f>IF($X396="","",INDEX('Per Line'!$F$2:$F$1501,$X396))</f>
        <v/>
      </c>
      <c r="G396">
        <f>IF($X396="","",INDEX('Per Line'!$I$2:$I$1501,$X396)&amp;"")</f>
        <v/>
      </c>
      <c r="H396">
        <f>IF($X396="","",INDEX('Per Line'!$J$2:$J$1501,$X396)&amp;"")</f>
        <v/>
      </c>
      <c r="I396">
        <f>IF($X396="","",INDEX('Per Line'!$K$2:$K$1501,$X396)&amp;"")</f>
        <v/>
      </c>
      <c r="J396">
        <f>IF($X396="","",INDEX('Per Line'!$M$2:$M$1501,$X396))</f>
        <v/>
      </c>
      <c r="K396" s="7">
        <f>IF($X396="","",J396*V396/100)</f>
        <v/>
      </c>
      <c r="L396">
        <f>IF($X396="","",INDEX('Per Line'!$Y$2:$Y$1501,$X396)&amp;"")</f>
        <v/>
      </c>
      <c r="M396" s="7">
        <f>IF($X396="","",SUMIFS('Per Line'!$U$2:$U$1501,'Per Line'!$AJ$2:$AJ$1501,$A396&amp;"|"&amp;$C396,'Per Line'!$AN$2:$AN$1501,1))</f>
        <v/>
      </c>
      <c r="N396">
        <f>IF($X396="","",Settings!$C$7)</f>
        <v/>
      </c>
      <c r="O396" s="7">
        <f>IF($X396="","",SUMIFS('Per Line'!$U$2:$U$1501,'Per Line'!$AJ$2:$AJ$1501,$A396&amp;"|"&amp;$C396,'Per Line'!$AM$2:$AM$1501,0,'Per Line'!$AN$2:$AN$1501,0))</f>
        <v/>
      </c>
      <c r="P396" s="7">
        <f>IF($X396="","",O396*N396)</f>
        <v/>
      </c>
      <c r="Q396">
        <f>IF($X396="","",Settings!$C$6)</f>
        <v/>
      </c>
      <c r="R396" s="7">
        <f>IF($X396="","",SUMIFS('Per Line'!$U$2:$U$1501,'Per Line'!$AJ$2:$AJ$1501,$A396&amp;"|"&amp;$C396,'Per Line'!$AM$2:$AM$1501,1,'Per Line'!$AN$2:$AN$1501,0))</f>
        <v/>
      </c>
      <c r="S396" s="7">
        <f>IF($X396="","",R396*Q396)</f>
        <v/>
      </c>
      <c r="T396" s="7">
        <f>IF($X396="","",S396+P396)</f>
        <v/>
      </c>
      <c r="U396" s="7">
        <f>IF($X396="","",V396-T396)</f>
        <v/>
      </c>
      <c r="V396" s="7">
        <f>IF($X396="","",O396+R396+M396)</f>
        <v/>
      </c>
      <c r="W396" s="7">
        <f>IF($X396="","",V396-T396-K396)</f>
        <v/>
      </c>
      <c r="X396" s="13">
        <f>IF(ROWS($X$2:$X396)&lt;=MAX('Per Line'!$AL$2:$AL$1501),MATCH(ROWS($X$2:$X396),'Per Line'!$AL$2:$AL$1501,0),"")</f>
        <v/>
      </c>
    </row>
    <row r="397">
      <c r="A397">
        <f>IF($X397="","",INDEX('Per Line'!$C$2:$C$1501,$X397)&amp;"")</f>
        <v/>
      </c>
      <c r="B397" s="12" t="n"/>
      <c r="C397">
        <f>IF($X397="","",INDEX('Per Line'!$D$2:$D$1501,$X397)&amp;"")</f>
        <v/>
      </c>
      <c r="D397">
        <f>IF($X397="","",INDEX('Per Line'!$A$2:$A$1501,$X397))</f>
        <v/>
      </c>
      <c r="E397">
        <f>IF($X397="","",INDEX('Per Line'!$G$2:$G$1501,$X397)&amp;"")</f>
        <v/>
      </c>
      <c r="F397" s="11">
        <f>IF($X397="","",INDEX('Per Line'!$F$2:$F$1501,$X397))</f>
        <v/>
      </c>
      <c r="G397">
        <f>IF($X397="","",INDEX('Per Line'!$I$2:$I$1501,$X397)&amp;"")</f>
        <v/>
      </c>
      <c r="H397">
        <f>IF($X397="","",INDEX('Per Line'!$J$2:$J$1501,$X397)&amp;"")</f>
        <v/>
      </c>
      <c r="I397">
        <f>IF($X397="","",INDEX('Per Line'!$K$2:$K$1501,$X397)&amp;"")</f>
        <v/>
      </c>
      <c r="J397">
        <f>IF($X397="","",INDEX('Per Line'!$M$2:$M$1501,$X397))</f>
        <v/>
      </c>
      <c r="K397" s="7">
        <f>IF($X397="","",J397*V397/100)</f>
        <v/>
      </c>
      <c r="L397">
        <f>IF($X397="","",INDEX('Per Line'!$Y$2:$Y$1501,$X397)&amp;"")</f>
        <v/>
      </c>
      <c r="M397" s="7">
        <f>IF($X397="","",SUMIFS('Per Line'!$U$2:$U$1501,'Per Line'!$AJ$2:$AJ$1501,$A397&amp;"|"&amp;$C397,'Per Line'!$AN$2:$AN$1501,1))</f>
        <v/>
      </c>
      <c r="N397">
        <f>IF($X397="","",Settings!$C$7)</f>
        <v/>
      </c>
      <c r="O397" s="7">
        <f>IF($X397="","",SUMIFS('Per Line'!$U$2:$U$1501,'Per Line'!$AJ$2:$AJ$1501,$A397&amp;"|"&amp;$C397,'Per Line'!$AM$2:$AM$1501,0,'Per Line'!$AN$2:$AN$1501,0))</f>
        <v/>
      </c>
      <c r="P397" s="7">
        <f>IF($X397="","",O397*N397)</f>
        <v/>
      </c>
      <c r="Q397">
        <f>IF($X397="","",Settings!$C$6)</f>
        <v/>
      </c>
      <c r="R397" s="7">
        <f>IF($X397="","",SUMIFS('Per Line'!$U$2:$U$1501,'Per Line'!$AJ$2:$AJ$1501,$A397&amp;"|"&amp;$C397,'Per Line'!$AM$2:$AM$1501,1,'Per Line'!$AN$2:$AN$1501,0))</f>
        <v/>
      </c>
      <c r="S397" s="7">
        <f>IF($X397="","",R397*Q397)</f>
        <v/>
      </c>
      <c r="T397" s="7">
        <f>IF($X397="","",S397+P397)</f>
        <v/>
      </c>
      <c r="U397" s="7">
        <f>IF($X397="","",V397-T397)</f>
        <v/>
      </c>
      <c r="V397" s="7">
        <f>IF($X397="","",O397+R397+M397)</f>
        <v/>
      </c>
      <c r="W397" s="7">
        <f>IF($X397="","",V397-T397-K397)</f>
        <v/>
      </c>
      <c r="X397" s="13">
        <f>IF(ROWS($X$2:$X397)&lt;=MAX('Per Line'!$AL$2:$AL$1501),MATCH(ROWS($X$2:$X397),'Per Line'!$AL$2:$AL$1501,0),"")</f>
        <v/>
      </c>
    </row>
    <row r="398">
      <c r="A398">
        <f>IF($X398="","",INDEX('Per Line'!$C$2:$C$1501,$X398)&amp;"")</f>
        <v/>
      </c>
      <c r="B398" s="12" t="n"/>
      <c r="C398">
        <f>IF($X398="","",INDEX('Per Line'!$D$2:$D$1501,$X398)&amp;"")</f>
        <v/>
      </c>
      <c r="D398">
        <f>IF($X398="","",INDEX('Per Line'!$A$2:$A$1501,$X398))</f>
        <v/>
      </c>
      <c r="E398">
        <f>IF($X398="","",INDEX('Per Line'!$G$2:$G$1501,$X398)&amp;"")</f>
        <v/>
      </c>
      <c r="F398" s="11">
        <f>IF($X398="","",INDEX('Per Line'!$F$2:$F$1501,$X398))</f>
        <v/>
      </c>
      <c r="G398">
        <f>IF($X398="","",INDEX('Per Line'!$I$2:$I$1501,$X398)&amp;"")</f>
        <v/>
      </c>
      <c r="H398">
        <f>IF($X398="","",INDEX('Per Line'!$J$2:$J$1501,$X398)&amp;"")</f>
        <v/>
      </c>
      <c r="I398">
        <f>IF($X398="","",INDEX('Per Line'!$K$2:$K$1501,$X398)&amp;"")</f>
        <v/>
      </c>
      <c r="J398">
        <f>IF($X398="","",INDEX('Per Line'!$M$2:$M$1501,$X398))</f>
        <v/>
      </c>
      <c r="K398" s="7">
        <f>IF($X398="","",J398*V398/100)</f>
        <v/>
      </c>
      <c r="L398">
        <f>IF($X398="","",INDEX('Per Line'!$Y$2:$Y$1501,$X398)&amp;"")</f>
        <v/>
      </c>
      <c r="M398" s="7">
        <f>IF($X398="","",SUMIFS('Per Line'!$U$2:$U$1501,'Per Line'!$AJ$2:$AJ$1501,$A398&amp;"|"&amp;$C398,'Per Line'!$AN$2:$AN$1501,1))</f>
        <v/>
      </c>
      <c r="N398">
        <f>IF($X398="","",Settings!$C$7)</f>
        <v/>
      </c>
      <c r="O398" s="7">
        <f>IF($X398="","",SUMIFS('Per Line'!$U$2:$U$1501,'Per Line'!$AJ$2:$AJ$1501,$A398&amp;"|"&amp;$C398,'Per Line'!$AM$2:$AM$1501,0,'Per Line'!$AN$2:$AN$1501,0))</f>
        <v/>
      </c>
      <c r="P398" s="7">
        <f>IF($X398="","",O398*N398)</f>
        <v/>
      </c>
      <c r="Q398">
        <f>IF($X398="","",Settings!$C$6)</f>
        <v/>
      </c>
      <c r="R398" s="7">
        <f>IF($X398="","",SUMIFS('Per Line'!$U$2:$U$1501,'Per Line'!$AJ$2:$AJ$1501,$A398&amp;"|"&amp;$C398,'Per Line'!$AM$2:$AM$1501,1,'Per Line'!$AN$2:$AN$1501,0))</f>
        <v/>
      </c>
      <c r="S398" s="7">
        <f>IF($X398="","",R398*Q398)</f>
        <v/>
      </c>
      <c r="T398" s="7">
        <f>IF($X398="","",S398+P398)</f>
        <v/>
      </c>
      <c r="U398" s="7">
        <f>IF($X398="","",V398-T398)</f>
        <v/>
      </c>
      <c r="V398" s="7">
        <f>IF($X398="","",O398+R398+M398)</f>
        <v/>
      </c>
      <c r="W398" s="7">
        <f>IF($X398="","",V398-T398-K398)</f>
        <v/>
      </c>
      <c r="X398" s="13">
        <f>IF(ROWS($X$2:$X398)&lt;=MAX('Per Line'!$AL$2:$AL$1501),MATCH(ROWS($X$2:$X398),'Per Line'!$AL$2:$AL$1501,0),"")</f>
        <v/>
      </c>
    </row>
    <row r="399">
      <c r="A399">
        <f>IF($X399="","",INDEX('Per Line'!$C$2:$C$1501,$X399)&amp;"")</f>
        <v/>
      </c>
      <c r="B399" s="12" t="n"/>
      <c r="C399">
        <f>IF($X399="","",INDEX('Per Line'!$D$2:$D$1501,$X399)&amp;"")</f>
        <v/>
      </c>
      <c r="D399">
        <f>IF($X399="","",INDEX('Per Line'!$A$2:$A$1501,$X399))</f>
        <v/>
      </c>
      <c r="E399">
        <f>IF($X399="","",INDEX('Per Line'!$G$2:$G$1501,$X399)&amp;"")</f>
        <v/>
      </c>
      <c r="F399" s="11">
        <f>IF($X399="","",INDEX('Per Line'!$F$2:$F$1501,$X399))</f>
        <v/>
      </c>
      <c r="G399">
        <f>IF($X399="","",INDEX('Per Line'!$I$2:$I$1501,$X399)&amp;"")</f>
        <v/>
      </c>
      <c r="H399">
        <f>IF($X399="","",INDEX('Per Line'!$J$2:$J$1501,$X399)&amp;"")</f>
        <v/>
      </c>
      <c r="I399">
        <f>IF($X399="","",INDEX('Per Line'!$K$2:$K$1501,$X399)&amp;"")</f>
        <v/>
      </c>
      <c r="J399">
        <f>IF($X399="","",INDEX('Per Line'!$M$2:$M$1501,$X399))</f>
        <v/>
      </c>
      <c r="K399" s="7">
        <f>IF($X399="","",J399*V399/100)</f>
        <v/>
      </c>
      <c r="L399">
        <f>IF($X399="","",INDEX('Per Line'!$Y$2:$Y$1501,$X399)&amp;"")</f>
        <v/>
      </c>
      <c r="M399" s="7">
        <f>IF($X399="","",SUMIFS('Per Line'!$U$2:$U$1501,'Per Line'!$AJ$2:$AJ$1501,$A399&amp;"|"&amp;$C399,'Per Line'!$AN$2:$AN$1501,1))</f>
        <v/>
      </c>
      <c r="N399">
        <f>IF($X399="","",Settings!$C$7)</f>
        <v/>
      </c>
      <c r="O399" s="7">
        <f>IF($X399="","",SUMIFS('Per Line'!$U$2:$U$1501,'Per Line'!$AJ$2:$AJ$1501,$A399&amp;"|"&amp;$C399,'Per Line'!$AM$2:$AM$1501,0,'Per Line'!$AN$2:$AN$1501,0))</f>
        <v/>
      </c>
      <c r="P399" s="7">
        <f>IF($X399="","",O399*N399)</f>
        <v/>
      </c>
      <c r="Q399">
        <f>IF($X399="","",Settings!$C$6)</f>
        <v/>
      </c>
      <c r="R399" s="7">
        <f>IF($X399="","",SUMIFS('Per Line'!$U$2:$U$1501,'Per Line'!$AJ$2:$AJ$1501,$A399&amp;"|"&amp;$C399,'Per Line'!$AM$2:$AM$1501,1,'Per Line'!$AN$2:$AN$1501,0))</f>
        <v/>
      </c>
      <c r="S399" s="7">
        <f>IF($X399="","",R399*Q399)</f>
        <v/>
      </c>
      <c r="T399" s="7">
        <f>IF($X399="","",S399+P399)</f>
        <v/>
      </c>
      <c r="U399" s="7">
        <f>IF($X399="","",V399-T399)</f>
        <v/>
      </c>
      <c r="V399" s="7">
        <f>IF($X399="","",O399+R399+M399)</f>
        <v/>
      </c>
      <c r="W399" s="7">
        <f>IF($X399="","",V399-T399-K399)</f>
        <v/>
      </c>
      <c r="X399" s="13">
        <f>IF(ROWS($X$2:$X399)&lt;=MAX('Per Line'!$AL$2:$AL$1501),MATCH(ROWS($X$2:$X399),'Per Line'!$AL$2:$AL$1501,0),"")</f>
        <v/>
      </c>
    </row>
    <row r="400">
      <c r="A400">
        <f>IF($X400="","",INDEX('Per Line'!$C$2:$C$1501,$X400)&amp;"")</f>
        <v/>
      </c>
      <c r="B400" s="12" t="n"/>
      <c r="C400">
        <f>IF($X400="","",INDEX('Per Line'!$D$2:$D$1501,$X400)&amp;"")</f>
        <v/>
      </c>
      <c r="D400">
        <f>IF($X400="","",INDEX('Per Line'!$A$2:$A$1501,$X400))</f>
        <v/>
      </c>
      <c r="E400">
        <f>IF($X400="","",INDEX('Per Line'!$G$2:$G$1501,$X400)&amp;"")</f>
        <v/>
      </c>
      <c r="F400" s="11">
        <f>IF($X400="","",INDEX('Per Line'!$F$2:$F$1501,$X400))</f>
        <v/>
      </c>
      <c r="G400">
        <f>IF($X400="","",INDEX('Per Line'!$I$2:$I$1501,$X400)&amp;"")</f>
        <v/>
      </c>
      <c r="H400">
        <f>IF($X400="","",INDEX('Per Line'!$J$2:$J$1501,$X400)&amp;"")</f>
        <v/>
      </c>
      <c r="I400">
        <f>IF($X400="","",INDEX('Per Line'!$K$2:$K$1501,$X400)&amp;"")</f>
        <v/>
      </c>
      <c r="J400">
        <f>IF($X400="","",INDEX('Per Line'!$M$2:$M$1501,$X400))</f>
        <v/>
      </c>
      <c r="K400" s="7">
        <f>IF($X400="","",J400*V400/100)</f>
        <v/>
      </c>
      <c r="L400">
        <f>IF($X400="","",INDEX('Per Line'!$Y$2:$Y$1501,$X400)&amp;"")</f>
        <v/>
      </c>
      <c r="M400" s="7">
        <f>IF($X400="","",SUMIFS('Per Line'!$U$2:$U$1501,'Per Line'!$AJ$2:$AJ$1501,$A400&amp;"|"&amp;$C400,'Per Line'!$AN$2:$AN$1501,1))</f>
        <v/>
      </c>
      <c r="N400">
        <f>IF($X400="","",Settings!$C$7)</f>
        <v/>
      </c>
      <c r="O400" s="7">
        <f>IF($X400="","",SUMIFS('Per Line'!$U$2:$U$1501,'Per Line'!$AJ$2:$AJ$1501,$A400&amp;"|"&amp;$C400,'Per Line'!$AM$2:$AM$1501,0,'Per Line'!$AN$2:$AN$1501,0))</f>
        <v/>
      </c>
      <c r="P400" s="7">
        <f>IF($X400="","",O400*N400)</f>
        <v/>
      </c>
      <c r="Q400">
        <f>IF($X400="","",Settings!$C$6)</f>
        <v/>
      </c>
      <c r="R400" s="7">
        <f>IF($X400="","",SUMIFS('Per Line'!$U$2:$U$1501,'Per Line'!$AJ$2:$AJ$1501,$A400&amp;"|"&amp;$C400,'Per Line'!$AM$2:$AM$1501,1,'Per Line'!$AN$2:$AN$1501,0))</f>
        <v/>
      </c>
      <c r="S400" s="7">
        <f>IF($X400="","",R400*Q400)</f>
        <v/>
      </c>
      <c r="T400" s="7">
        <f>IF($X400="","",S400+P400)</f>
        <v/>
      </c>
      <c r="U400" s="7">
        <f>IF($X400="","",V400-T400)</f>
        <v/>
      </c>
      <c r="V400" s="7">
        <f>IF($X400="","",O400+R400+M400)</f>
        <v/>
      </c>
      <c r="W400" s="7">
        <f>IF($X400="","",V400-T400-K400)</f>
        <v/>
      </c>
      <c r="X400" s="13">
        <f>IF(ROWS($X$2:$X400)&lt;=MAX('Per Line'!$AL$2:$AL$1501),MATCH(ROWS($X$2:$X400),'Per Line'!$AL$2:$AL$1501,0),"")</f>
        <v/>
      </c>
    </row>
    <row r="401">
      <c r="A401">
        <f>IF($X401="","",INDEX('Per Line'!$C$2:$C$1501,$X401)&amp;"")</f>
        <v/>
      </c>
      <c r="B401" s="12" t="n"/>
      <c r="C401">
        <f>IF($X401="","",INDEX('Per Line'!$D$2:$D$1501,$X401)&amp;"")</f>
        <v/>
      </c>
      <c r="D401">
        <f>IF($X401="","",INDEX('Per Line'!$A$2:$A$1501,$X401))</f>
        <v/>
      </c>
      <c r="E401">
        <f>IF($X401="","",INDEX('Per Line'!$G$2:$G$1501,$X401)&amp;"")</f>
        <v/>
      </c>
      <c r="F401" s="11">
        <f>IF($X401="","",INDEX('Per Line'!$F$2:$F$1501,$X401))</f>
        <v/>
      </c>
      <c r="G401">
        <f>IF($X401="","",INDEX('Per Line'!$I$2:$I$1501,$X401)&amp;"")</f>
        <v/>
      </c>
      <c r="H401">
        <f>IF($X401="","",INDEX('Per Line'!$J$2:$J$1501,$X401)&amp;"")</f>
        <v/>
      </c>
      <c r="I401">
        <f>IF($X401="","",INDEX('Per Line'!$K$2:$K$1501,$X401)&amp;"")</f>
        <v/>
      </c>
      <c r="J401">
        <f>IF($X401="","",INDEX('Per Line'!$M$2:$M$1501,$X401))</f>
        <v/>
      </c>
      <c r="K401" s="7">
        <f>IF($X401="","",J401*V401/100)</f>
        <v/>
      </c>
      <c r="L401">
        <f>IF($X401="","",INDEX('Per Line'!$Y$2:$Y$1501,$X401)&amp;"")</f>
        <v/>
      </c>
      <c r="M401" s="7">
        <f>IF($X401="","",SUMIFS('Per Line'!$U$2:$U$1501,'Per Line'!$AJ$2:$AJ$1501,$A401&amp;"|"&amp;$C401,'Per Line'!$AN$2:$AN$1501,1))</f>
        <v/>
      </c>
      <c r="N401">
        <f>IF($X401="","",Settings!$C$7)</f>
        <v/>
      </c>
      <c r="O401" s="7">
        <f>IF($X401="","",SUMIFS('Per Line'!$U$2:$U$1501,'Per Line'!$AJ$2:$AJ$1501,$A401&amp;"|"&amp;$C401,'Per Line'!$AM$2:$AM$1501,0,'Per Line'!$AN$2:$AN$1501,0))</f>
        <v/>
      </c>
      <c r="P401" s="7">
        <f>IF($X401="","",O401*N401)</f>
        <v/>
      </c>
      <c r="Q401">
        <f>IF($X401="","",Settings!$C$6)</f>
        <v/>
      </c>
      <c r="R401" s="7">
        <f>IF($X401="","",SUMIFS('Per Line'!$U$2:$U$1501,'Per Line'!$AJ$2:$AJ$1501,$A401&amp;"|"&amp;$C401,'Per Line'!$AM$2:$AM$1501,1,'Per Line'!$AN$2:$AN$1501,0))</f>
        <v/>
      </c>
      <c r="S401" s="7">
        <f>IF($X401="","",R401*Q401)</f>
        <v/>
      </c>
      <c r="T401" s="7">
        <f>IF($X401="","",S401+P401)</f>
        <v/>
      </c>
      <c r="U401" s="7">
        <f>IF($X401="","",V401-T401)</f>
        <v/>
      </c>
      <c r="V401" s="7">
        <f>IF($X401="","",O401+R401+M401)</f>
        <v/>
      </c>
      <c r="W401" s="7">
        <f>IF($X401="","",V401-T401-K401)</f>
        <v/>
      </c>
      <c r="X401" s="13">
        <f>IF(ROWS($X$2:$X401)&lt;=MAX('Per Line'!$AL$2:$AL$1501),MATCH(ROWS($X$2:$X401),'Per Line'!$AL$2:$AL$1501,0),"")</f>
        <v/>
      </c>
    </row>
    <row r="402">
      <c r="A402">
        <f>IF($X402="","",INDEX('Per Line'!$C$2:$C$1501,$X402)&amp;"")</f>
        <v/>
      </c>
      <c r="B402" s="12" t="n"/>
      <c r="C402">
        <f>IF($X402="","",INDEX('Per Line'!$D$2:$D$1501,$X402)&amp;"")</f>
        <v/>
      </c>
      <c r="D402">
        <f>IF($X402="","",INDEX('Per Line'!$A$2:$A$1501,$X402))</f>
        <v/>
      </c>
      <c r="E402">
        <f>IF($X402="","",INDEX('Per Line'!$G$2:$G$1501,$X402)&amp;"")</f>
        <v/>
      </c>
      <c r="F402" s="11">
        <f>IF($X402="","",INDEX('Per Line'!$F$2:$F$1501,$X402))</f>
        <v/>
      </c>
      <c r="G402">
        <f>IF($X402="","",INDEX('Per Line'!$I$2:$I$1501,$X402)&amp;"")</f>
        <v/>
      </c>
      <c r="H402">
        <f>IF($X402="","",INDEX('Per Line'!$J$2:$J$1501,$X402)&amp;"")</f>
        <v/>
      </c>
      <c r="I402">
        <f>IF($X402="","",INDEX('Per Line'!$K$2:$K$1501,$X402)&amp;"")</f>
        <v/>
      </c>
      <c r="J402">
        <f>IF($X402="","",INDEX('Per Line'!$M$2:$M$1501,$X402))</f>
        <v/>
      </c>
      <c r="K402" s="7">
        <f>IF($X402="","",J402*V402/100)</f>
        <v/>
      </c>
      <c r="L402">
        <f>IF($X402="","",INDEX('Per Line'!$Y$2:$Y$1501,$X402)&amp;"")</f>
        <v/>
      </c>
      <c r="M402" s="7">
        <f>IF($X402="","",SUMIFS('Per Line'!$U$2:$U$1501,'Per Line'!$AJ$2:$AJ$1501,$A402&amp;"|"&amp;$C402,'Per Line'!$AN$2:$AN$1501,1))</f>
        <v/>
      </c>
      <c r="N402">
        <f>IF($X402="","",Settings!$C$7)</f>
        <v/>
      </c>
      <c r="O402" s="7">
        <f>IF($X402="","",SUMIFS('Per Line'!$U$2:$U$1501,'Per Line'!$AJ$2:$AJ$1501,$A402&amp;"|"&amp;$C402,'Per Line'!$AM$2:$AM$1501,0,'Per Line'!$AN$2:$AN$1501,0))</f>
        <v/>
      </c>
      <c r="P402" s="7">
        <f>IF($X402="","",O402*N402)</f>
        <v/>
      </c>
      <c r="Q402">
        <f>IF($X402="","",Settings!$C$6)</f>
        <v/>
      </c>
      <c r="R402" s="7">
        <f>IF($X402="","",SUMIFS('Per Line'!$U$2:$U$1501,'Per Line'!$AJ$2:$AJ$1501,$A402&amp;"|"&amp;$C402,'Per Line'!$AM$2:$AM$1501,1,'Per Line'!$AN$2:$AN$1501,0))</f>
        <v/>
      </c>
      <c r="S402" s="7">
        <f>IF($X402="","",R402*Q402)</f>
        <v/>
      </c>
      <c r="T402" s="7">
        <f>IF($X402="","",S402+P402)</f>
        <v/>
      </c>
      <c r="U402" s="7">
        <f>IF($X402="","",V402-T402)</f>
        <v/>
      </c>
      <c r="V402" s="7">
        <f>IF($X402="","",O402+R402+M402)</f>
        <v/>
      </c>
      <c r="W402" s="7">
        <f>IF($X402="","",V402-T402-K402)</f>
        <v/>
      </c>
      <c r="X402" s="13">
        <f>IF(ROWS($X$2:$X402)&lt;=MAX('Per Line'!$AL$2:$AL$1501),MATCH(ROWS($X$2:$X402),'Per Line'!$AL$2:$AL$1501,0),"")</f>
        <v/>
      </c>
    </row>
    <row r="403">
      <c r="A403">
        <f>IF($X403="","",INDEX('Per Line'!$C$2:$C$1501,$X403)&amp;"")</f>
        <v/>
      </c>
      <c r="B403" s="12" t="n"/>
      <c r="C403">
        <f>IF($X403="","",INDEX('Per Line'!$D$2:$D$1501,$X403)&amp;"")</f>
        <v/>
      </c>
      <c r="D403">
        <f>IF($X403="","",INDEX('Per Line'!$A$2:$A$1501,$X403))</f>
        <v/>
      </c>
      <c r="E403">
        <f>IF($X403="","",INDEX('Per Line'!$G$2:$G$1501,$X403)&amp;"")</f>
        <v/>
      </c>
      <c r="F403" s="11">
        <f>IF($X403="","",INDEX('Per Line'!$F$2:$F$1501,$X403))</f>
        <v/>
      </c>
      <c r="G403">
        <f>IF($X403="","",INDEX('Per Line'!$I$2:$I$1501,$X403)&amp;"")</f>
        <v/>
      </c>
      <c r="H403">
        <f>IF($X403="","",INDEX('Per Line'!$J$2:$J$1501,$X403)&amp;"")</f>
        <v/>
      </c>
      <c r="I403">
        <f>IF($X403="","",INDEX('Per Line'!$K$2:$K$1501,$X403)&amp;"")</f>
        <v/>
      </c>
      <c r="J403">
        <f>IF($X403="","",INDEX('Per Line'!$M$2:$M$1501,$X403))</f>
        <v/>
      </c>
      <c r="K403" s="7">
        <f>IF($X403="","",J403*V403/100)</f>
        <v/>
      </c>
      <c r="L403">
        <f>IF($X403="","",INDEX('Per Line'!$Y$2:$Y$1501,$X403)&amp;"")</f>
        <v/>
      </c>
      <c r="M403" s="7">
        <f>IF($X403="","",SUMIFS('Per Line'!$U$2:$U$1501,'Per Line'!$AJ$2:$AJ$1501,$A403&amp;"|"&amp;$C403,'Per Line'!$AN$2:$AN$1501,1))</f>
        <v/>
      </c>
      <c r="N403">
        <f>IF($X403="","",Settings!$C$7)</f>
        <v/>
      </c>
      <c r="O403" s="7">
        <f>IF($X403="","",SUMIFS('Per Line'!$U$2:$U$1501,'Per Line'!$AJ$2:$AJ$1501,$A403&amp;"|"&amp;$C403,'Per Line'!$AM$2:$AM$1501,0,'Per Line'!$AN$2:$AN$1501,0))</f>
        <v/>
      </c>
      <c r="P403" s="7">
        <f>IF($X403="","",O403*N403)</f>
        <v/>
      </c>
      <c r="Q403">
        <f>IF($X403="","",Settings!$C$6)</f>
        <v/>
      </c>
      <c r="R403" s="7">
        <f>IF($X403="","",SUMIFS('Per Line'!$U$2:$U$1501,'Per Line'!$AJ$2:$AJ$1501,$A403&amp;"|"&amp;$C403,'Per Line'!$AM$2:$AM$1501,1,'Per Line'!$AN$2:$AN$1501,0))</f>
        <v/>
      </c>
      <c r="S403" s="7">
        <f>IF($X403="","",R403*Q403)</f>
        <v/>
      </c>
      <c r="T403" s="7">
        <f>IF($X403="","",S403+P403)</f>
        <v/>
      </c>
      <c r="U403" s="7">
        <f>IF($X403="","",V403-T403)</f>
        <v/>
      </c>
      <c r="V403" s="7">
        <f>IF($X403="","",O403+R403+M403)</f>
        <v/>
      </c>
      <c r="W403" s="7">
        <f>IF($X403="","",V403-T403-K403)</f>
        <v/>
      </c>
      <c r="X403" s="13">
        <f>IF(ROWS($X$2:$X403)&lt;=MAX('Per Line'!$AL$2:$AL$1501),MATCH(ROWS($X$2:$X403),'Per Line'!$AL$2:$AL$1501,0),"")</f>
        <v/>
      </c>
    </row>
    <row r="404">
      <c r="A404">
        <f>IF($X404="","",INDEX('Per Line'!$C$2:$C$1501,$X404)&amp;"")</f>
        <v/>
      </c>
      <c r="B404" s="12" t="n"/>
      <c r="C404">
        <f>IF($X404="","",INDEX('Per Line'!$D$2:$D$1501,$X404)&amp;"")</f>
        <v/>
      </c>
      <c r="D404">
        <f>IF($X404="","",INDEX('Per Line'!$A$2:$A$1501,$X404))</f>
        <v/>
      </c>
      <c r="E404">
        <f>IF($X404="","",INDEX('Per Line'!$G$2:$G$1501,$X404)&amp;"")</f>
        <v/>
      </c>
      <c r="F404" s="11">
        <f>IF($X404="","",INDEX('Per Line'!$F$2:$F$1501,$X404))</f>
        <v/>
      </c>
      <c r="G404">
        <f>IF($X404="","",INDEX('Per Line'!$I$2:$I$1501,$X404)&amp;"")</f>
        <v/>
      </c>
      <c r="H404">
        <f>IF($X404="","",INDEX('Per Line'!$J$2:$J$1501,$X404)&amp;"")</f>
        <v/>
      </c>
      <c r="I404">
        <f>IF($X404="","",INDEX('Per Line'!$K$2:$K$1501,$X404)&amp;"")</f>
        <v/>
      </c>
      <c r="J404">
        <f>IF($X404="","",INDEX('Per Line'!$M$2:$M$1501,$X404))</f>
        <v/>
      </c>
      <c r="K404" s="7">
        <f>IF($X404="","",J404*V404/100)</f>
        <v/>
      </c>
      <c r="L404">
        <f>IF($X404="","",INDEX('Per Line'!$Y$2:$Y$1501,$X404)&amp;"")</f>
        <v/>
      </c>
      <c r="M404" s="7">
        <f>IF($X404="","",SUMIFS('Per Line'!$U$2:$U$1501,'Per Line'!$AJ$2:$AJ$1501,$A404&amp;"|"&amp;$C404,'Per Line'!$AN$2:$AN$1501,1))</f>
        <v/>
      </c>
      <c r="N404">
        <f>IF($X404="","",Settings!$C$7)</f>
        <v/>
      </c>
      <c r="O404" s="7">
        <f>IF($X404="","",SUMIFS('Per Line'!$U$2:$U$1501,'Per Line'!$AJ$2:$AJ$1501,$A404&amp;"|"&amp;$C404,'Per Line'!$AM$2:$AM$1501,0,'Per Line'!$AN$2:$AN$1501,0))</f>
        <v/>
      </c>
      <c r="P404" s="7">
        <f>IF($X404="","",O404*N404)</f>
        <v/>
      </c>
      <c r="Q404">
        <f>IF($X404="","",Settings!$C$6)</f>
        <v/>
      </c>
      <c r="R404" s="7">
        <f>IF($X404="","",SUMIFS('Per Line'!$U$2:$U$1501,'Per Line'!$AJ$2:$AJ$1501,$A404&amp;"|"&amp;$C404,'Per Line'!$AM$2:$AM$1501,1,'Per Line'!$AN$2:$AN$1501,0))</f>
        <v/>
      </c>
      <c r="S404" s="7">
        <f>IF($X404="","",R404*Q404)</f>
        <v/>
      </c>
      <c r="T404" s="7">
        <f>IF($X404="","",S404+P404)</f>
        <v/>
      </c>
      <c r="U404" s="7">
        <f>IF($X404="","",V404-T404)</f>
        <v/>
      </c>
      <c r="V404" s="7">
        <f>IF($X404="","",O404+R404+M404)</f>
        <v/>
      </c>
      <c r="W404" s="7">
        <f>IF($X404="","",V404-T404-K404)</f>
        <v/>
      </c>
      <c r="X404" s="13">
        <f>IF(ROWS($X$2:$X404)&lt;=MAX('Per Line'!$AL$2:$AL$1501),MATCH(ROWS($X$2:$X404),'Per Line'!$AL$2:$AL$1501,0),"")</f>
        <v/>
      </c>
    </row>
    <row r="405">
      <c r="A405">
        <f>IF($X405="","",INDEX('Per Line'!$C$2:$C$1501,$X405)&amp;"")</f>
        <v/>
      </c>
      <c r="B405" s="12" t="n"/>
      <c r="C405">
        <f>IF($X405="","",INDEX('Per Line'!$D$2:$D$1501,$X405)&amp;"")</f>
        <v/>
      </c>
      <c r="D405">
        <f>IF($X405="","",INDEX('Per Line'!$A$2:$A$1501,$X405))</f>
        <v/>
      </c>
      <c r="E405">
        <f>IF($X405="","",INDEX('Per Line'!$G$2:$G$1501,$X405)&amp;"")</f>
        <v/>
      </c>
      <c r="F405" s="11">
        <f>IF($X405="","",INDEX('Per Line'!$F$2:$F$1501,$X405))</f>
        <v/>
      </c>
      <c r="G405">
        <f>IF($X405="","",INDEX('Per Line'!$I$2:$I$1501,$X405)&amp;"")</f>
        <v/>
      </c>
      <c r="H405">
        <f>IF($X405="","",INDEX('Per Line'!$J$2:$J$1501,$X405)&amp;"")</f>
        <v/>
      </c>
      <c r="I405">
        <f>IF($X405="","",INDEX('Per Line'!$K$2:$K$1501,$X405)&amp;"")</f>
        <v/>
      </c>
      <c r="J405">
        <f>IF($X405="","",INDEX('Per Line'!$M$2:$M$1501,$X405))</f>
        <v/>
      </c>
      <c r="K405" s="7">
        <f>IF($X405="","",J405*V405/100)</f>
        <v/>
      </c>
      <c r="L405">
        <f>IF($X405="","",INDEX('Per Line'!$Y$2:$Y$1501,$X405)&amp;"")</f>
        <v/>
      </c>
      <c r="M405" s="7">
        <f>IF($X405="","",SUMIFS('Per Line'!$U$2:$U$1501,'Per Line'!$AJ$2:$AJ$1501,$A405&amp;"|"&amp;$C405,'Per Line'!$AN$2:$AN$1501,1))</f>
        <v/>
      </c>
      <c r="N405">
        <f>IF($X405="","",Settings!$C$7)</f>
        <v/>
      </c>
      <c r="O405" s="7">
        <f>IF($X405="","",SUMIFS('Per Line'!$U$2:$U$1501,'Per Line'!$AJ$2:$AJ$1501,$A405&amp;"|"&amp;$C405,'Per Line'!$AM$2:$AM$1501,0,'Per Line'!$AN$2:$AN$1501,0))</f>
        <v/>
      </c>
      <c r="P405" s="7">
        <f>IF($X405="","",O405*N405)</f>
        <v/>
      </c>
      <c r="Q405">
        <f>IF($X405="","",Settings!$C$6)</f>
        <v/>
      </c>
      <c r="R405" s="7">
        <f>IF($X405="","",SUMIFS('Per Line'!$U$2:$U$1501,'Per Line'!$AJ$2:$AJ$1501,$A405&amp;"|"&amp;$C405,'Per Line'!$AM$2:$AM$1501,1,'Per Line'!$AN$2:$AN$1501,0))</f>
        <v/>
      </c>
      <c r="S405" s="7">
        <f>IF($X405="","",R405*Q405)</f>
        <v/>
      </c>
      <c r="T405" s="7">
        <f>IF($X405="","",S405+P405)</f>
        <v/>
      </c>
      <c r="U405" s="7">
        <f>IF($X405="","",V405-T405)</f>
        <v/>
      </c>
      <c r="V405" s="7">
        <f>IF($X405="","",O405+R405+M405)</f>
        <v/>
      </c>
      <c r="W405" s="7">
        <f>IF($X405="","",V405-T405-K405)</f>
        <v/>
      </c>
      <c r="X405" s="13">
        <f>IF(ROWS($X$2:$X405)&lt;=MAX('Per Line'!$AL$2:$AL$1501),MATCH(ROWS($X$2:$X405),'Per Line'!$AL$2:$AL$1501,0),"")</f>
        <v/>
      </c>
    </row>
    <row r="406">
      <c r="A406">
        <f>IF($X406="","",INDEX('Per Line'!$C$2:$C$1501,$X406)&amp;"")</f>
        <v/>
      </c>
      <c r="B406" s="12" t="n"/>
      <c r="C406">
        <f>IF($X406="","",INDEX('Per Line'!$D$2:$D$1501,$X406)&amp;"")</f>
        <v/>
      </c>
      <c r="D406">
        <f>IF($X406="","",INDEX('Per Line'!$A$2:$A$1501,$X406))</f>
        <v/>
      </c>
      <c r="E406">
        <f>IF($X406="","",INDEX('Per Line'!$G$2:$G$1501,$X406)&amp;"")</f>
        <v/>
      </c>
      <c r="F406" s="11">
        <f>IF($X406="","",INDEX('Per Line'!$F$2:$F$1501,$X406))</f>
        <v/>
      </c>
      <c r="G406">
        <f>IF($X406="","",INDEX('Per Line'!$I$2:$I$1501,$X406)&amp;"")</f>
        <v/>
      </c>
      <c r="H406">
        <f>IF($X406="","",INDEX('Per Line'!$J$2:$J$1501,$X406)&amp;"")</f>
        <v/>
      </c>
      <c r="I406">
        <f>IF($X406="","",INDEX('Per Line'!$K$2:$K$1501,$X406)&amp;"")</f>
        <v/>
      </c>
      <c r="J406">
        <f>IF($X406="","",INDEX('Per Line'!$M$2:$M$1501,$X406))</f>
        <v/>
      </c>
      <c r="K406" s="7">
        <f>IF($X406="","",J406*V406/100)</f>
        <v/>
      </c>
      <c r="L406">
        <f>IF($X406="","",INDEX('Per Line'!$Y$2:$Y$1501,$X406)&amp;"")</f>
        <v/>
      </c>
      <c r="M406" s="7">
        <f>IF($X406="","",SUMIFS('Per Line'!$U$2:$U$1501,'Per Line'!$AJ$2:$AJ$1501,$A406&amp;"|"&amp;$C406,'Per Line'!$AN$2:$AN$1501,1))</f>
        <v/>
      </c>
      <c r="N406">
        <f>IF($X406="","",Settings!$C$7)</f>
        <v/>
      </c>
      <c r="O406" s="7">
        <f>IF($X406="","",SUMIFS('Per Line'!$U$2:$U$1501,'Per Line'!$AJ$2:$AJ$1501,$A406&amp;"|"&amp;$C406,'Per Line'!$AM$2:$AM$1501,0,'Per Line'!$AN$2:$AN$1501,0))</f>
        <v/>
      </c>
      <c r="P406" s="7">
        <f>IF($X406="","",O406*N406)</f>
        <v/>
      </c>
      <c r="Q406">
        <f>IF($X406="","",Settings!$C$6)</f>
        <v/>
      </c>
      <c r="R406" s="7">
        <f>IF($X406="","",SUMIFS('Per Line'!$U$2:$U$1501,'Per Line'!$AJ$2:$AJ$1501,$A406&amp;"|"&amp;$C406,'Per Line'!$AM$2:$AM$1501,1,'Per Line'!$AN$2:$AN$1501,0))</f>
        <v/>
      </c>
      <c r="S406" s="7">
        <f>IF($X406="","",R406*Q406)</f>
        <v/>
      </c>
      <c r="T406" s="7">
        <f>IF($X406="","",S406+P406)</f>
        <v/>
      </c>
      <c r="U406" s="7">
        <f>IF($X406="","",V406-T406)</f>
        <v/>
      </c>
      <c r="V406" s="7">
        <f>IF($X406="","",O406+R406+M406)</f>
        <v/>
      </c>
      <c r="W406" s="7">
        <f>IF($X406="","",V406-T406-K406)</f>
        <v/>
      </c>
      <c r="X406" s="13">
        <f>IF(ROWS($X$2:$X406)&lt;=MAX('Per Line'!$AL$2:$AL$1501),MATCH(ROWS($X$2:$X406),'Per Line'!$AL$2:$AL$1501,0),"")</f>
        <v/>
      </c>
    </row>
    <row r="407">
      <c r="A407">
        <f>IF($X407="","",INDEX('Per Line'!$C$2:$C$1501,$X407)&amp;"")</f>
        <v/>
      </c>
      <c r="B407" s="12" t="n"/>
      <c r="C407">
        <f>IF($X407="","",INDEX('Per Line'!$D$2:$D$1501,$X407)&amp;"")</f>
        <v/>
      </c>
      <c r="D407">
        <f>IF($X407="","",INDEX('Per Line'!$A$2:$A$1501,$X407))</f>
        <v/>
      </c>
      <c r="E407">
        <f>IF($X407="","",INDEX('Per Line'!$G$2:$G$1501,$X407)&amp;"")</f>
        <v/>
      </c>
      <c r="F407" s="11">
        <f>IF($X407="","",INDEX('Per Line'!$F$2:$F$1501,$X407))</f>
        <v/>
      </c>
      <c r="G407">
        <f>IF($X407="","",INDEX('Per Line'!$I$2:$I$1501,$X407)&amp;"")</f>
        <v/>
      </c>
      <c r="H407">
        <f>IF($X407="","",INDEX('Per Line'!$J$2:$J$1501,$X407)&amp;"")</f>
        <v/>
      </c>
      <c r="I407">
        <f>IF($X407="","",INDEX('Per Line'!$K$2:$K$1501,$X407)&amp;"")</f>
        <v/>
      </c>
      <c r="J407">
        <f>IF($X407="","",INDEX('Per Line'!$M$2:$M$1501,$X407))</f>
        <v/>
      </c>
      <c r="K407" s="7">
        <f>IF($X407="","",J407*V407/100)</f>
        <v/>
      </c>
      <c r="L407">
        <f>IF($X407="","",INDEX('Per Line'!$Y$2:$Y$1501,$X407)&amp;"")</f>
        <v/>
      </c>
      <c r="M407" s="7">
        <f>IF($X407="","",SUMIFS('Per Line'!$U$2:$U$1501,'Per Line'!$AJ$2:$AJ$1501,$A407&amp;"|"&amp;$C407,'Per Line'!$AN$2:$AN$1501,1))</f>
        <v/>
      </c>
      <c r="N407">
        <f>IF($X407="","",Settings!$C$7)</f>
        <v/>
      </c>
      <c r="O407" s="7">
        <f>IF($X407="","",SUMIFS('Per Line'!$U$2:$U$1501,'Per Line'!$AJ$2:$AJ$1501,$A407&amp;"|"&amp;$C407,'Per Line'!$AM$2:$AM$1501,0,'Per Line'!$AN$2:$AN$1501,0))</f>
        <v/>
      </c>
      <c r="P407" s="7">
        <f>IF($X407="","",O407*N407)</f>
        <v/>
      </c>
      <c r="Q407">
        <f>IF($X407="","",Settings!$C$6)</f>
        <v/>
      </c>
      <c r="R407" s="7">
        <f>IF($X407="","",SUMIFS('Per Line'!$U$2:$U$1501,'Per Line'!$AJ$2:$AJ$1501,$A407&amp;"|"&amp;$C407,'Per Line'!$AM$2:$AM$1501,1,'Per Line'!$AN$2:$AN$1501,0))</f>
        <v/>
      </c>
      <c r="S407" s="7">
        <f>IF($X407="","",R407*Q407)</f>
        <v/>
      </c>
      <c r="T407" s="7">
        <f>IF($X407="","",S407+P407)</f>
        <v/>
      </c>
      <c r="U407" s="7">
        <f>IF($X407="","",V407-T407)</f>
        <v/>
      </c>
      <c r="V407" s="7">
        <f>IF($X407="","",O407+R407+M407)</f>
        <v/>
      </c>
      <c r="W407" s="7">
        <f>IF($X407="","",V407-T407-K407)</f>
        <v/>
      </c>
      <c r="X407" s="13">
        <f>IF(ROWS($X$2:$X407)&lt;=MAX('Per Line'!$AL$2:$AL$1501),MATCH(ROWS($X$2:$X407),'Per Line'!$AL$2:$AL$1501,0),"")</f>
        <v/>
      </c>
    </row>
    <row r="408">
      <c r="A408">
        <f>IF($X408="","",INDEX('Per Line'!$C$2:$C$1501,$X408)&amp;"")</f>
        <v/>
      </c>
      <c r="B408" s="12" t="n"/>
      <c r="C408">
        <f>IF($X408="","",INDEX('Per Line'!$D$2:$D$1501,$X408)&amp;"")</f>
        <v/>
      </c>
      <c r="D408">
        <f>IF($X408="","",INDEX('Per Line'!$A$2:$A$1501,$X408))</f>
        <v/>
      </c>
      <c r="E408">
        <f>IF($X408="","",INDEX('Per Line'!$G$2:$G$1501,$X408)&amp;"")</f>
        <v/>
      </c>
      <c r="F408" s="11">
        <f>IF($X408="","",INDEX('Per Line'!$F$2:$F$1501,$X408))</f>
        <v/>
      </c>
      <c r="G408">
        <f>IF($X408="","",INDEX('Per Line'!$I$2:$I$1501,$X408)&amp;"")</f>
        <v/>
      </c>
      <c r="H408">
        <f>IF($X408="","",INDEX('Per Line'!$J$2:$J$1501,$X408)&amp;"")</f>
        <v/>
      </c>
      <c r="I408">
        <f>IF($X408="","",INDEX('Per Line'!$K$2:$K$1501,$X408)&amp;"")</f>
        <v/>
      </c>
      <c r="J408">
        <f>IF($X408="","",INDEX('Per Line'!$M$2:$M$1501,$X408))</f>
        <v/>
      </c>
      <c r="K408" s="7">
        <f>IF($X408="","",J408*V408/100)</f>
        <v/>
      </c>
      <c r="L408">
        <f>IF($X408="","",INDEX('Per Line'!$Y$2:$Y$1501,$X408)&amp;"")</f>
        <v/>
      </c>
      <c r="M408" s="7">
        <f>IF($X408="","",SUMIFS('Per Line'!$U$2:$U$1501,'Per Line'!$AJ$2:$AJ$1501,$A408&amp;"|"&amp;$C408,'Per Line'!$AN$2:$AN$1501,1))</f>
        <v/>
      </c>
      <c r="N408">
        <f>IF($X408="","",Settings!$C$7)</f>
        <v/>
      </c>
      <c r="O408" s="7">
        <f>IF($X408="","",SUMIFS('Per Line'!$U$2:$U$1501,'Per Line'!$AJ$2:$AJ$1501,$A408&amp;"|"&amp;$C408,'Per Line'!$AM$2:$AM$1501,0,'Per Line'!$AN$2:$AN$1501,0))</f>
        <v/>
      </c>
      <c r="P408" s="7">
        <f>IF($X408="","",O408*N408)</f>
        <v/>
      </c>
      <c r="Q408">
        <f>IF($X408="","",Settings!$C$6)</f>
        <v/>
      </c>
      <c r="R408" s="7">
        <f>IF($X408="","",SUMIFS('Per Line'!$U$2:$U$1501,'Per Line'!$AJ$2:$AJ$1501,$A408&amp;"|"&amp;$C408,'Per Line'!$AM$2:$AM$1501,1,'Per Line'!$AN$2:$AN$1501,0))</f>
        <v/>
      </c>
      <c r="S408" s="7">
        <f>IF($X408="","",R408*Q408)</f>
        <v/>
      </c>
      <c r="T408" s="7">
        <f>IF($X408="","",S408+P408)</f>
        <v/>
      </c>
      <c r="U408" s="7">
        <f>IF($X408="","",V408-T408)</f>
        <v/>
      </c>
      <c r="V408" s="7">
        <f>IF($X408="","",O408+R408+M408)</f>
        <v/>
      </c>
      <c r="W408" s="7">
        <f>IF($X408="","",V408-T408-K408)</f>
        <v/>
      </c>
      <c r="X408" s="13">
        <f>IF(ROWS($X$2:$X408)&lt;=MAX('Per Line'!$AL$2:$AL$1501),MATCH(ROWS($X$2:$X408),'Per Line'!$AL$2:$AL$1501,0),"")</f>
        <v/>
      </c>
    </row>
    <row r="409">
      <c r="A409">
        <f>IF($X409="","",INDEX('Per Line'!$C$2:$C$1501,$X409)&amp;"")</f>
        <v/>
      </c>
      <c r="B409" s="12" t="n"/>
      <c r="C409">
        <f>IF($X409="","",INDEX('Per Line'!$D$2:$D$1501,$X409)&amp;"")</f>
        <v/>
      </c>
      <c r="D409">
        <f>IF($X409="","",INDEX('Per Line'!$A$2:$A$1501,$X409))</f>
        <v/>
      </c>
      <c r="E409">
        <f>IF($X409="","",INDEX('Per Line'!$G$2:$G$1501,$X409)&amp;"")</f>
        <v/>
      </c>
      <c r="F409" s="11">
        <f>IF($X409="","",INDEX('Per Line'!$F$2:$F$1501,$X409))</f>
        <v/>
      </c>
      <c r="G409">
        <f>IF($X409="","",INDEX('Per Line'!$I$2:$I$1501,$X409)&amp;"")</f>
        <v/>
      </c>
      <c r="H409">
        <f>IF($X409="","",INDEX('Per Line'!$J$2:$J$1501,$X409)&amp;"")</f>
        <v/>
      </c>
      <c r="I409">
        <f>IF($X409="","",INDEX('Per Line'!$K$2:$K$1501,$X409)&amp;"")</f>
        <v/>
      </c>
      <c r="J409">
        <f>IF($X409="","",INDEX('Per Line'!$M$2:$M$1501,$X409))</f>
        <v/>
      </c>
      <c r="K409" s="7">
        <f>IF($X409="","",J409*V409/100)</f>
        <v/>
      </c>
      <c r="L409">
        <f>IF($X409="","",INDEX('Per Line'!$Y$2:$Y$1501,$X409)&amp;"")</f>
        <v/>
      </c>
      <c r="M409" s="7">
        <f>IF($X409="","",SUMIFS('Per Line'!$U$2:$U$1501,'Per Line'!$AJ$2:$AJ$1501,$A409&amp;"|"&amp;$C409,'Per Line'!$AN$2:$AN$1501,1))</f>
        <v/>
      </c>
      <c r="N409">
        <f>IF($X409="","",Settings!$C$7)</f>
        <v/>
      </c>
      <c r="O409" s="7">
        <f>IF($X409="","",SUMIFS('Per Line'!$U$2:$U$1501,'Per Line'!$AJ$2:$AJ$1501,$A409&amp;"|"&amp;$C409,'Per Line'!$AM$2:$AM$1501,0,'Per Line'!$AN$2:$AN$1501,0))</f>
        <v/>
      </c>
      <c r="P409" s="7">
        <f>IF($X409="","",O409*N409)</f>
        <v/>
      </c>
      <c r="Q409">
        <f>IF($X409="","",Settings!$C$6)</f>
        <v/>
      </c>
      <c r="R409" s="7">
        <f>IF($X409="","",SUMIFS('Per Line'!$U$2:$U$1501,'Per Line'!$AJ$2:$AJ$1501,$A409&amp;"|"&amp;$C409,'Per Line'!$AM$2:$AM$1501,1,'Per Line'!$AN$2:$AN$1501,0))</f>
        <v/>
      </c>
      <c r="S409" s="7">
        <f>IF($X409="","",R409*Q409)</f>
        <v/>
      </c>
      <c r="T409" s="7">
        <f>IF($X409="","",S409+P409)</f>
        <v/>
      </c>
      <c r="U409" s="7">
        <f>IF($X409="","",V409-T409)</f>
        <v/>
      </c>
      <c r="V409" s="7">
        <f>IF($X409="","",O409+R409+M409)</f>
        <v/>
      </c>
      <c r="W409" s="7">
        <f>IF($X409="","",V409-T409-K409)</f>
        <v/>
      </c>
      <c r="X409" s="13">
        <f>IF(ROWS($X$2:$X409)&lt;=MAX('Per Line'!$AL$2:$AL$1501),MATCH(ROWS($X$2:$X409),'Per Line'!$AL$2:$AL$1501,0),"")</f>
        <v/>
      </c>
    </row>
    <row r="410">
      <c r="A410">
        <f>IF($X410="","",INDEX('Per Line'!$C$2:$C$1501,$X410)&amp;"")</f>
        <v/>
      </c>
      <c r="B410" s="12" t="n"/>
      <c r="C410">
        <f>IF($X410="","",INDEX('Per Line'!$D$2:$D$1501,$X410)&amp;"")</f>
        <v/>
      </c>
      <c r="D410">
        <f>IF($X410="","",INDEX('Per Line'!$A$2:$A$1501,$X410))</f>
        <v/>
      </c>
      <c r="E410">
        <f>IF($X410="","",INDEX('Per Line'!$G$2:$G$1501,$X410)&amp;"")</f>
        <v/>
      </c>
      <c r="F410" s="11">
        <f>IF($X410="","",INDEX('Per Line'!$F$2:$F$1501,$X410))</f>
        <v/>
      </c>
      <c r="G410">
        <f>IF($X410="","",INDEX('Per Line'!$I$2:$I$1501,$X410)&amp;"")</f>
        <v/>
      </c>
      <c r="H410">
        <f>IF($X410="","",INDEX('Per Line'!$J$2:$J$1501,$X410)&amp;"")</f>
        <v/>
      </c>
      <c r="I410">
        <f>IF($X410="","",INDEX('Per Line'!$K$2:$K$1501,$X410)&amp;"")</f>
        <v/>
      </c>
      <c r="J410">
        <f>IF($X410="","",INDEX('Per Line'!$M$2:$M$1501,$X410))</f>
        <v/>
      </c>
      <c r="K410" s="7">
        <f>IF($X410="","",J410*V410/100)</f>
        <v/>
      </c>
      <c r="L410">
        <f>IF($X410="","",INDEX('Per Line'!$Y$2:$Y$1501,$X410)&amp;"")</f>
        <v/>
      </c>
      <c r="M410" s="7">
        <f>IF($X410="","",SUMIFS('Per Line'!$U$2:$U$1501,'Per Line'!$AJ$2:$AJ$1501,$A410&amp;"|"&amp;$C410,'Per Line'!$AN$2:$AN$1501,1))</f>
        <v/>
      </c>
      <c r="N410">
        <f>IF($X410="","",Settings!$C$7)</f>
        <v/>
      </c>
      <c r="O410" s="7">
        <f>IF($X410="","",SUMIFS('Per Line'!$U$2:$U$1501,'Per Line'!$AJ$2:$AJ$1501,$A410&amp;"|"&amp;$C410,'Per Line'!$AM$2:$AM$1501,0,'Per Line'!$AN$2:$AN$1501,0))</f>
        <v/>
      </c>
      <c r="P410" s="7">
        <f>IF($X410="","",O410*N410)</f>
        <v/>
      </c>
      <c r="Q410">
        <f>IF($X410="","",Settings!$C$6)</f>
        <v/>
      </c>
      <c r="R410" s="7">
        <f>IF($X410="","",SUMIFS('Per Line'!$U$2:$U$1501,'Per Line'!$AJ$2:$AJ$1501,$A410&amp;"|"&amp;$C410,'Per Line'!$AM$2:$AM$1501,1,'Per Line'!$AN$2:$AN$1501,0))</f>
        <v/>
      </c>
      <c r="S410" s="7">
        <f>IF($X410="","",R410*Q410)</f>
        <v/>
      </c>
      <c r="T410" s="7">
        <f>IF($X410="","",S410+P410)</f>
        <v/>
      </c>
      <c r="U410" s="7">
        <f>IF($X410="","",V410-T410)</f>
        <v/>
      </c>
      <c r="V410" s="7">
        <f>IF($X410="","",O410+R410+M410)</f>
        <v/>
      </c>
      <c r="W410" s="7">
        <f>IF($X410="","",V410-T410-K410)</f>
        <v/>
      </c>
      <c r="X410" s="13">
        <f>IF(ROWS($X$2:$X410)&lt;=MAX('Per Line'!$AL$2:$AL$1501),MATCH(ROWS($X$2:$X410),'Per Line'!$AL$2:$AL$1501,0),"")</f>
        <v/>
      </c>
    </row>
    <row r="411">
      <c r="A411">
        <f>IF($X411="","",INDEX('Per Line'!$C$2:$C$1501,$X411)&amp;"")</f>
        <v/>
      </c>
      <c r="B411" s="12" t="n"/>
      <c r="C411">
        <f>IF($X411="","",INDEX('Per Line'!$D$2:$D$1501,$X411)&amp;"")</f>
        <v/>
      </c>
      <c r="D411">
        <f>IF($X411="","",INDEX('Per Line'!$A$2:$A$1501,$X411))</f>
        <v/>
      </c>
      <c r="E411">
        <f>IF($X411="","",INDEX('Per Line'!$G$2:$G$1501,$X411)&amp;"")</f>
        <v/>
      </c>
      <c r="F411" s="11">
        <f>IF($X411="","",INDEX('Per Line'!$F$2:$F$1501,$X411))</f>
        <v/>
      </c>
      <c r="G411">
        <f>IF($X411="","",INDEX('Per Line'!$I$2:$I$1501,$X411)&amp;"")</f>
        <v/>
      </c>
      <c r="H411">
        <f>IF($X411="","",INDEX('Per Line'!$J$2:$J$1501,$X411)&amp;"")</f>
        <v/>
      </c>
      <c r="I411">
        <f>IF($X411="","",INDEX('Per Line'!$K$2:$K$1501,$X411)&amp;"")</f>
        <v/>
      </c>
      <c r="J411">
        <f>IF($X411="","",INDEX('Per Line'!$M$2:$M$1501,$X411))</f>
        <v/>
      </c>
      <c r="K411" s="7">
        <f>IF($X411="","",J411*V411/100)</f>
        <v/>
      </c>
      <c r="L411">
        <f>IF($X411="","",INDEX('Per Line'!$Y$2:$Y$1501,$X411)&amp;"")</f>
        <v/>
      </c>
      <c r="M411" s="7">
        <f>IF($X411="","",SUMIFS('Per Line'!$U$2:$U$1501,'Per Line'!$AJ$2:$AJ$1501,$A411&amp;"|"&amp;$C411,'Per Line'!$AN$2:$AN$1501,1))</f>
        <v/>
      </c>
      <c r="N411">
        <f>IF($X411="","",Settings!$C$7)</f>
        <v/>
      </c>
      <c r="O411" s="7">
        <f>IF($X411="","",SUMIFS('Per Line'!$U$2:$U$1501,'Per Line'!$AJ$2:$AJ$1501,$A411&amp;"|"&amp;$C411,'Per Line'!$AM$2:$AM$1501,0,'Per Line'!$AN$2:$AN$1501,0))</f>
        <v/>
      </c>
      <c r="P411" s="7">
        <f>IF($X411="","",O411*N411)</f>
        <v/>
      </c>
      <c r="Q411">
        <f>IF($X411="","",Settings!$C$6)</f>
        <v/>
      </c>
      <c r="R411" s="7">
        <f>IF($X411="","",SUMIFS('Per Line'!$U$2:$U$1501,'Per Line'!$AJ$2:$AJ$1501,$A411&amp;"|"&amp;$C411,'Per Line'!$AM$2:$AM$1501,1,'Per Line'!$AN$2:$AN$1501,0))</f>
        <v/>
      </c>
      <c r="S411" s="7">
        <f>IF($X411="","",R411*Q411)</f>
        <v/>
      </c>
      <c r="T411" s="7">
        <f>IF($X411="","",S411+P411)</f>
        <v/>
      </c>
      <c r="U411" s="7">
        <f>IF($X411="","",V411-T411)</f>
        <v/>
      </c>
      <c r="V411" s="7">
        <f>IF($X411="","",O411+R411+M411)</f>
        <v/>
      </c>
      <c r="W411" s="7">
        <f>IF($X411="","",V411-T411-K411)</f>
        <v/>
      </c>
      <c r="X411" s="13">
        <f>IF(ROWS($X$2:$X411)&lt;=MAX('Per Line'!$AL$2:$AL$1501),MATCH(ROWS($X$2:$X411),'Per Line'!$AL$2:$AL$1501,0),"")</f>
        <v/>
      </c>
    </row>
    <row r="412">
      <c r="A412">
        <f>IF($X412="","",INDEX('Per Line'!$C$2:$C$1501,$X412)&amp;"")</f>
        <v/>
      </c>
      <c r="B412" s="12" t="n"/>
      <c r="C412">
        <f>IF($X412="","",INDEX('Per Line'!$D$2:$D$1501,$X412)&amp;"")</f>
        <v/>
      </c>
      <c r="D412">
        <f>IF($X412="","",INDEX('Per Line'!$A$2:$A$1501,$X412))</f>
        <v/>
      </c>
      <c r="E412">
        <f>IF($X412="","",INDEX('Per Line'!$G$2:$G$1501,$X412)&amp;"")</f>
        <v/>
      </c>
      <c r="F412" s="11">
        <f>IF($X412="","",INDEX('Per Line'!$F$2:$F$1501,$X412))</f>
        <v/>
      </c>
      <c r="G412">
        <f>IF($X412="","",INDEX('Per Line'!$I$2:$I$1501,$X412)&amp;"")</f>
        <v/>
      </c>
      <c r="H412">
        <f>IF($X412="","",INDEX('Per Line'!$J$2:$J$1501,$X412)&amp;"")</f>
        <v/>
      </c>
      <c r="I412">
        <f>IF($X412="","",INDEX('Per Line'!$K$2:$K$1501,$X412)&amp;"")</f>
        <v/>
      </c>
      <c r="J412">
        <f>IF($X412="","",INDEX('Per Line'!$M$2:$M$1501,$X412))</f>
        <v/>
      </c>
      <c r="K412" s="7">
        <f>IF($X412="","",J412*V412/100)</f>
        <v/>
      </c>
      <c r="L412">
        <f>IF($X412="","",INDEX('Per Line'!$Y$2:$Y$1501,$X412)&amp;"")</f>
        <v/>
      </c>
      <c r="M412" s="7">
        <f>IF($X412="","",SUMIFS('Per Line'!$U$2:$U$1501,'Per Line'!$AJ$2:$AJ$1501,$A412&amp;"|"&amp;$C412,'Per Line'!$AN$2:$AN$1501,1))</f>
        <v/>
      </c>
      <c r="N412">
        <f>IF($X412="","",Settings!$C$7)</f>
        <v/>
      </c>
      <c r="O412" s="7">
        <f>IF($X412="","",SUMIFS('Per Line'!$U$2:$U$1501,'Per Line'!$AJ$2:$AJ$1501,$A412&amp;"|"&amp;$C412,'Per Line'!$AM$2:$AM$1501,0,'Per Line'!$AN$2:$AN$1501,0))</f>
        <v/>
      </c>
      <c r="P412" s="7">
        <f>IF($X412="","",O412*N412)</f>
        <v/>
      </c>
      <c r="Q412">
        <f>IF($X412="","",Settings!$C$6)</f>
        <v/>
      </c>
      <c r="R412" s="7">
        <f>IF($X412="","",SUMIFS('Per Line'!$U$2:$U$1501,'Per Line'!$AJ$2:$AJ$1501,$A412&amp;"|"&amp;$C412,'Per Line'!$AM$2:$AM$1501,1,'Per Line'!$AN$2:$AN$1501,0))</f>
        <v/>
      </c>
      <c r="S412" s="7">
        <f>IF($X412="","",R412*Q412)</f>
        <v/>
      </c>
      <c r="T412" s="7">
        <f>IF($X412="","",S412+P412)</f>
        <v/>
      </c>
      <c r="U412" s="7">
        <f>IF($X412="","",V412-T412)</f>
        <v/>
      </c>
      <c r="V412" s="7">
        <f>IF($X412="","",O412+R412+M412)</f>
        <v/>
      </c>
      <c r="W412" s="7">
        <f>IF($X412="","",V412-T412-K412)</f>
        <v/>
      </c>
      <c r="X412" s="13">
        <f>IF(ROWS($X$2:$X412)&lt;=MAX('Per Line'!$AL$2:$AL$1501),MATCH(ROWS($X$2:$X412),'Per Line'!$AL$2:$AL$1501,0),"")</f>
        <v/>
      </c>
    </row>
    <row r="413">
      <c r="A413">
        <f>IF($X413="","",INDEX('Per Line'!$C$2:$C$1501,$X413)&amp;"")</f>
        <v/>
      </c>
      <c r="B413" s="12" t="n"/>
      <c r="C413">
        <f>IF($X413="","",INDEX('Per Line'!$D$2:$D$1501,$X413)&amp;"")</f>
        <v/>
      </c>
      <c r="D413">
        <f>IF($X413="","",INDEX('Per Line'!$A$2:$A$1501,$X413))</f>
        <v/>
      </c>
      <c r="E413">
        <f>IF($X413="","",INDEX('Per Line'!$G$2:$G$1501,$X413)&amp;"")</f>
        <v/>
      </c>
      <c r="F413" s="11">
        <f>IF($X413="","",INDEX('Per Line'!$F$2:$F$1501,$X413))</f>
        <v/>
      </c>
      <c r="G413">
        <f>IF($X413="","",INDEX('Per Line'!$I$2:$I$1501,$X413)&amp;"")</f>
        <v/>
      </c>
      <c r="H413">
        <f>IF($X413="","",INDEX('Per Line'!$J$2:$J$1501,$X413)&amp;"")</f>
        <v/>
      </c>
      <c r="I413">
        <f>IF($X413="","",INDEX('Per Line'!$K$2:$K$1501,$X413)&amp;"")</f>
        <v/>
      </c>
      <c r="J413">
        <f>IF($X413="","",INDEX('Per Line'!$M$2:$M$1501,$X413))</f>
        <v/>
      </c>
      <c r="K413" s="7">
        <f>IF($X413="","",J413*V413/100)</f>
        <v/>
      </c>
      <c r="L413">
        <f>IF($X413="","",INDEX('Per Line'!$Y$2:$Y$1501,$X413)&amp;"")</f>
        <v/>
      </c>
      <c r="M413" s="7">
        <f>IF($X413="","",SUMIFS('Per Line'!$U$2:$U$1501,'Per Line'!$AJ$2:$AJ$1501,$A413&amp;"|"&amp;$C413,'Per Line'!$AN$2:$AN$1501,1))</f>
        <v/>
      </c>
      <c r="N413">
        <f>IF($X413="","",Settings!$C$7)</f>
        <v/>
      </c>
      <c r="O413" s="7">
        <f>IF($X413="","",SUMIFS('Per Line'!$U$2:$U$1501,'Per Line'!$AJ$2:$AJ$1501,$A413&amp;"|"&amp;$C413,'Per Line'!$AM$2:$AM$1501,0,'Per Line'!$AN$2:$AN$1501,0))</f>
        <v/>
      </c>
      <c r="P413" s="7">
        <f>IF($X413="","",O413*N413)</f>
        <v/>
      </c>
      <c r="Q413">
        <f>IF($X413="","",Settings!$C$6)</f>
        <v/>
      </c>
      <c r="R413" s="7">
        <f>IF($X413="","",SUMIFS('Per Line'!$U$2:$U$1501,'Per Line'!$AJ$2:$AJ$1501,$A413&amp;"|"&amp;$C413,'Per Line'!$AM$2:$AM$1501,1,'Per Line'!$AN$2:$AN$1501,0))</f>
        <v/>
      </c>
      <c r="S413" s="7">
        <f>IF($X413="","",R413*Q413)</f>
        <v/>
      </c>
      <c r="T413" s="7">
        <f>IF($X413="","",S413+P413)</f>
        <v/>
      </c>
      <c r="U413" s="7">
        <f>IF($X413="","",V413-T413)</f>
        <v/>
      </c>
      <c r="V413" s="7">
        <f>IF($X413="","",O413+R413+M413)</f>
        <v/>
      </c>
      <c r="W413" s="7">
        <f>IF($X413="","",V413-T413-K413)</f>
        <v/>
      </c>
      <c r="X413" s="13">
        <f>IF(ROWS($X$2:$X413)&lt;=MAX('Per Line'!$AL$2:$AL$1501),MATCH(ROWS($X$2:$X413),'Per Line'!$AL$2:$AL$1501,0),"")</f>
        <v/>
      </c>
    </row>
    <row r="414">
      <c r="A414">
        <f>IF($X414="","",INDEX('Per Line'!$C$2:$C$1501,$X414)&amp;"")</f>
        <v/>
      </c>
      <c r="B414" s="12" t="n"/>
      <c r="C414">
        <f>IF($X414="","",INDEX('Per Line'!$D$2:$D$1501,$X414)&amp;"")</f>
        <v/>
      </c>
      <c r="D414">
        <f>IF($X414="","",INDEX('Per Line'!$A$2:$A$1501,$X414))</f>
        <v/>
      </c>
      <c r="E414">
        <f>IF($X414="","",INDEX('Per Line'!$G$2:$G$1501,$X414)&amp;"")</f>
        <v/>
      </c>
      <c r="F414" s="11">
        <f>IF($X414="","",INDEX('Per Line'!$F$2:$F$1501,$X414))</f>
        <v/>
      </c>
      <c r="G414">
        <f>IF($X414="","",INDEX('Per Line'!$I$2:$I$1501,$X414)&amp;"")</f>
        <v/>
      </c>
      <c r="H414">
        <f>IF($X414="","",INDEX('Per Line'!$J$2:$J$1501,$X414)&amp;"")</f>
        <v/>
      </c>
      <c r="I414">
        <f>IF($X414="","",INDEX('Per Line'!$K$2:$K$1501,$X414)&amp;"")</f>
        <v/>
      </c>
      <c r="J414">
        <f>IF($X414="","",INDEX('Per Line'!$M$2:$M$1501,$X414))</f>
        <v/>
      </c>
      <c r="K414" s="7">
        <f>IF($X414="","",J414*V414/100)</f>
        <v/>
      </c>
      <c r="L414">
        <f>IF($X414="","",INDEX('Per Line'!$Y$2:$Y$1501,$X414)&amp;"")</f>
        <v/>
      </c>
      <c r="M414" s="7">
        <f>IF($X414="","",SUMIFS('Per Line'!$U$2:$U$1501,'Per Line'!$AJ$2:$AJ$1501,$A414&amp;"|"&amp;$C414,'Per Line'!$AN$2:$AN$1501,1))</f>
        <v/>
      </c>
      <c r="N414">
        <f>IF($X414="","",Settings!$C$7)</f>
        <v/>
      </c>
      <c r="O414" s="7">
        <f>IF($X414="","",SUMIFS('Per Line'!$U$2:$U$1501,'Per Line'!$AJ$2:$AJ$1501,$A414&amp;"|"&amp;$C414,'Per Line'!$AM$2:$AM$1501,0,'Per Line'!$AN$2:$AN$1501,0))</f>
        <v/>
      </c>
      <c r="P414" s="7">
        <f>IF($X414="","",O414*N414)</f>
        <v/>
      </c>
      <c r="Q414">
        <f>IF($X414="","",Settings!$C$6)</f>
        <v/>
      </c>
      <c r="R414" s="7">
        <f>IF($X414="","",SUMIFS('Per Line'!$U$2:$U$1501,'Per Line'!$AJ$2:$AJ$1501,$A414&amp;"|"&amp;$C414,'Per Line'!$AM$2:$AM$1501,1,'Per Line'!$AN$2:$AN$1501,0))</f>
        <v/>
      </c>
      <c r="S414" s="7">
        <f>IF($X414="","",R414*Q414)</f>
        <v/>
      </c>
      <c r="T414" s="7">
        <f>IF($X414="","",S414+P414)</f>
        <v/>
      </c>
      <c r="U414" s="7">
        <f>IF($X414="","",V414-T414)</f>
        <v/>
      </c>
      <c r="V414" s="7">
        <f>IF($X414="","",O414+R414+M414)</f>
        <v/>
      </c>
      <c r="W414" s="7">
        <f>IF($X414="","",V414-T414-K414)</f>
        <v/>
      </c>
      <c r="X414" s="13">
        <f>IF(ROWS($X$2:$X414)&lt;=MAX('Per Line'!$AL$2:$AL$1501),MATCH(ROWS($X$2:$X414),'Per Line'!$AL$2:$AL$1501,0),"")</f>
        <v/>
      </c>
    </row>
    <row r="415">
      <c r="A415">
        <f>IF($X415="","",INDEX('Per Line'!$C$2:$C$1501,$X415)&amp;"")</f>
        <v/>
      </c>
      <c r="B415" s="12" t="n"/>
      <c r="C415">
        <f>IF($X415="","",INDEX('Per Line'!$D$2:$D$1501,$X415)&amp;"")</f>
        <v/>
      </c>
      <c r="D415">
        <f>IF($X415="","",INDEX('Per Line'!$A$2:$A$1501,$X415))</f>
        <v/>
      </c>
      <c r="E415">
        <f>IF($X415="","",INDEX('Per Line'!$G$2:$G$1501,$X415)&amp;"")</f>
        <v/>
      </c>
      <c r="F415" s="11">
        <f>IF($X415="","",INDEX('Per Line'!$F$2:$F$1501,$X415))</f>
        <v/>
      </c>
      <c r="G415">
        <f>IF($X415="","",INDEX('Per Line'!$I$2:$I$1501,$X415)&amp;"")</f>
        <v/>
      </c>
      <c r="H415">
        <f>IF($X415="","",INDEX('Per Line'!$J$2:$J$1501,$X415)&amp;"")</f>
        <v/>
      </c>
      <c r="I415">
        <f>IF($X415="","",INDEX('Per Line'!$K$2:$K$1501,$X415)&amp;"")</f>
        <v/>
      </c>
      <c r="J415">
        <f>IF($X415="","",INDEX('Per Line'!$M$2:$M$1501,$X415))</f>
        <v/>
      </c>
      <c r="K415" s="7">
        <f>IF($X415="","",J415*V415/100)</f>
        <v/>
      </c>
      <c r="L415">
        <f>IF($X415="","",INDEX('Per Line'!$Y$2:$Y$1501,$X415)&amp;"")</f>
        <v/>
      </c>
      <c r="M415" s="7">
        <f>IF($X415="","",SUMIFS('Per Line'!$U$2:$U$1501,'Per Line'!$AJ$2:$AJ$1501,$A415&amp;"|"&amp;$C415,'Per Line'!$AN$2:$AN$1501,1))</f>
        <v/>
      </c>
      <c r="N415">
        <f>IF($X415="","",Settings!$C$7)</f>
        <v/>
      </c>
      <c r="O415" s="7">
        <f>IF($X415="","",SUMIFS('Per Line'!$U$2:$U$1501,'Per Line'!$AJ$2:$AJ$1501,$A415&amp;"|"&amp;$C415,'Per Line'!$AM$2:$AM$1501,0,'Per Line'!$AN$2:$AN$1501,0))</f>
        <v/>
      </c>
      <c r="P415" s="7">
        <f>IF($X415="","",O415*N415)</f>
        <v/>
      </c>
      <c r="Q415">
        <f>IF($X415="","",Settings!$C$6)</f>
        <v/>
      </c>
      <c r="R415" s="7">
        <f>IF($X415="","",SUMIFS('Per Line'!$U$2:$U$1501,'Per Line'!$AJ$2:$AJ$1501,$A415&amp;"|"&amp;$C415,'Per Line'!$AM$2:$AM$1501,1,'Per Line'!$AN$2:$AN$1501,0))</f>
        <v/>
      </c>
      <c r="S415" s="7">
        <f>IF($X415="","",R415*Q415)</f>
        <v/>
      </c>
      <c r="T415" s="7">
        <f>IF($X415="","",S415+P415)</f>
        <v/>
      </c>
      <c r="U415" s="7">
        <f>IF($X415="","",V415-T415)</f>
        <v/>
      </c>
      <c r="V415" s="7">
        <f>IF($X415="","",O415+R415+M415)</f>
        <v/>
      </c>
      <c r="W415" s="7">
        <f>IF($X415="","",V415-T415-K415)</f>
        <v/>
      </c>
      <c r="X415" s="13">
        <f>IF(ROWS($X$2:$X415)&lt;=MAX('Per Line'!$AL$2:$AL$1501),MATCH(ROWS($X$2:$X415),'Per Line'!$AL$2:$AL$1501,0),"")</f>
        <v/>
      </c>
    </row>
    <row r="416">
      <c r="A416">
        <f>IF($X416="","",INDEX('Per Line'!$C$2:$C$1501,$X416)&amp;"")</f>
        <v/>
      </c>
      <c r="B416" s="12" t="n"/>
      <c r="C416">
        <f>IF($X416="","",INDEX('Per Line'!$D$2:$D$1501,$X416)&amp;"")</f>
        <v/>
      </c>
      <c r="D416">
        <f>IF($X416="","",INDEX('Per Line'!$A$2:$A$1501,$X416))</f>
        <v/>
      </c>
      <c r="E416">
        <f>IF($X416="","",INDEX('Per Line'!$G$2:$G$1501,$X416)&amp;"")</f>
        <v/>
      </c>
      <c r="F416" s="11">
        <f>IF($X416="","",INDEX('Per Line'!$F$2:$F$1501,$X416))</f>
        <v/>
      </c>
      <c r="G416">
        <f>IF($X416="","",INDEX('Per Line'!$I$2:$I$1501,$X416)&amp;"")</f>
        <v/>
      </c>
      <c r="H416">
        <f>IF($X416="","",INDEX('Per Line'!$J$2:$J$1501,$X416)&amp;"")</f>
        <v/>
      </c>
      <c r="I416">
        <f>IF($X416="","",INDEX('Per Line'!$K$2:$K$1501,$X416)&amp;"")</f>
        <v/>
      </c>
      <c r="J416">
        <f>IF($X416="","",INDEX('Per Line'!$M$2:$M$1501,$X416))</f>
        <v/>
      </c>
      <c r="K416" s="7">
        <f>IF($X416="","",J416*V416/100)</f>
        <v/>
      </c>
      <c r="L416">
        <f>IF($X416="","",INDEX('Per Line'!$Y$2:$Y$1501,$X416)&amp;"")</f>
        <v/>
      </c>
      <c r="M416" s="7">
        <f>IF($X416="","",SUMIFS('Per Line'!$U$2:$U$1501,'Per Line'!$AJ$2:$AJ$1501,$A416&amp;"|"&amp;$C416,'Per Line'!$AN$2:$AN$1501,1))</f>
        <v/>
      </c>
      <c r="N416">
        <f>IF($X416="","",Settings!$C$7)</f>
        <v/>
      </c>
      <c r="O416" s="7">
        <f>IF($X416="","",SUMIFS('Per Line'!$U$2:$U$1501,'Per Line'!$AJ$2:$AJ$1501,$A416&amp;"|"&amp;$C416,'Per Line'!$AM$2:$AM$1501,0,'Per Line'!$AN$2:$AN$1501,0))</f>
        <v/>
      </c>
      <c r="P416" s="7">
        <f>IF($X416="","",O416*N416)</f>
        <v/>
      </c>
      <c r="Q416">
        <f>IF($X416="","",Settings!$C$6)</f>
        <v/>
      </c>
      <c r="R416" s="7">
        <f>IF($X416="","",SUMIFS('Per Line'!$U$2:$U$1501,'Per Line'!$AJ$2:$AJ$1501,$A416&amp;"|"&amp;$C416,'Per Line'!$AM$2:$AM$1501,1,'Per Line'!$AN$2:$AN$1501,0))</f>
        <v/>
      </c>
      <c r="S416" s="7">
        <f>IF($X416="","",R416*Q416)</f>
        <v/>
      </c>
      <c r="T416" s="7">
        <f>IF($X416="","",S416+P416)</f>
        <v/>
      </c>
      <c r="U416" s="7">
        <f>IF($X416="","",V416-T416)</f>
        <v/>
      </c>
      <c r="V416" s="7">
        <f>IF($X416="","",O416+R416+M416)</f>
        <v/>
      </c>
      <c r="W416" s="7">
        <f>IF($X416="","",V416-T416-K416)</f>
        <v/>
      </c>
      <c r="X416" s="13">
        <f>IF(ROWS($X$2:$X416)&lt;=MAX('Per Line'!$AL$2:$AL$1501),MATCH(ROWS($X$2:$X416),'Per Line'!$AL$2:$AL$1501,0),"")</f>
        <v/>
      </c>
    </row>
    <row r="417">
      <c r="A417">
        <f>IF($X417="","",INDEX('Per Line'!$C$2:$C$1501,$X417)&amp;"")</f>
        <v/>
      </c>
      <c r="B417" s="12" t="n"/>
      <c r="C417">
        <f>IF($X417="","",INDEX('Per Line'!$D$2:$D$1501,$X417)&amp;"")</f>
        <v/>
      </c>
      <c r="D417">
        <f>IF($X417="","",INDEX('Per Line'!$A$2:$A$1501,$X417))</f>
        <v/>
      </c>
      <c r="E417">
        <f>IF($X417="","",INDEX('Per Line'!$G$2:$G$1501,$X417)&amp;"")</f>
        <v/>
      </c>
      <c r="F417" s="11">
        <f>IF($X417="","",INDEX('Per Line'!$F$2:$F$1501,$X417))</f>
        <v/>
      </c>
      <c r="G417">
        <f>IF($X417="","",INDEX('Per Line'!$I$2:$I$1501,$X417)&amp;"")</f>
        <v/>
      </c>
      <c r="H417">
        <f>IF($X417="","",INDEX('Per Line'!$J$2:$J$1501,$X417)&amp;"")</f>
        <v/>
      </c>
      <c r="I417">
        <f>IF($X417="","",INDEX('Per Line'!$K$2:$K$1501,$X417)&amp;"")</f>
        <v/>
      </c>
      <c r="J417">
        <f>IF($X417="","",INDEX('Per Line'!$M$2:$M$1501,$X417))</f>
        <v/>
      </c>
      <c r="K417" s="7">
        <f>IF($X417="","",J417*V417/100)</f>
        <v/>
      </c>
      <c r="L417">
        <f>IF($X417="","",INDEX('Per Line'!$Y$2:$Y$1501,$X417)&amp;"")</f>
        <v/>
      </c>
      <c r="M417" s="7">
        <f>IF($X417="","",SUMIFS('Per Line'!$U$2:$U$1501,'Per Line'!$AJ$2:$AJ$1501,$A417&amp;"|"&amp;$C417,'Per Line'!$AN$2:$AN$1501,1))</f>
        <v/>
      </c>
      <c r="N417">
        <f>IF($X417="","",Settings!$C$7)</f>
        <v/>
      </c>
      <c r="O417" s="7">
        <f>IF($X417="","",SUMIFS('Per Line'!$U$2:$U$1501,'Per Line'!$AJ$2:$AJ$1501,$A417&amp;"|"&amp;$C417,'Per Line'!$AM$2:$AM$1501,0,'Per Line'!$AN$2:$AN$1501,0))</f>
        <v/>
      </c>
      <c r="P417" s="7">
        <f>IF($X417="","",O417*N417)</f>
        <v/>
      </c>
      <c r="Q417">
        <f>IF($X417="","",Settings!$C$6)</f>
        <v/>
      </c>
      <c r="R417" s="7">
        <f>IF($X417="","",SUMIFS('Per Line'!$U$2:$U$1501,'Per Line'!$AJ$2:$AJ$1501,$A417&amp;"|"&amp;$C417,'Per Line'!$AM$2:$AM$1501,1,'Per Line'!$AN$2:$AN$1501,0))</f>
        <v/>
      </c>
      <c r="S417" s="7">
        <f>IF($X417="","",R417*Q417)</f>
        <v/>
      </c>
      <c r="T417" s="7">
        <f>IF($X417="","",S417+P417)</f>
        <v/>
      </c>
      <c r="U417" s="7">
        <f>IF($X417="","",V417-T417)</f>
        <v/>
      </c>
      <c r="V417" s="7">
        <f>IF($X417="","",O417+R417+M417)</f>
        <v/>
      </c>
      <c r="W417" s="7">
        <f>IF($X417="","",V417-T417-K417)</f>
        <v/>
      </c>
      <c r="X417" s="13">
        <f>IF(ROWS($X$2:$X417)&lt;=MAX('Per Line'!$AL$2:$AL$1501),MATCH(ROWS($X$2:$X417),'Per Line'!$AL$2:$AL$1501,0),"")</f>
        <v/>
      </c>
    </row>
    <row r="418">
      <c r="A418">
        <f>IF($X418="","",INDEX('Per Line'!$C$2:$C$1501,$X418)&amp;"")</f>
        <v/>
      </c>
      <c r="B418" s="12" t="n"/>
      <c r="C418">
        <f>IF($X418="","",INDEX('Per Line'!$D$2:$D$1501,$X418)&amp;"")</f>
        <v/>
      </c>
      <c r="D418">
        <f>IF($X418="","",INDEX('Per Line'!$A$2:$A$1501,$X418))</f>
        <v/>
      </c>
      <c r="E418">
        <f>IF($X418="","",INDEX('Per Line'!$G$2:$G$1501,$X418)&amp;"")</f>
        <v/>
      </c>
      <c r="F418" s="11">
        <f>IF($X418="","",INDEX('Per Line'!$F$2:$F$1501,$X418))</f>
        <v/>
      </c>
      <c r="G418">
        <f>IF($X418="","",INDEX('Per Line'!$I$2:$I$1501,$X418)&amp;"")</f>
        <v/>
      </c>
      <c r="H418">
        <f>IF($X418="","",INDEX('Per Line'!$J$2:$J$1501,$X418)&amp;"")</f>
        <v/>
      </c>
      <c r="I418">
        <f>IF($X418="","",INDEX('Per Line'!$K$2:$K$1501,$X418)&amp;"")</f>
        <v/>
      </c>
      <c r="J418">
        <f>IF($X418="","",INDEX('Per Line'!$M$2:$M$1501,$X418))</f>
        <v/>
      </c>
      <c r="K418" s="7">
        <f>IF($X418="","",J418*V418/100)</f>
        <v/>
      </c>
      <c r="L418">
        <f>IF($X418="","",INDEX('Per Line'!$Y$2:$Y$1501,$X418)&amp;"")</f>
        <v/>
      </c>
      <c r="M418" s="7">
        <f>IF($X418="","",SUMIFS('Per Line'!$U$2:$U$1501,'Per Line'!$AJ$2:$AJ$1501,$A418&amp;"|"&amp;$C418,'Per Line'!$AN$2:$AN$1501,1))</f>
        <v/>
      </c>
      <c r="N418">
        <f>IF($X418="","",Settings!$C$7)</f>
        <v/>
      </c>
      <c r="O418" s="7">
        <f>IF($X418="","",SUMIFS('Per Line'!$U$2:$U$1501,'Per Line'!$AJ$2:$AJ$1501,$A418&amp;"|"&amp;$C418,'Per Line'!$AM$2:$AM$1501,0,'Per Line'!$AN$2:$AN$1501,0))</f>
        <v/>
      </c>
      <c r="P418" s="7">
        <f>IF($X418="","",O418*N418)</f>
        <v/>
      </c>
      <c r="Q418">
        <f>IF($X418="","",Settings!$C$6)</f>
        <v/>
      </c>
      <c r="R418" s="7">
        <f>IF($X418="","",SUMIFS('Per Line'!$U$2:$U$1501,'Per Line'!$AJ$2:$AJ$1501,$A418&amp;"|"&amp;$C418,'Per Line'!$AM$2:$AM$1501,1,'Per Line'!$AN$2:$AN$1501,0))</f>
        <v/>
      </c>
      <c r="S418" s="7">
        <f>IF($X418="","",R418*Q418)</f>
        <v/>
      </c>
      <c r="T418" s="7">
        <f>IF($X418="","",S418+P418)</f>
        <v/>
      </c>
      <c r="U418" s="7">
        <f>IF($X418="","",V418-T418)</f>
        <v/>
      </c>
      <c r="V418" s="7">
        <f>IF($X418="","",O418+R418+M418)</f>
        <v/>
      </c>
      <c r="W418" s="7">
        <f>IF($X418="","",V418-T418-K418)</f>
        <v/>
      </c>
      <c r="X418" s="13">
        <f>IF(ROWS($X$2:$X418)&lt;=MAX('Per Line'!$AL$2:$AL$1501),MATCH(ROWS($X$2:$X418),'Per Line'!$AL$2:$AL$1501,0),"")</f>
        <v/>
      </c>
    </row>
    <row r="419">
      <c r="A419">
        <f>IF($X419="","",INDEX('Per Line'!$C$2:$C$1501,$X419)&amp;"")</f>
        <v/>
      </c>
      <c r="B419" s="12" t="n"/>
      <c r="C419">
        <f>IF($X419="","",INDEX('Per Line'!$D$2:$D$1501,$X419)&amp;"")</f>
        <v/>
      </c>
      <c r="D419">
        <f>IF($X419="","",INDEX('Per Line'!$A$2:$A$1501,$X419))</f>
        <v/>
      </c>
      <c r="E419">
        <f>IF($X419="","",INDEX('Per Line'!$G$2:$G$1501,$X419)&amp;"")</f>
        <v/>
      </c>
      <c r="F419" s="11">
        <f>IF($X419="","",INDEX('Per Line'!$F$2:$F$1501,$X419))</f>
        <v/>
      </c>
      <c r="G419">
        <f>IF($X419="","",INDEX('Per Line'!$I$2:$I$1501,$X419)&amp;"")</f>
        <v/>
      </c>
      <c r="H419">
        <f>IF($X419="","",INDEX('Per Line'!$J$2:$J$1501,$X419)&amp;"")</f>
        <v/>
      </c>
      <c r="I419">
        <f>IF($X419="","",INDEX('Per Line'!$K$2:$K$1501,$X419)&amp;"")</f>
        <v/>
      </c>
      <c r="J419">
        <f>IF($X419="","",INDEX('Per Line'!$M$2:$M$1501,$X419))</f>
        <v/>
      </c>
      <c r="K419" s="7">
        <f>IF($X419="","",J419*V419/100)</f>
        <v/>
      </c>
      <c r="L419">
        <f>IF($X419="","",INDEX('Per Line'!$Y$2:$Y$1501,$X419)&amp;"")</f>
        <v/>
      </c>
      <c r="M419" s="7">
        <f>IF($X419="","",SUMIFS('Per Line'!$U$2:$U$1501,'Per Line'!$AJ$2:$AJ$1501,$A419&amp;"|"&amp;$C419,'Per Line'!$AN$2:$AN$1501,1))</f>
        <v/>
      </c>
      <c r="N419">
        <f>IF($X419="","",Settings!$C$7)</f>
        <v/>
      </c>
      <c r="O419" s="7">
        <f>IF($X419="","",SUMIFS('Per Line'!$U$2:$U$1501,'Per Line'!$AJ$2:$AJ$1501,$A419&amp;"|"&amp;$C419,'Per Line'!$AM$2:$AM$1501,0,'Per Line'!$AN$2:$AN$1501,0))</f>
        <v/>
      </c>
      <c r="P419" s="7">
        <f>IF($X419="","",O419*N419)</f>
        <v/>
      </c>
      <c r="Q419">
        <f>IF($X419="","",Settings!$C$6)</f>
        <v/>
      </c>
      <c r="R419" s="7">
        <f>IF($X419="","",SUMIFS('Per Line'!$U$2:$U$1501,'Per Line'!$AJ$2:$AJ$1501,$A419&amp;"|"&amp;$C419,'Per Line'!$AM$2:$AM$1501,1,'Per Line'!$AN$2:$AN$1501,0))</f>
        <v/>
      </c>
      <c r="S419" s="7">
        <f>IF($X419="","",R419*Q419)</f>
        <v/>
      </c>
      <c r="T419" s="7">
        <f>IF($X419="","",S419+P419)</f>
        <v/>
      </c>
      <c r="U419" s="7">
        <f>IF($X419="","",V419-T419)</f>
        <v/>
      </c>
      <c r="V419" s="7">
        <f>IF($X419="","",O419+R419+M419)</f>
        <v/>
      </c>
      <c r="W419" s="7">
        <f>IF($X419="","",V419-T419-K419)</f>
        <v/>
      </c>
      <c r="X419" s="13">
        <f>IF(ROWS($X$2:$X419)&lt;=MAX('Per Line'!$AL$2:$AL$1501),MATCH(ROWS($X$2:$X419),'Per Line'!$AL$2:$AL$1501,0),"")</f>
        <v/>
      </c>
    </row>
    <row r="420">
      <c r="A420">
        <f>IF($X420="","",INDEX('Per Line'!$C$2:$C$1501,$X420)&amp;"")</f>
        <v/>
      </c>
      <c r="B420" s="12" t="n"/>
      <c r="C420">
        <f>IF($X420="","",INDEX('Per Line'!$D$2:$D$1501,$X420)&amp;"")</f>
        <v/>
      </c>
      <c r="D420">
        <f>IF($X420="","",INDEX('Per Line'!$A$2:$A$1501,$X420))</f>
        <v/>
      </c>
      <c r="E420">
        <f>IF($X420="","",INDEX('Per Line'!$G$2:$G$1501,$X420)&amp;"")</f>
        <v/>
      </c>
      <c r="F420" s="11">
        <f>IF($X420="","",INDEX('Per Line'!$F$2:$F$1501,$X420))</f>
        <v/>
      </c>
      <c r="G420">
        <f>IF($X420="","",INDEX('Per Line'!$I$2:$I$1501,$X420)&amp;"")</f>
        <v/>
      </c>
      <c r="H420">
        <f>IF($X420="","",INDEX('Per Line'!$J$2:$J$1501,$X420)&amp;"")</f>
        <v/>
      </c>
      <c r="I420">
        <f>IF($X420="","",INDEX('Per Line'!$K$2:$K$1501,$X420)&amp;"")</f>
        <v/>
      </c>
      <c r="J420">
        <f>IF($X420="","",INDEX('Per Line'!$M$2:$M$1501,$X420))</f>
        <v/>
      </c>
      <c r="K420" s="7">
        <f>IF($X420="","",J420*V420/100)</f>
        <v/>
      </c>
      <c r="L420">
        <f>IF($X420="","",INDEX('Per Line'!$Y$2:$Y$1501,$X420)&amp;"")</f>
        <v/>
      </c>
      <c r="M420" s="7">
        <f>IF($X420="","",SUMIFS('Per Line'!$U$2:$U$1501,'Per Line'!$AJ$2:$AJ$1501,$A420&amp;"|"&amp;$C420,'Per Line'!$AN$2:$AN$1501,1))</f>
        <v/>
      </c>
      <c r="N420">
        <f>IF($X420="","",Settings!$C$7)</f>
        <v/>
      </c>
      <c r="O420" s="7">
        <f>IF($X420="","",SUMIFS('Per Line'!$U$2:$U$1501,'Per Line'!$AJ$2:$AJ$1501,$A420&amp;"|"&amp;$C420,'Per Line'!$AM$2:$AM$1501,0,'Per Line'!$AN$2:$AN$1501,0))</f>
        <v/>
      </c>
      <c r="P420" s="7">
        <f>IF($X420="","",O420*N420)</f>
        <v/>
      </c>
      <c r="Q420">
        <f>IF($X420="","",Settings!$C$6)</f>
        <v/>
      </c>
      <c r="R420" s="7">
        <f>IF($X420="","",SUMIFS('Per Line'!$U$2:$U$1501,'Per Line'!$AJ$2:$AJ$1501,$A420&amp;"|"&amp;$C420,'Per Line'!$AM$2:$AM$1501,1,'Per Line'!$AN$2:$AN$1501,0))</f>
        <v/>
      </c>
      <c r="S420" s="7">
        <f>IF($X420="","",R420*Q420)</f>
        <v/>
      </c>
      <c r="T420" s="7">
        <f>IF($X420="","",S420+P420)</f>
        <v/>
      </c>
      <c r="U420" s="7">
        <f>IF($X420="","",V420-T420)</f>
        <v/>
      </c>
      <c r="V420" s="7">
        <f>IF($X420="","",O420+R420+M420)</f>
        <v/>
      </c>
      <c r="W420" s="7">
        <f>IF($X420="","",V420-T420-K420)</f>
        <v/>
      </c>
      <c r="X420" s="13">
        <f>IF(ROWS($X$2:$X420)&lt;=MAX('Per Line'!$AL$2:$AL$1501),MATCH(ROWS($X$2:$X420),'Per Line'!$AL$2:$AL$1501,0),"")</f>
        <v/>
      </c>
    </row>
    <row r="421">
      <c r="A421">
        <f>IF($X421="","",INDEX('Per Line'!$C$2:$C$1501,$X421)&amp;"")</f>
        <v/>
      </c>
      <c r="B421" s="12" t="n"/>
      <c r="C421">
        <f>IF($X421="","",INDEX('Per Line'!$D$2:$D$1501,$X421)&amp;"")</f>
        <v/>
      </c>
      <c r="D421">
        <f>IF($X421="","",INDEX('Per Line'!$A$2:$A$1501,$X421))</f>
        <v/>
      </c>
      <c r="E421">
        <f>IF($X421="","",INDEX('Per Line'!$G$2:$G$1501,$X421)&amp;"")</f>
        <v/>
      </c>
      <c r="F421" s="11">
        <f>IF($X421="","",INDEX('Per Line'!$F$2:$F$1501,$X421))</f>
        <v/>
      </c>
      <c r="G421">
        <f>IF($X421="","",INDEX('Per Line'!$I$2:$I$1501,$X421)&amp;"")</f>
        <v/>
      </c>
      <c r="H421">
        <f>IF($X421="","",INDEX('Per Line'!$J$2:$J$1501,$X421)&amp;"")</f>
        <v/>
      </c>
      <c r="I421">
        <f>IF($X421="","",INDEX('Per Line'!$K$2:$K$1501,$X421)&amp;"")</f>
        <v/>
      </c>
      <c r="J421">
        <f>IF($X421="","",INDEX('Per Line'!$M$2:$M$1501,$X421))</f>
        <v/>
      </c>
      <c r="K421" s="7">
        <f>IF($X421="","",J421*V421/100)</f>
        <v/>
      </c>
      <c r="L421">
        <f>IF($X421="","",INDEX('Per Line'!$Y$2:$Y$1501,$X421)&amp;"")</f>
        <v/>
      </c>
      <c r="M421" s="7">
        <f>IF($X421="","",SUMIFS('Per Line'!$U$2:$U$1501,'Per Line'!$AJ$2:$AJ$1501,$A421&amp;"|"&amp;$C421,'Per Line'!$AN$2:$AN$1501,1))</f>
        <v/>
      </c>
      <c r="N421">
        <f>IF($X421="","",Settings!$C$7)</f>
        <v/>
      </c>
      <c r="O421" s="7">
        <f>IF($X421="","",SUMIFS('Per Line'!$U$2:$U$1501,'Per Line'!$AJ$2:$AJ$1501,$A421&amp;"|"&amp;$C421,'Per Line'!$AM$2:$AM$1501,0,'Per Line'!$AN$2:$AN$1501,0))</f>
        <v/>
      </c>
      <c r="P421" s="7">
        <f>IF($X421="","",O421*N421)</f>
        <v/>
      </c>
      <c r="Q421">
        <f>IF($X421="","",Settings!$C$6)</f>
        <v/>
      </c>
      <c r="R421" s="7">
        <f>IF($X421="","",SUMIFS('Per Line'!$U$2:$U$1501,'Per Line'!$AJ$2:$AJ$1501,$A421&amp;"|"&amp;$C421,'Per Line'!$AM$2:$AM$1501,1,'Per Line'!$AN$2:$AN$1501,0))</f>
        <v/>
      </c>
      <c r="S421" s="7">
        <f>IF($X421="","",R421*Q421)</f>
        <v/>
      </c>
      <c r="T421" s="7">
        <f>IF($X421="","",S421+P421)</f>
        <v/>
      </c>
      <c r="U421" s="7">
        <f>IF($X421="","",V421-T421)</f>
        <v/>
      </c>
      <c r="V421" s="7">
        <f>IF($X421="","",O421+R421+M421)</f>
        <v/>
      </c>
      <c r="W421" s="7">
        <f>IF($X421="","",V421-T421-K421)</f>
        <v/>
      </c>
      <c r="X421" s="13">
        <f>IF(ROWS($X$2:$X421)&lt;=MAX('Per Line'!$AL$2:$AL$1501),MATCH(ROWS($X$2:$X421),'Per Line'!$AL$2:$AL$1501,0),"")</f>
        <v/>
      </c>
    </row>
    <row r="422">
      <c r="A422">
        <f>IF($X422="","",INDEX('Per Line'!$C$2:$C$1501,$X422)&amp;"")</f>
        <v/>
      </c>
      <c r="B422" s="12" t="n"/>
      <c r="C422">
        <f>IF($X422="","",INDEX('Per Line'!$D$2:$D$1501,$X422)&amp;"")</f>
        <v/>
      </c>
      <c r="D422">
        <f>IF($X422="","",INDEX('Per Line'!$A$2:$A$1501,$X422))</f>
        <v/>
      </c>
      <c r="E422">
        <f>IF($X422="","",INDEX('Per Line'!$G$2:$G$1501,$X422)&amp;"")</f>
        <v/>
      </c>
      <c r="F422" s="11">
        <f>IF($X422="","",INDEX('Per Line'!$F$2:$F$1501,$X422))</f>
        <v/>
      </c>
      <c r="G422">
        <f>IF($X422="","",INDEX('Per Line'!$I$2:$I$1501,$X422)&amp;"")</f>
        <v/>
      </c>
      <c r="H422">
        <f>IF($X422="","",INDEX('Per Line'!$J$2:$J$1501,$X422)&amp;"")</f>
        <v/>
      </c>
      <c r="I422">
        <f>IF($X422="","",INDEX('Per Line'!$K$2:$K$1501,$X422)&amp;"")</f>
        <v/>
      </c>
      <c r="J422">
        <f>IF($X422="","",INDEX('Per Line'!$M$2:$M$1501,$X422))</f>
        <v/>
      </c>
      <c r="K422" s="7">
        <f>IF($X422="","",J422*V422/100)</f>
        <v/>
      </c>
      <c r="L422">
        <f>IF($X422="","",INDEX('Per Line'!$Y$2:$Y$1501,$X422)&amp;"")</f>
        <v/>
      </c>
      <c r="M422" s="7">
        <f>IF($X422="","",SUMIFS('Per Line'!$U$2:$U$1501,'Per Line'!$AJ$2:$AJ$1501,$A422&amp;"|"&amp;$C422,'Per Line'!$AN$2:$AN$1501,1))</f>
        <v/>
      </c>
      <c r="N422">
        <f>IF($X422="","",Settings!$C$7)</f>
        <v/>
      </c>
      <c r="O422" s="7">
        <f>IF($X422="","",SUMIFS('Per Line'!$U$2:$U$1501,'Per Line'!$AJ$2:$AJ$1501,$A422&amp;"|"&amp;$C422,'Per Line'!$AM$2:$AM$1501,0,'Per Line'!$AN$2:$AN$1501,0))</f>
        <v/>
      </c>
      <c r="P422" s="7">
        <f>IF($X422="","",O422*N422)</f>
        <v/>
      </c>
      <c r="Q422">
        <f>IF($X422="","",Settings!$C$6)</f>
        <v/>
      </c>
      <c r="R422" s="7">
        <f>IF($X422="","",SUMIFS('Per Line'!$U$2:$U$1501,'Per Line'!$AJ$2:$AJ$1501,$A422&amp;"|"&amp;$C422,'Per Line'!$AM$2:$AM$1501,1,'Per Line'!$AN$2:$AN$1501,0))</f>
        <v/>
      </c>
      <c r="S422" s="7">
        <f>IF($X422="","",R422*Q422)</f>
        <v/>
      </c>
      <c r="T422" s="7">
        <f>IF($X422="","",S422+P422)</f>
        <v/>
      </c>
      <c r="U422" s="7">
        <f>IF($X422="","",V422-T422)</f>
        <v/>
      </c>
      <c r="V422" s="7">
        <f>IF($X422="","",O422+R422+M422)</f>
        <v/>
      </c>
      <c r="W422" s="7">
        <f>IF($X422="","",V422-T422-K422)</f>
        <v/>
      </c>
      <c r="X422" s="13">
        <f>IF(ROWS($X$2:$X422)&lt;=MAX('Per Line'!$AL$2:$AL$1501),MATCH(ROWS($X$2:$X422),'Per Line'!$AL$2:$AL$1501,0),"")</f>
        <v/>
      </c>
    </row>
    <row r="423">
      <c r="A423">
        <f>IF($X423="","",INDEX('Per Line'!$C$2:$C$1501,$X423)&amp;"")</f>
        <v/>
      </c>
      <c r="B423" s="12" t="n"/>
      <c r="C423">
        <f>IF($X423="","",INDEX('Per Line'!$D$2:$D$1501,$X423)&amp;"")</f>
        <v/>
      </c>
      <c r="D423">
        <f>IF($X423="","",INDEX('Per Line'!$A$2:$A$1501,$X423))</f>
        <v/>
      </c>
      <c r="E423">
        <f>IF($X423="","",INDEX('Per Line'!$G$2:$G$1501,$X423)&amp;"")</f>
        <v/>
      </c>
      <c r="F423" s="11">
        <f>IF($X423="","",INDEX('Per Line'!$F$2:$F$1501,$X423))</f>
        <v/>
      </c>
      <c r="G423">
        <f>IF($X423="","",INDEX('Per Line'!$I$2:$I$1501,$X423)&amp;"")</f>
        <v/>
      </c>
      <c r="H423">
        <f>IF($X423="","",INDEX('Per Line'!$J$2:$J$1501,$X423)&amp;"")</f>
        <v/>
      </c>
      <c r="I423">
        <f>IF($X423="","",INDEX('Per Line'!$K$2:$K$1501,$X423)&amp;"")</f>
        <v/>
      </c>
      <c r="J423">
        <f>IF($X423="","",INDEX('Per Line'!$M$2:$M$1501,$X423))</f>
        <v/>
      </c>
      <c r="K423" s="7">
        <f>IF($X423="","",J423*V423/100)</f>
        <v/>
      </c>
      <c r="L423">
        <f>IF($X423="","",INDEX('Per Line'!$Y$2:$Y$1501,$X423)&amp;"")</f>
        <v/>
      </c>
      <c r="M423" s="7">
        <f>IF($X423="","",SUMIFS('Per Line'!$U$2:$U$1501,'Per Line'!$AJ$2:$AJ$1501,$A423&amp;"|"&amp;$C423,'Per Line'!$AN$2:$AN$1501,1))</f>
        <v/>
      </c>
      <c r="N423">
        <f>IF($X423="","",Settings!$C$7)</f>
        <v/>
      </c>
      <c r="O423" s="7">
        <f>IF($X423="","",SUMIFS('Per Line'!$U$2:$U$1501,'Per Line'!$AJ$2:$AJ$1501,$A423&amp;"|"&amp;$C423,'Per Line'!$AM$2:$AM$1501,0,'Per Line'!$AN$2:$AN$1501,0))</f>
        <v/>
      </c>
      <c r="P423" s="7">
        <f>IF($X423="","",O423*N423)</f>
        <v/>
      </c>
      <c r="Q423">
        <f>IF($X423="","",Settings!$C$6)</f>
        <v/>
      </c>
      <c r="R423" s="7">
        <f>IF($X423="","",SUMIFS('Per Line'!$U$2:$U$1501,'Per Line'!$AJ$2:$AJ$1501,$A423&amp;"|"&amp;$C423,'Per Line'!$AM$2:$AM$1501,1,'Per Line'!$AN$2:$AN$1501,0))</f>
        <v/>
      </c>
      <c r="S423" s="7">
        <f>IF($X423="","",R423*Q423)</f>
        <v/>
      </c>
      <c r="T423" s="7">
        <f>IF($X423="","",S423+P423)</f>
        <v/>
      </c>
      <c r="U423" s="7">
        <f>IF($X423="","",V423-T423)</f>
        <v/>
      </c>
      <c r="V423" s="7">
        <f>IF($X423="","",O423+R423+M423)</f>
        <v/>
      </c>
      <c r="W423" s="7">
        <f>IF($X423="","",V423-T423-K423)</f>
        <v/>
      </c>
      <c r="X423" s="13">
        <f>IF(ROWS($X$2:$X423)&lt;=MAX('Per Line'!$AL$2:$AL$1501),MATCH(ROWS($X$2:$X423),'Per Line'!$AL$2:$AL$1501,0),"")</f>
        <v/>
      </c>
    </row>
    <row r="424">
      <c r="A424">
        <f>IF($X424="","",INDEX('Per Line'!$C$2:$C$1501,$X424)&amp;"")</f>
        <v/>
      </c>
      <c r="B424" s="12" t="n"/>
      <c r="C424">
        <f>IF($X424="","",INDEX('Per Line'!$D$2:$D$1501,$X424)&amp;"")</f>
        <v/>
      </c>
      <c r="D424">
        <f>IF($X424="","",INDEX('Per Line'!$A$2:$A$1501,$X424))</f>
        <v/>
      </c>
      <c r="E424">
        <f>IF($X424="","",INDEX('Per Line'!$G$2:$G$1501,$X424)&amp;"")</f>
        <v/>
      </c>
      <c r="F424" s="11">
        <f>IF($X424="","",INDEX('Per Line'!$F$2:$F$1501,$X424))</f>
        <v/>
      </c>
      <c r="G424">
        <f>IF($X424="","",INDEX('Per Line'!$I$2:$I$1501,$X424)&amp;"")</f>
        <v/>
      </c>
      <c r="H424">
        <f>IF($X424="","",INDEX('Per Line'!$J$2:$J$1501,$X424)&amp;"")</f>
        <v/>
      </c>
      <c r="I424">
        <f>IF($X424="","",INDEX('Per Line'!$K$2:$K$1501,$X424)&amp;"")</f>
        <v/>
      </c>
      <c r="J424">
        <f>IF($X424="","",INDEX('Per Line'!$M$2:$M$1501,$X424))</f>
        <v/>
      </c>
      <c r="K424" s="7">
        <f>IF($X424="","",J424*V424/100)</f>
        <v/>
      </c>
      <c r="L424">
        <f>IF($X424="","",INDEX('Per Line'!$Y$2:$Y$1501,$X424)&amp;"")</f>
        <v/>
      </c>
      <c r="M424" s="7">
        <f>IF($X424="","",SUMIFS('Per Line'!$U$2:$U$1501,'Per Line'!$AJ$2:$AJ$1501,$A424&amp;"|"&amp;$C424,'Per Line'!$AN$2:$AN$1501,1))</f>
        <v/>
      </c>
      <c r="N424">
        <f>IF($X424="","",Settings!$C$7)</f>
        <v/>
      </c>
      <c r="O424" s="7">
        <f>IF($X424="","",SUMIFS('Per Line'!$U$2:$U$1501,'Per Line'!$AJ$2:$AJ$1501,$A424&amp;"|"&amp;$C424,'Per Line'!$AM$2:$AM$1501,0,'Per Line'!$AN$2:$AN$1501,0))</f>
        <v/>
      </c>
      <c r="P424" s="7">
        <f>IF($X424="","",O424*N424)</f>
        <v/>
      </c>
      <c r="Q424">
        <f>IF($X424="","",Settings!$C$6)</f>
        <v/>
      </c>
      <c r="R424" s="7">
        <f>IF($X424="","",SUMIFS('Per Line'!$U$2:$U$1501,'Per Line'!$AJ$2:$AJ$1501,$A424&amp;"|"&amp;$C424,'Per Line'!$AM$2:$AM$1501,1,'Per Line'!$AN$2:$AN$1501,0))</f>
        <v/>
      </c>
      <c r="S424" s="7">
        <f>IF($X424="","",R424*Q424)</f>
        <v/>
      </c>
      <c r="T424" s="7">
        <f>IF($X424="","",S424+P424)</f>
        <v/>
      </c>
      <c r="U424" s="7">
        <f>IF($X424="","",V424-T424)</f>
        <v/>
      </c>
      <c r="V424" s="7">
        <f>IF($X424="","",O424+R424+M424)</f>
        <v/>
      </c>
      <c r="W424" s="7">
        <f>IF($X424="","",V424-T424-K424)</f>
        <v/>
      </c>
      <c r="X424" s="13">
        <f>IF(ROWS($X$2:$X424)&lt;=MAX('Per Line'!$AL$2:$AL$1501),MATCH(ROWS($X$2:$X424),'Per Line'!$AL$2:$AL$1501,0),"")</f>
        <v/>
      </c>
    </row>
    <row r="425">
      <c r="A425">
        <f>IF($X425="","",INDEX('Per Line'!$C$2:$C$1501,$X425)&amp;"")</f>
        <v/>
      </c>
      <c r="B425" s="12" t="n"/>
      <c r="C425">
        <f>IF($X425="","",INDEX('Per Line'!$D$2:$D$1501,$X425)&amp;"")</f>
        <v/>
      </c>
      <c r="D425">
        <f>IF($X425="","",INDEX('Per Line'!$A$2:$A$1501,$X425))</f>
        <v/>
      </c>
      <c r="E425">
        <f>IF($X425="","",INDEX('Per Line'!$G$2:$G$1501,$X425)&amp;"")</f>
        <v/>
      </c>
      <c r="F425" s="11">
        <f>IF($X425="","",INDEX('Per Line'!$F$2:$F$1501,$X425))</f>
        <v/>
      </c>
      <c r="G425">
        <f>IF($X425="","",INDEX('Per Line'!$I$2:$I$1501,$X425)&amp;"")</f>
        <v/>
      </c>
      <c r="H425">
        <f>IF($X425="","",INDEX('Per Line'!$J$2:$J$1501,$X425)&amp;"")</f>
        <v/>
      </c>
      <c r="I425">
        <f>IF($X425="","",INDEX('Per Line'!$K$2:$K$1501,$X425)&amp;"")</f>
        <v/>
      </c>
      <c r="J425">
        <f>IF($X425="","",INDEX('Per Line'!$M$2:$M$1501,$X425))</f>
        <v/>
      </c>
      <c r="K425" s="7">
        <f>IF($X425="","",J425*V425/100)</f>
        <v/>
      </c>
      <c r="L425">
        <f>IF($X425="","",INDEX('Per Line'!$Y$2:$Y$1501,$X425)&amp;"")</f>
        <v/>
      </c>
      <c r="M425" s="7">
        <f>IF($X425="","",SUMIFS('Per Line'!$U$2:$U$1501,'Per Line'!$AJ$2:$AJ$1501,$A425&amp;"|"&amp;$C425,'Per Line'!$AN$2:$AN$1501,1))</f>
        <v/>
      </c>
      <c r="N425">
        <f>IF($X425="","",Settings!$C$7)</f>
        <v/>
      </c>
      <c r="O425" s="7">
        <f>IF($X425="","",SUMIFS('Per Line'!$U$2:$U$1501,'Per Line'!$AJ$2:$AJ$1501,$A425&amp;"|"&amp;$C425,'Per Line'!$AM$2:$AM$1501,0,'Per Line'!$AN$2:$AN$1501,0))</f>
        <v/>
      </c>
      <c r="P425" s="7">
        <f>IF($X425="","",O425*N425)</f>
        <v/>
      </c>
      <c r="Q425">
        <f>IF($X425="","",Settings!$C$6)</f>
        <v/>
      </c>
      <c r="R425" s="7">
        <f>IF($X425="","",SUMIFS('Per Line'!$U$2:$U$1501,'Per Line'!$AJ$2:$AJ$1501,$A425&amp;"|"&amp;$C425,'Per Line'!$AM$2:$AM$1501,1,'Per Line'!$AN$2:$AN$1501,0))</f>
        <v/>
      </c>
      <c r="S425" s="7">
        <f>IF($X425="","",R425*Q425)</f>
        <v/>
      </c>
      <c r="T425" s="7">
        <f>IF($X425="","",S425+P425)</f>
        <v/>
      </c>
      <c r="U425" s="7">
        <f>IF($X425="","",V425-T425)</f>
        <v/>
      </c>
      <c r="V425" s="7">
        <f>IF($X425="","",O425+R425+M425)</f>
        <v/>
      </c>
      <c r="W425" s="7">
        <f>IF($X425="","",V425-T425-K425)</f>
        <v/>
      </c>
      <c r="X425" s="13">
        <f>IF(ROWS($X$2:$X425)&lt;=MAX('Per Line'!$AL$2:$AL$1501),MATCH(ROWS($X$2:$X425),'Per Line'!$AL$2:$AL$1501,0),"")</f>
        <v/>
      </c>
    </row>
    <row r="426">
      <c r="A426">
        <f>IF($X426="","",INDEX('Per Line'!$C$2:$C$1501,$X426)&amp;"")</f>
        <v/>
      </c>
      <c r="B426" s="12" t="n"/>
      <c r="C426">
        <f>IF($X426="","",INDEX('Per Line'!$D$2:$D$1501,$X426)&amp;"")</f>
        <v/>
      </c>
      <c r="D426">
        <f>IF($X426="","",INDEX('Per Line'!$A$2:$A$1501,$X426))</f>
        <v/>
      </c>
      <c r="E426">
        <f>IF($X426="","",INDEX('Per Line'!$G$2:$G$1501,$X426)&amp;"")</f>
        <v/>
      </c>
      <c r="F426" s="11">
        <f>IF($X426="","",INDEX('Per Line'!$F$2:$F$1501,$X426))</f>
        <v/>
      </c>
      <c r="G426">
        <f>IF($X426="","",INDEX('Per Line'!$I$2:$I$1501,$X426)&amp;"")</f>
        <v/>
      </c>
      <c r="H426">
        <f>IF($X426="","",INDEX('Per Line'!$J$2:$J$1501,$X426)&amp;"")</f>
        <v/>
      </c>
      <c r="I426">
        <f>IF($X426="","",INDEX('Per Line'!$K$2:$K$1501,$X426)&amp;"")</f>
        <v/>
      </c>
      <c r="J426">
        <f>IF($X426="","",INDEX('Per Line'!$M$2:$M$1501,$X426))</f>
        <v/>
      </c>
      <c r="K426" s="7">
        <f>IF($X426="","",J426*V426/100)</f>
        <v/>
      </c>
      <c r="L426">
        <f>IF($X426="","",INDEX('Per Line'!$Y$2:$Y$1501,$X426)&amp;"")</f>
        <v/>
      </c>
      <c r="M426" s="7">
        <f>IF($X426="","",SUMIFS('Per Line'!$U$2:$U$1501,'Per Line'!$AJ$2:$AJ$1501,$A426&amp;"|"&amp;$C426,'Per Line'!$AN$2:$AN$1501,1))</f>
        <v/>
      </c>
      <c r="N426">
        <f>IF($X426="","",Settings!$C$7)</f>
        <v/>
      </c>
      <c r="O426" s="7">
        <f>IF($X426="","",SUMIFS('Per Line'!$U$2:$U$1501,'Per Line'!$AJ$2:$AJ$1501,$A426&amp;"|"&amp;$C426,'Per Line'!$AM$2:$AM$1501,0,'Per Line'!$AN$2:$AN$1501,0))</f>
        <v/>
      </c>
      <c r="P426" s="7">
        <f>IF($X426="","",O426*N426)</f>
        <v/>
      </c>
      <c r="Q426">
        <f>IF($X426="","",Settings!$C$6)</f>
        <v/>
      </c>
      <c r="R426" s="7">
        <f>IF($X426="","",SUMIFS('Per Line'!$U$2:$U$1501,'Per Line'!$AJ$2:$AJ$1501,$A426&amp;"|"&amp;$C426,'Per Line'!$AM$2:$AM$1501,1,'Per Line'!$AN$2:$AN$1501,0))</f>
        <v/>
      </c>
      <c r="S426" s="7">
        <f>IF($X426="","",R426*Q426)</f>
        <v/>
      </c>
      <c r="T426" s="7">
        <f>IF($X426="","",S426+P426)</f>
        <v/>
      </c>
      <c r="U426" s="7">
        <f>IF($X426="","",V426-T426)</f>
        <v/>
      </c>
      <c r="V426" s="7">
        <f>IF($X426="","",O426+R426+M426)</f>
        <v/>
      </c>
      <c r="W426" s="7">
        <f>IF($X426="","",V426-T426-K426)</f>
        <v/>
      </c>
      <c r="X426" s="13">
        <f>IF(ROWS($X$2:$X426)&lt;=MAX('Per Line'!$AL$2:$AL$1501),MATCH(ROWS($X$2:$X426),'Per Line'!$AL$2:$AL$1501,0),"")</f>
        <v/>
      </c>
    </row>
    <row r="427">
      <c r="A427">
        <f>IF($X427="","",INDEX('Per Line'!$C$2:$C$1501,$X427)&amp;"")</f>
        <v/>
      </c>
      <c r="B427" s="12" t="n"/>
      <c r="C427">
        <f>IF($X427="","",INDEX('Per Line'!$D$2:$D$1501,$X427)&amp;"")</f>
        <v/>
      </c>
      <c r="D427">
        <f>IF($X427="","",INDEX('Per Line'!$A$2:$A$1501,$X427))</f>
        <v/>
      </c>
      <c r="E427">
        <f>IF($X427="","",INDEX('Per Line'!$G$2:$G$1501,$X427)&amp;"")</f>
        <v/>
      </c>
      <c r="F427" s="11">
        <f>IF($X427="","",INDEX('Per Line'!$F$2:$F$1501,$X427))</f>
        <v/>
      </c>
      <c r="G427">
        <f>IF($X427="","",INDEX('Per Line'!$I$2:$I$1501,$X427)&amp;"")</f>
        <v/>
      </c>
      <c r="H427">
        <f>IF($X427="","",INDEX('Per Line'!$J$2:$J$1501,$X427)&amp;"")</f>
        <v/>
      </c>
      <c r="I427">
        <f>IF($X427="","",INDEX('Per Line'!$K$2:$K$1501,$X427)&amp;"")</f>
        <v/>
      </c>
      <c r="J427">
        <f>IF($X427="","",INDEX('Per Line'!$M$2:$M$1501,$X427))</f>
        <v/>
      </c>
      <c r="K427" s="7">
        <f>IF($X427="","",J427*V427/100)</f>
        <v/>
      </c>
      <c r="L427">
        <f>IF($X427="","",INDEX('Per Line'!$Y$2:$Y$1501,$X427)&amp;"")</f>
        <v/>
      </c>
      <c r="M427" s="7">
        <f>IF($X427="","",SUMIFS('Per Line'!$U$2:$U$1501,'Per Line'!$AJ$2:$AJ$1501,$A427&amp;"|"&amp;$C427,'Per Line'!$AN$2:$AN$1501,1))</f>
        <v/>
      </c>
      <c r="N427">
        <f>IF($X427="","",Settings!$C$7)</f>
        <v/>
      </c>
      <c r="O427" s="7">
        <f>IF($X427="","",SUMIFS('Per Line'!$U$2:$U$1501,'Per Line'!$AJ$2:$AJ$1501,$A427&amp;"|"&amp;$C427,'Per Line'!$AM$2:$AM$1501,0,'Per Line'!$AN$2:$AN$1501,0))</f>
        <v/>
      </c>
      <c r="P427" s="7">
        <f>IF($X427="","",O427*N427)</f>
        <v/>
      </c>
      <c r="Q427">
        <f>IF($X427="","",Settings!$C$6)</f>
        <v/>
      </c>
      <c r="R427" s="7">
        <f>IF($X427="","",SUMIFS('Per Line'!$U$2:$U$1501,'Per Line'!$AJ$2:$AJ$1501,$A427&amp;"|"&amp;$C427,'Per Line'!$AM$2:$AM$1501,1,'Per Line'!$AN$2:$AN$1501,0))</f>
        <v/>
      </c>
      <c r="S427" s="7">
        <f>IF($X427="","",R427*Q427)</f>
        <v/>
      </c>
      <c r="T427" s="7">
        <f>IF($X427="","",S427+P427)</f>
        <v/>
      </c>
      <c r="U427" s="7">
        <f>IF($X427="","",V427-T427)</f>
        <v/>
      </c>
      <c r="V427" s="7">
        <f>IF($X427="","",O427+R427+M427)</f>
        <v/>
      </c>
      <c r="W427" s="7">
        <f>IF($X427="","",V427-T427-K427)</f>
        <v/>
      </c>
      <c r="X427" s="13">
        <f>IF(ROWS($X$2:$X427)&lt;=MAX('Per Line'!$AL$2:$AL$1501),MATCH(ROWS($X$2:$X427),'Per Line'!$AL$2:$AL$1501,0),"")</f>
        <v/>
      </c>
    </row>
    <row r="428">
      <c r="A428">
        <f>IF($X428="","",INDEX('Per Line'!$C$2:$C$1501,$X428)&amp;"")</f>
        <v/>
      </c>
      <c r="B428" s="12" t="n"/>
      <c r="C428">
        <f>IF($X428="","",INDEX('Per Line'!$D$2:$D$1501,$X428)&amp;"")</f>
        <v/>
      </c>
      <c r="D428">
        <f>IF($X428="","",INDEX('Per Line'!$A$2:$A$1501,$X428))</f>
        <v/>
      </c>
      <c r="E428">
        <f>IF($X428="","",INDEX('Per Line'!$G$2:$G$1501,$X428)&amp;"")</f>
        <v/>
      </c>
      <c r="F428" s="11">
        <f>IF($X428="","",INDEX('Per Line'!$F$2:$F$1501,$X428))</f>
        <v/>
      </c>
      <c r="G428">
        <f>IF($X428="","",INDEX('Per Line'!$I$2:$I$1501,$X428)&amp;"")</f>
        <v/>
      </c>
      <c r="H428">
        <f>IF($X428="","",INDEX('Per Line'!$J$2:$J$1501,$X428)&amp;"")</f>
        <v/>
      </c>
      <c r="I428">
        <f>IF($X428="","",INDEX('Per Line'!$K$2:$K$1501,$X428)&amp;"")</f>
        <v/>
      </c>
      <c r="J428">
        <f>IF($X428="","",INDEX('Per Line'!$M$2:$M$1501,$X428))</f>
        <v/>
      </c>
      <c r="K428" s="7">
        <f>IF($X428="","",J428*V428/100)</f>
        <v/>
      </c>
      <c r="L428">
        <f>IF($X428="","",INDEX('Per Line'!$Y$2:$Y$1501,$X428)&amp;"")</f>
        <v/>
      </c>
      <c r="M428" s="7">
        <f>IF($X428="","",SUMIFS('Per Line'!$U$2:$U$1501,'Per Line'!$AJ$2:$AJ$1501,$A428&amp;"|"&amp;$C428,'Per Line'!$AN$2:$AN$1501,1))</f>
        <v/>
      </c>
      <c r="N428">
        <f>IF($X428="","",Settings!$C$7)</f>
        <v/>
      </c>
      <c r="O428" s="7">
        <f>IF($X428="","",SUMIFS('Per Line'!$U$2:$U$1501,'Per Line'!$AJ$2:$AJ$1501,$A428&amp;"|"&amp;$C428,'Per Line'!$AM$2:$AM$1501,0,'Per Line'!$AN$2:$AN$1501,0))</f>
        <v/>
      </c>
      <c r="P428" s="7">
        <f>IF($X428="","",O428*N428)</f>
        <v/>
      </c>
      <c r="Q428">
        <f>IF($X428="","",Settings!$C$6)</f>
        <v/>
      </c>
      <c r="R428" s="7">
        <f>IF($X428="","",SUMIFS('Per Line'!$U$2:$U$1501,'Per Line'!$AJ$2:$AJ$1501,$A428&amp;"|"&amp;$C428,'Per Line'!$AM$2:$AM$1501,1,'Per Line'!$AN$2:$AN$1501,0))</f>
        <v/>
      </c>
      <c r="S428" s="7">
        <f>IF($X428="","",R428*Q428)</f>
        <v/>
      </c>
      <c r="T428" s="7">
        <f>IF($X428="","",S428+P428)</f>
        <v/>
      </c>
      <c r="U428" s="7">
        <f>IF($X428="","",V428-T428)</f>
        <v/>
      </c>
      <c r="V428" s="7">
        <f>IF($X428="","",O428+R428+M428)</f>
        <v/>
      </c>
      <c r="W428" s="7">
        <f>IF($X428="","",V428-T428-K428)</f>
        <v/>
      </c>
      <c r="X428" s="13">
        <f>IF(ROWS($X$2:$X428)&lt;=MAX('Per Line'!$AL$2:$AL$1501),MATCH(ROWS($X$2:$X428),'Per Line'!$AL$2:$AL$1501,0),"")</f>
        <v/>
      </c>
    </row>
    <row r="429">
      <c r="A429">
        <f>IF($X429="","",INDEX('Per Line'!$C$2:$C$1501,$X429)&amp;"")</f>
        <v/>
      </c>
      <c r="B429" s="12" t="n"/>
      <c r="C429">
        <f>IF($X429="","",INDEX('Per Line'!$D$2:$D$1501,$X429)&amp;"")</f>
        <v/>
      </c>
      <c r="D429">
        <f>IF($X429="","",INDEX('Per Line'!$A$2:$A$1501,$X429))</f>
        <v/>
      </c>
      <c r="E429">
        <f>IF($X429="","",INDEX('Per Line'!$G$2:$G$1501,$X429)&amp;"")</f>
        <v/>
      </c>
      <c r="F429" s="11">
        <f>IF($X429="","",INDEX('Per Line'!$F$2:$F$1501,$X429))</f>
        <v/>
      </c>
      <c r="G429">
        <f>IF($X429="","",INDEX('Per Line'!$I$2:$I$1501,$X429)&amp;"")</f>
        <v/>
      </c>
      <c r="H429">
        <f>IF($X429="","",INDEX('Per Line'!$J$2:$J$1501,$X429)&amp;"")</f>
        <v/>
      </c>
      <c r="I429">
        <f>IF($X429="","",INDEX('Per Line'!$K$2:$K$1501,$X429)&amp;"")</f>
        <v/>
      </c>
      <c r="J429">
        <f>IF($X429="","",INDEX('Per Line'!$M$2:$M$1501,$X429))</f>
        <v/>
      </c>
      <c r="K429" s="7">
        <f>IF($X429="","",J429*V429/100)</f>
        <v/>
      </c>
      <c r="L429">
        <f>IF($X429="","",INDEX('Per Line'!$Y$2:$Y$1501,$X429)&amp;"")</f>
        <v/>
      </c>
      <c r="M429" s="7">
        <f>IF($X429="","",SUMIFS('Per Line'!$U$2:$U$1501,'Per Line'!$AJ$2:$AJ$1501,$A429&amp;"|"&amp;$C429,'Per Line'!$AN$2:$AN$1501,1))</f>
        <v/>
      </c>
      <c r="N429">
        <f>IF($X429="","",Settings!$C$7)</f>
        <v/>
      </c>
      <c r="O429" s="7">
        <f>IF($X429="","",SUMIFS('Per Line'!$U$2:$U$1501,'Per Line'!$AJ$2:$AJ$1501,$A429&amp;"|"&amp;$C429,'Per Line'!$AM$2:$AM$1501,0,'Per Line'!$AN$2:$AN$1501,0))</f>
        <v/>
      </c>
      <c r="P429" s="7">
        <f>IF($X429="","",O429*N429)</f>
        <v/>
      </c>
      <c r="Q429">
        <f>IF($X429="","",Settings!$C$6)</f>
        <v/>
      </c>
      <c r="R429" s="7">
        <f>IF($X429="","",SUMIFS('Per Line'!$U$2:$U$1501,'Per Line'!$AJ$2:$AJ$1501,$A429&amp;"|"&amp;$C429,'Per Line'!$AM$2:$AM$1501,1,'Per Line'!$AN$2:$AN$1501,0))</f>
        <v/>
      </c>
      <c r="S429" s="7">
        <f>IF($X429="","",R429*Q429)</f>
        <v/>
      </c>
      <c r="T429" s="7">
        <f>IF($X429="","",S429+P429)</f>
        <v/>
      </c>
      <c r="U429" s="7">
        <f>IF($X429="","",V429-T429)</f>
        <v/>
      </c>
      <c r="V429" s="7">
        <f>IF($X429="","",O429+R429+M429)</f>
        <v/>
      </c>
      <c r="W429" s="7">
        <f>IF($X429="","",V429-T429-K429)</f>
        <v/>
      </c>
      <c r="X429" s="13">
        <f>IF(ROWS($X$2:$X429)&lt;=MAX('Per Line'!$AL$2:$AL$1501),MATCH(ROWS($X$2:$X429),'Per Line'!$AL$2:$AL$1501,0),"")</f>
        <v/>
      </c>
    </row>
    <row r="430">
      <c r="A430">
        <f>IF($X430="","",INDEX('Per Line'!$C$2:$C$1501,$X430)&amp;"")</f>
        <v/>
      </c>
      <c r="B430" s="12" t="n"/>
      <c r="C430">
        <f>IF($X430="","",INDEX('Per Line'!$D$2:$D$1501,$X430)&amp;"")</f>
        <v/>
      </c>
      <c r="D430">
        <f>IF($X430="","",INDEX('Per Line'!$A$2:$A$1501,$X430))</f>
        <v/>
      </c>
      <c r="E430">
        <f>IF($X430="","",INDEX('Per Line'!$G$2:$G$1501,$X430)&amp;"")</f>
        <v/>
      </c>
      <c r="F430" s="11">
        <f>IF($X430="","",INDEX('Per Line'!$F$2:$F$1501,$X430))</f>
        <v/>
      </c>
      <c r="G430">
        <f>IF($X430="","",INDEX('Per Line'!$I$2:$I$1501,$X430)&amp;"")</f>
        <v/>
      </c>
      <c r="H430">
        <f>IF($X430="","",INDEX('Per Line'!$J$2:$J$1501,$X430)&amp;"")</f>
        <v/>
      </c>
      <c r="I430">
        <f>IF($X430="","",INDEX('Per Line'!$K$2:$K$1501,$X430)&amp;"")</f>
        <v/>
      </c>
      <c r="J430">
        <f>IF($X430="","",INDEX('Per Line'!$M$2:$M$1501,$X430))</f>
        <v/>
      </c>
      <c r="K430" s="7">
        <f>IF($X430="","",J430*V430/100)</f>
        <v/>
      </c>
      <c r="L430">
        <f>IF($X430="","",INDEX('Per Line'!$Y$2:$Y$1501,$X430)&amp;"")</f>
        <v/>
      </c>
      <c r="M430" s="7">
        <f>IF($X430="","",SUMIFS('Per Line'!$U$2:$U$1501,'Per Line'!$AJ$2:$AJ$1501,$A430&amp;"|"&amp;$C430,'Per Line'!$AN$2:$AN$1501,1))</f>
        <v/>
      </c>
      <c r="N430">
        <f>IF($X430="","",Settings!$C$7)</f>
        <v/>
      </c>
      <c r="O430" s="7">
        <f>IF($X430="","",SUMIFS('Per Line'!$U$2:$U$1501,'Per Line'!$AJ$2:$AJ$1501,$A430&amp;"|"&amp;$C430,'Per Line'!$AM$2:$AM$1501,0,'Per Line'!$AN$2:$AN$1501,0))</f>
        <v/>
      </c>
      <c r="P430" s="7">
        <f>IF($X430="","",O430*N430)</f>
        <v/>
      </c>
      <c r="Q430">
        <f>IF($X430="","",Settings!$C$6)</f>
        <v/>
      </c>
      <c r="R430" s="7">
        <f>IF($X430="","",SUMIFS('Per Line'!$U$2:$U$1501,'Per Line'!$AJ$2:$AJ$1501,$A430&amp;"|"&amp;$C430,'Per Line'!$AM$2:$AM$1501,1,'Per Line'!$AN$2:$AN$1501,0))</f>
        <v/>
      </c>
      <c r="S430" s="7">
        <f>IF($X430="","",R430*Q430)</f>
        <v/>
      </c>
      <c r="T430" s="7">
        <f>IF($X430="","",S430+P430)</f>
        <v/>
      </c>
      <c r="U430" s="7">
        <f>IF($X430="","",V430-T430)</f>
        <v/>
      </c>
      <c r="V430" s="7">
        <f>IF($X430="","",O430+R430+M430)</f>
        <v/>
      </c>
      <c r="W430" s="7">
        <f>IF($X430="","",V430-T430-K430)</f>
        <v/>
      </c>
      <c r="X430" s="13">
        <f>IF(ROWS($X$2:$X430)&lt;=MAX('Per Line'!$AL$2:$AL$1501),MATCH(ROWS($X$2:$X430),'Per Line'!$AL$2:$AL$1501,0),"")</f>
        <v/>
      </c>
    </row>
    <row r="431">
      <c r="A431">
        <f>IF($X431="","",INDEX('Per Line'!$C$2:$C$1501,$X431)&amp;"")</f>
        <v/>
      </c>
      <c r="B431" s="12" t="n"/>
      <c r="C431">
        <f>IF($X431="","",INDEX('Per Line'!$D$2:$D$1501,$X431)&amp;"")</f>
        <v/>
      </c>
      <c r="D431">
        <f>IF($X431="","",INDEX('Per Line'!$A$2:$A$1501,$X431))</f>
        <v/>
      </c>
      <c r="E431">
        <f>IF($X431="","",INDEX('Per Line'!$G$2:$G$1501,$X431)&amp;"")</f>
        <v/>
      </c>
      <c r="F431" s="11">
        <f>IF($X431="","",INDEX('Per Line'!$F$2:$F$1501,$X431))</f>
        <v/>
      </c>
      <c r="G431">
        <f>IF($X431="","",INDEX('Per Line'!$I$2:$I$1501,$X431)&amp;"")</f>
        <v/>
      </c>
      <c r="H431">
        <f>IF($X431="","",INDEX('Per Line'!$J$2:$J$1501,$X431)&amp;"")</f>
        <v/>
      </c>
      <c r="I431">
        <f>IF($X431="","",INDEX('Per Line'!$K$2:$K$1501,$X431)&amp;"")</f>
        <v/>
      </c>
      <c r="J431">
        <f>IF($X431="","",INDEX('Per Line'!$M$2:$M$1501,$X431))</f>
        <v/>
      </c>
      <c r="K431" s="7">
        <f>IF($X431="","",J431*V431/100)</f>
        <v/>
      </c>
      <c r="L431">
        <f>IF($X431="","",INDEX('Per Line'!$Y$2:$Y$1501,$X431)&amp;"")</f>
        <v/>
      </c>
      <c r="M431" s="7">
        <f>IF($X431="","",SUMIFS('Per Line'!$U$2:$U$1501,'Per Line'!$AJ$2:$AJ$1501,$A431&amp;"|"&amp;$C431,'Per Line'!$AN$2:$AN$1501,1))</f>
        <v/>
      </c>
      <c r="N431">
        <f>IF($X431="","",Settings!$C$7)</f>
        <v/>
      </c>
      <c r="O431" s="7">
        <f>IF($X431="","",SUMIFS('Per Line'!$U$2:$U$1501,'Per Line'!$AJ$2:$AJ$1501,$A431&amp;"|"&amp;$C431,'Per Line'!$AM$2:$AM$1501,0,'Per Line'!$AN$2:$AN$1501,0))</f>
        <v/>
      </c>
      <c r="P431" s="7">
        <f>IF($X431="","",O431*N431)</f>
        <v/>
      </c>
      <c r="Q431">
        <f>IF($X431="","",Settings!$C$6)</f>
        <v/>
      </c>
      <c r="R431" s="7">
        <f>IF($X431="","",SUMIFS('Per Line'!$U$2:$U$1501,'Per Line'!$AJ$2:$AJ$1501,$A431&amp;"|"&amp;$C431,'Per Line'!$AM$2:$AM$1501,1,'Per Line'!$AN$2:$AN$1501,0))</f>
        <v/>
      </c>
      <c r="S431" s="7">
        <f>IF($X431="","",R431*Q431)</f>
        <v/>
      </c>
      <c r="T431" s="7">
        <f>IF($X431="","",S431+P431)</f>
        <v/>
      </c>
      <c r="U431" s="7">
        <f>IF($X431="","",V431-T431)</f>
        <v/>
      </c>
      <c r="V431" s="7">
        <f>IF($X431="","",O431+R431+M431)</f>
        <v/>
      </c>
      <c r="W431" s="7">
        <f>IF($X431="","",V431-T431-K431)</f>
        <v/>
      </c>
      <c r="X431" s="13">
        <f>IF(ROWS($X$2:$X431)&lt;=MAX('Per Line'!$AL$2:$AL$1501),MATCH(ROWS($X$2:$X431),'Per Line'!$AL$2:$AL$1501,0),"")</f>
        <v/>
      </c>
    </row>
    <row r="432">
      <c r="A432">
        <f>IF($X432="","",INDEX('Per Line'!$C$2:$C$1501,$X432)&amp;"")</f>
        <v/>
      </c>
      <c r="B432" s="12" t="n"/>
      <c r="C432">
        <f>IF($X432="","",INDEX('Per Line'!$D$2:$D$1501,$X432)&amp;"")</f>
        <v/>
      </c>
      <c r="D432">
        <f>IF($X432="","",INDEX('Per Line'!$A$2:$A$1501,$X432))</f>
        <v/>
      </c>
      <c r="E432">
        <f>IF($X432="","",INDEX('Per Line'!$G$2:$G$1501,$X432)&amp;"")</f>
        <v/>
      </c>
      <c r="F432" s="11">
        <f>IF($X432="","",INDEX('Per Line'!$F$2:$F$1501,$X432))</f>
        <v/>
      </c>
      <c r="G432">
        <f>IF($X432="","",INDEX('Per Line'!$I$2:$I$1501,$X432)&amp;"")</f>
        <v/>
      </c>
      <c r="H432">
        <f>IF($X432="","",INDEX('Per Line'!$J$2:$J$1501,$X432)&amp;"")</f>
        <v/>
      </c>
      <c r="I432">
        <f>IF($X432="","",INDEX('Per Line'!$K$2:$K$1501,$X432)&amp;"")</f>
        <v/>
      </c>
      <c r="J432">
        <f>IF($X432="","",INDEX('Per Line'!$M$2:$M$1501,$X432))</f>
        <v/>
      </c>
      <c r="K432" s="7">
        <f>IF($X432="","",J432*V432/100)</f>
        <v/>
      </c>
      <c r="L432">
        <f>IF($X432="","",INDEX('Per Line'!$Y$2:$Y$1501,$X432)&amp;"")</f>
        <v/>
      </c>
      <c r="M432" s="7">
        <f>IF($X432="","",SUMIFS('Per Line'!$U$2:$U$1501,'Per Line'!$AJ$2:$AJ$1501,$A432&amp;"|"&amp;$C432,'Per Line'!$AN$2:$AN$1501,1))</f>
        <v/>
      </c>
      <c r="N432">
        <f>IF($X432="","",Settings!$C$7)</f>
        <v/>
      </c>
      <c r="O432" s="7">
        <f>IF($X432="","",SUMIFS('Per Line'!$U$2:$U$1501,'Per Line'!$AJ$2:$AJ$1501,$A432&amp;"|"&amp;$C432,'Per Line'!$AM$2:$AM$1501,0,'Per Line'!$AN$2:$AN$1501,0))</f>
        <v/>
      </c>
      <c r="P432" s="7">
        <f>IF($X432="","",O432*N432)</f>
        <v/>
      </c>
      <c r="Q432">
        <f>IF($X432="","",Settings!$C$6)</f>
        <v/>
      </c>
      <c r="R432" s="7">
        <f>IF($X432="","",SUMIFS('Per Line'!$U$2:$U$1501,'Per Line'!$AJ$2:$AJ$1501,$A432&amp;"|"&amp;$C432,'Per Line'!$AM$2:$AM$1501,1,'Per Line'!$AN$2:$AN$1501,0))</f>
        <v/>
      </c>
      <c r="S432" s="7">
        <f>IF($X432="","",R432*Q432)</f>
        <v/>
      </c>
      <c r="T432" s="7">
        <f>IF($X432="","",S432+P432)</f>
        <v/>
      </c>
      <c r="U432" s="7">
        <f>IF($X432="","",V432-T432)</f>
        <v/>
      </c>
      <c r="V432" s="7">
        <f>IF($X432="","",O432+R432+M432)</f>
        <v/>
      </c>
      <c r="W432" s="7">
        <f>IF($X432="","",V432-T432-K432)</f>
        <v/>
      </c>
      <c r="X432" s="13">
        <f>IF(ROWS($X$2:$X432)&lt;=MAX('Per Line'!$AL$2:$AL$1501),MATCH(ROWS($X$2:$X432),'Per Line'!$AL$2:$AL$1501,0),"")</f>
        <v/>
      </c>
    </row>
    <row r="433">
      <c r="A433">
        <f>IF($X433="","",INDEX('Per Line'!$C$2:$C$1501,$X433)&amp;"")</f>
        <v/>
      </c>
      <c r="B433" s="12" t="n"/>
      <c r="C433">
        <f>IF($X433="","",INDEX('Per Line'!$D$2:$D$1501,$X433)&amp;"")</f>
        <v/>
      </c>
      <c r="D433">
        <f>IF($X433="","",INDEX('Per Line'!$A$2:$A$1501,$X433))</f>
        <v/>
      </c>
      <c r="E433">
        <f>IF($X433="","",INDEX('Per Line'!$G$2:$G$1501,$X433)&amp;"")</f>
        <v/>
      </c>
      <c r="F433" s="11">
        <f>IF($X433="","",INDEX('Per Line'!$F$2:$F$1501,$X433))</f>
        <v/>
      </c>
      <c r="G433">
        <f>IF($X433="","",INDEX('Per Line'!$I$2:$I$1501,$X433)&amp;"")</f>
        <v/>
      </c>
      <c r="H433">
        <f>IF($X433="","",INDEX('Per Line'!$J$2:$J$1501,$X433)&amp;"")</f>
        <v/>
      </c>
      <c r="I433">
        <f>IF($X433="","",INDEX('Per Line'!$K$2:$K$1501,$X433)&amp;"")</f>
        <v/>
      </c>
      <c r="J433">
        <f>IF($X433="","",INDEX('Per Line'!$M$2:$M$1501,$X433))</f>
        <v/>
      </c>
      <c r="K433" s="7">
        <f>IF($X433="","",J433*V433/100)</f>
        <v/>
      </c>
      <c r="L433">
        <f>IF($X433="","",INDEX('Per Line'!$Y$2:$Y$1501,$X433)&amp;"")</f>
        <v/>
      </c>
      <c r="M433" s="7">
        <f>IF($X433="","",SUMIFS('Per Line'!$U$2:$U$1501,'Per Line'!$AJ$2:$AJ$1501,$A433&amp;"|"&amp;$C433,'Per Line'!$AN$2:$AN$1501,1))</f>
        <v/>
      </c>
      <c r="N433">
        <f>IF($X433="","",Settings!$C$7)</f>
        <v/>
      </c>
      <c r="O433" s="7">
        <f>IF($X433="","",SUMIFS('Per Line'!$U$2:$U$1501,'Per Line'!$AJ$2:$AJ$1501,$A433&amp;"|"&amp;$C433,'Per Line'!$AM$2:$AM$1501,0,'Per Line'!$AN$2:$AN$1501,0))</f>
        <v/>
      </c>
      <c r="P433" s="7">
        <f>IF($X433="","",O433*N433)</f>
        <v/>
      </c>
      <c r="Q433">
        <f>IF($X433="","",Settings!$C$6)</f>
        <v/>
      </c>
      <c r="R433" s="7">
        <f>IF($X433="","",SUMIFS('Per Line'!$U$2:$U$1501,'Per Line'!$AJ$2:$AJ$1501,$A433&amp;"|"&amp;$C433,'Per Line'!$AM$2:$AM$1501,1,'Per Line'!$AN$2:$AN$1501,0))</f>
        <v/>
      </c>
      <c r="S433" s="7">
        <f>IF($X433="","",R433*Q433)</f>
        <v/>
      </c>
      <c r="T433" s="7">
        <f>IF($X433="","",S433+P433)</f>
        <v/>
      </c>
      <c r="U433" s="7">
        <f>IF($X433="","",V433-T433)</f>
        <v/>
      </c>
      <c r="V433" s="7">
        <f>IF($X433="","",O433+R433+M433)</f>
        <v/>
      </c>
      <c r="W433" s="7">
        <f>IF($X433="","",V433-T433-K433)</f>
        <v/>
      </c>
      <c r="X433" s="13">
        <f>IF(ROWS($X$2:$X433)&lt;=MAX('Per Line'!$AL$2:$AL$1501),MATCH(ROWS($X$2:$X433),'Per Line'!$AL$2:$AL$1501,0),"")</f>
        <v/>
      </c>
    </row>
    <row r="434">
      <c r="A434">
        <f>IF($X434="","",INDEX('Per Line'!$C$2:$C$1501,$X434)&amp;"")</f>
        <v/>
      </c>
      <c r="B434" s="12" t="n"/>
      <c r="C434">
        <f>IF($X434="","",INDEX('Per Line'!$D$2:$D$1501,$X434)&amp;"")</f>
        <v/>
      </c>
      <c r="D434">
        <f>IF($X434="","",INDEX('Per Line'!$A$2:$A$1501,$X434))</f>
        <v/>
      </c>
      <c r="E434">
        <f>IF($X434="","",INDEX('Per Line'!$G$2:$G$1501,$X434)&amp;"")</f>
        <v/>
      </c>
      <c r="F434" s="11">
        <f>IF($X434="","",INDEX('Per Line'!$F$2:$F$1501,$X434))</f>
        <v/>
      </c>
      <c r="G434">
        <f>IF($X434="","",INDEX('Per Line'!$I$2:$I$1501,$X434)&amp;"")</f>
        <v/>
      </c>
      <c r="H434">
        <f>IF($X434="","",INDEX('Per Line'!$J$2:$J$1501,$X434)&amp;"")</f>
        <v/>
      </c>
      <c r="I434">
        <f>IF($X434="","",INDEX('Per Line'!$K$2:$K$1501,$X434)&amp;"")</f>
        <v/>
      </c>
      <c r="J434">
        <f>IF($X434="","",INDEX('Per Line'!$M$2:$M$1501,$X434))</f>
        <v/>
      </c>
      <c r="K434" s="7">
        <f>IF($X434="","",J434*V434/100)</f>
        <v/>
      </c>
      <c r="L434">
        <f>IF($X434="","",INDEX('Per Line'!$Y$2:$Y$1501,$X434)&amp;"")</f>
        <v/>
      </c>
      <c r="M434" s="7">
        <f>IF($X434="","",SUMIFS('Per Line'!$U$2:$U$1501,'Per Line'!$AJ$2:$AJ$1501,$A434&amp;"|"&amp;$C434,'Per Line'!$AN$2:$AN$1501,1))</f>
        <v/>
      </c>
      <c r="N434">
        <f>IF($X434="","",Settings!$C$7)</f>
        <v/>
      </c>
      <c r="O434" s="7">
        <f>IF($X434="","",SUMIFS('Per Line'!$U$2:$U$1501,'Per Line'!$AJ$2:$AJ$1501,$A434&amp;"|"&amp;$C434,'Per Line'!$AM$2:$AM$1501,0,'Per Line'!$AN$2:$AN$1501,0))</f>
        <v/>
      </c>
      <c r="P434" s="7">
        <f>IF($X434="","",O434*N434)</f>
        <v/>
      </c>
      <c r="Q434">
        <f>IF($X434="","",Settings!$C$6)</f>
        <v/>
      </c>
      <c r="R434" s="7">
        <f>IF($X434="","",SUMIFS('Per Line'!$U$2:$U$1501,'Per Line'!$AJ$2:$AJ$1501,$A434&amp;"|"&amp;$C434,'Per Line'!$AM$2:$AM$1501,1,'Per Line'!$AN$2:$AN$1501,0))</f>
        <v/>
      </c>
      <c r="S434" s="7">
        <f>IF($X434="","",R434*Q434)</f>
        <v/>
      </c>
      <c r="T434" s="7">
        <f>IF($X434="","",S434+P434)</f>
        <v/>
      </c>
      <c r="U434" s="7">
        <f>IF($X434="","",V434-T434)</f>
        <v/>
      </c>
      <c r="V434" s="7">
        <f>IF($X434="","",O434+R434+M434)</f>
        <v/>
      </c>
      <c r="W434" s="7">
        <f>IF($X434="","",V434-T434-K434)</f>
        <v/>
      </c>
      <c r="X434" s="13">
        <f>IF(ROWS($X$2:$X434)&lt;=MAX('Per Line'!$AL$2:$AL$1501),MATCH(ROWS($X$2:$X434),'Per Line'!$AL$2:$AL$1501,0),"")</f>
        <v/>
      </c>
    </row>
    <row r="435">
      <c r="A435">
        <f>IF($X435="","",INDEX('Per Line'!$C$2:$C$1501,$X435)&amp;"")</f>
        <v/>
      </c>
      <c r="B435" s="12" t="n"/>
      <c r="C435">
        <f>IF($X435="","",INDEX('Per Line'!$D$2:$D$1501,$X435)&amp;"")</f>
        <v/>
      </c>
      <c r="D435">
        <f>IF($X435="","",INDEX('Per Line'!$A$2:$A$1501,$X435))</f>
        <v/>
      </c>
      <c r="E435">
        <f>IF($X435="","",INDEX('Per Line'!$G$2:$G$1501,$X435)&amp;"")</f>
        <v/>
      </c>
      <c r="F435" s="11">
        <f>IF($X435="","",INDEX('Per Line'!$F$2:$F$1501,$X435))</f>
        <v/>
      </c>
      <c r="G435">
        <f>IF($X435="","",INDEX('Per Line'!$I$2:$I$1501,$X435)&amp;"")</f>
        <v/>
      </c>
      <c r="H435">
        <f>IF($X435="","",INDEX('Per Line'!$J$2:$J$1501,$X435)&amp;"")</f>
        <v/>
      </c>
      <c r="I435">
        <f>IF($X435="","",INDEX('Per Line'!$K$2:$K$1501,$X435)&amp;"")</f>
        <v/>
      </c>
      <c r="J435">
        <f>IF($X435="","",INDEX('Per Line'!$M$2:$M$1501,$X435))</f>
        <v/>
      </c>
      <c r="K435" s="7">
        <f>IF($X435="","",J435*V435/100)</f>
        <v/>
      </c>
      <c r="L435">
        <f>IF($X435="","",INDEX('Per Line'!$Y$2:$Y$1501,$X435)&amp;"")</f>
        <v/>
      </c>
      <c r="M435" s="7">
        <f>IF($X435="","",SUMIFS('Per Line'!$U$2:$U$1501,'Per Line'!$AJ$2:$AJ$1501,$A435&amp;"|"&amp;$C435,'Per Line'!$AN$2:$AN$1501,1))</f>
        <v/>
      </c>
      <c r="N435">
        <f>IF($X435="","",Settings!$C$7)</f>
        <v/>
      </c>
      <c r="O435" s="7">
        <f>IF($X435="","",SUMIFS('Per Line'!$U$2:$U$1501,'Per Line'!$AJ$2:$AJ$1501,$A435&amp;"|"&amp;$C435,'Per Line'!$AM$2:$AM$1501,0,'Per Line'!$AN$2:$AN$1501,0))</f>
        <v/>
      </c>
      <c r="P435" s="7">
        <f>IF($X435="","",O435*N435)</f>
        <v/>
      </c>
      <c r="Q435">
        <f>IF($X435="","",Settings!$C$6)</f>
        <v/>
      </c>
      <c r="R435" s="7">
        <f>IF($X435="","",SUMIFS('Per Line'!$U$2:$U$1501,'Per Line'!$AJ$2:$AJ$1501,$A435&amp;"|"&amp;$C435,'Per Line'!$AM$2:$AM$1501,1,'Per Line'!$AN$2:$AN$1501,0))</f>
        <v/>
      </c>
      <c r="S435" s="7">
        <f>IF($X435="","",R435*Q435)</f>
        <v/>
      </c>
      <c r="T435" s="7">
        <f>IF($X435="","",S435+P435)</f>
        <v/>
      </c>
      <c r="U435" s="7">
        <f>IF($X435="","",V435-T435)</f>
        <v/>
      </c>
      <c r="V435" s="7">
        <f>IF($X435="","",O435+R435+M435)</f>
        <v/>
      </c>
      <c r="W435" s="7">
        <f>IF($X435="","",V435-T435-K435)</f>
        <v/>
      </c>
      <c r="X435" s="13">
        <f>IF(ROWS($X$2:$X435)&lt;=MAX('Per Line'!$AL$2:$AL$1501),MATCH(ROWS($X$2:$X435),'Per Line'!$AL$2:$AL$1501,0),"")</f>
        <v/>
      </c>
    </row>
    <row r="436">
      <c r="A436">
        <f>IF($X436="","",INDEX('Per Line'!$C$2:$C$1501,$X436)&amp;"")</f>
        <v/>
      </c>
      <c r="B436" s="12" t="n"/>
      <c r="C436">
        <f>IF($X436="","",INDEX('Per Line'!$D$2:$D$1501,$X436)&amp;"")</f>
        <v/>
      </c>
      <c r="D436">
        <f>IF($X436="","",INDEX('Per Line'!$A$2:$A$1501,$X436))</f>
        <v/>
      </c>
      <c r="E436">
        <f>IF($X436="","",INDEX('Per Line'!$G$2:$G$1501,$X436)&amp;"")</f>
        <v/>
      </c>
      <c r="F436" s="11">
        <f>IF($X436="","",INDEX('Per Line'!$F$2:$F$1501,$X436))</f>
        <v/>
      </c>
      <c r="G436">
        <f>IF($X436="","",INDEX('Per Line'!$I$2:$I$1501,$X436)&amp;"")</f>
        <v/>
      </c>
      <c r="H436">
        <f>IF($X436="","",INDEX('Per Line'!$J$2:$J$1501,$X436)&amp;"")</f>
        <v/>
      </c>
      <c r="I436">
        <f>IF($X436="","",INDEX('Per Line'!$K$2:$K$1501,$X436)&amp;"")</f>
        <v/>
      </c>
      <c r="J436">
        <f>IF($X436="","",INDEX('Per Line'!$M$2:$M$1501,$X436))</f>
        <v/>
      </c>
      <c r="K436" s="7">
        <f>IF($X436="","",J436*V436/100)</f>
        <v/>
      </c>
      <c r="L436">
        <f>IF($X436="","",INDEX('Per Line'!$Y$2:$Y$1501,$X436)&amp;"")</f>
        <v/>
      </c>
      <c r="M436" s="7">
        <f>IF($X436="","",SUMIFS('Per Line'!$U$2:$U$1501,'Per Line'!$AJ$2:$AJ$1501,$A436&amp;"|"&amp;$C436,'Per Line'!$AN$2:$AN$1501,1))</f>
        <v/>
      </c>
      <c r="N436">
        <f>IF($X436="","",Settings!$C$7)</f>
        <v/>
      </c>
      <c r="O436" s="7">
        <f>IF($X436="","",SUMIFS('Per Line'!$U$2:$U$1501,'Per Line'!$AJ$2:$AJ$1501,$A436&amp;"|"&amp;$C436,'Per Line'!$AM$2:$AM$1501,0,'Per Line'!$AN$2:$AN$1501,0))</f>
        <v/>
      </c>
      <c r="P436" s="7">
        <f>IF($X436="","",O436*N436)</f>
        <v/>
      </c>
      <c r="Q436">
        <f>IF($X436="","",Settings!$C$6)</f>
        <v/>
      </c>
      <c r="R436" s="7">
        <f>IF($X436="","",SUMIFS('Per Line'!$U$2:$U$1501,'Per Line'!$AJ$2:$AJ$1501,$A436&amp;"|"&amp;$C436,'Per Line'!$AM$2:$AM$1501,1,'Per Line'!$AN$2:$AN$1501,0))</f>
        <v/>
      </c>
      <c r="S436" s="7">
        <f>IF($X436="","",R436*Q436)</f>
        <v/>
      </c>
      <c r="T436" s="7">
        <f>IF($X436="","",S436+P436)</f>
        <v/>
      </c>
      <c r="U436" s="7">
        <f>IF($X436="","",V436-T436)</f>
        <v/>
      </c>
      <c r="V436" s="7">
        <f>IF($X436="","",O436+R436+M436)</f>
        <v/>
      </c>
      <c r="W436" s="7">
        <f>IF($X436="","",V436-T436-K436)</f>
        <v/>
      </c>
      <c r="X436" s="13">
        <f>IF(ROWS($X$2:$X436)&lt;=MAX('Per Line'!$AL$2:$AL$1501),MATCH(ROWS($X$2:$X436),'Per Line'!$AL$2:$AL$1501,0),"")</f>
        <v/>
      </c>
    </row>
    <row r="437">
      <c r="A437">
        <f>IF($X437="","",INDEX('Per Line'!$C$2:$C$1501,$X437)&amp;"")</f>
        <v/>
      </c>
      <c r="B437" s="12" t="n"/>
      <c r="C437">
        <f>IF($X437="","",INDEX('Per Line'!$D$2:$D$1501,$X437)&amp;"")</f>
        <v/>
      </c>
      <c r="D437">
        <f>IF($X437="","",INDEX('Per Line'!$A$2:$A$1501,$X437))</f>
        <v/>
      </c>
      <c r="E437">
        <f>IF($X437="","",INDEX('Per Line'!$G$2:$G$1501,$X437)&amp;"")</f>
        <v/>
      </c>
      <c r="F437" s="11">
        <f>IF($X437="","",INDEX('Per Line'!$F$2:$F$1501,$X437))</f>
        <v/>
      </c>
      <c r="G437">
        <f>IF($X437="","",INDEX('Per Line'!$I$2:$I$1501,$X437)&amp;"")</f>
        <v/>
      </c>
      <c r="H437">
        <f>IF($X437="","",INDEX('Per Line'!$J$2:$J$1501,$X437)&amp;"")</f>
        <v/>
      </c>
      <c r="I437">
        <f>IF($X437="","",INDEX('Per Line'!$K$2:$K$1501,$X437)&amp;"")</f>
        <v/>
      </c>
      <c r="J437">
        <f>IF($X437="","",INDEX('Per Line'!$M$2:$M$1501,$X437))</f>
        <v/>
      </c>
      <c r="K437" s="7">
        <f>IF($X437="","",J437*V437/100)</f>
        <v/>
      </c>
      <c r="L437">
        <f>IF($X437="","",INDEX('Per Line'!$Y$2:$Y$1501,$X437)&amp;"")</f>
        <v/>
      </c>
      <c r="M437" s="7">
        <f>IF($X437="","",SUMIFS('Per Line'!$U$2:$U$1501,'Per Line'!$AJ$2:$AJ$1501,$A437&amp;"|"&amp;$C437,'Per Line'!$AN$2:$AN$1501,1))</f>
        <v/>
      </c>
      <c r="N437">
        <f>IF($X437="","",Settings!$C$7)</f>
        <v/>
      </c>
      <c r="O437" s="7">
        <f>IF($X437="","",SUMIFS('Per Line'!$U$2:$U$1501,'Per Line'!$AJ$2:$AJ$1501,$A437&amp;"|"&amp;$C437,'Per Line'!$AM$2:$AM$1501,0,'Per Line'!$AN$2:$AN$1501,0))</f>
        <v/>
      </c>
      <c r="P437" s="7">
        <f>IF($X437="","",O437*N437)</f>
        <v/>
      </c>
      <c r="Q437">
        <f>IF($X437="","",Settings!$C$6)</f>
        <v/>
      </c>
      <c r="R437" s="7">
        <f>IF($X437="","",SUMIFS('Per Line'!$U$2:$U$1501,'Per Line'!$AJ$2:$AJ$1501,$A437&amp;"|"&amp;$C437,'Per Line'!$AM$2:$AM$1501,1,'Per Line'!$AN$2:$AN$1501,0))</f>
        <v/>
      </c>
      <c r="S437" s="7">
        <f>IF($X437="","",R437*Q437)</f>
        <v/>
      </c>
      <c r="T437" s="7">
        <f>IF($X437="","",S437+P437)</f>
        <v/>
      </c>
      <c r="U437" s="7">
        <f>IF($X437="","",V437-T437)</f>
        <v/>
      </c>
      <c r="V437" s="7">
        <f>IF($X437="","",O437+R437+M437)</f>
        <v/>
      </c>
      <c r="W437" s="7">
        <f>IF($X437="","",V437-T437-K437)</f>
        <v/>
      </c>
      <c r="X437" s="13">
        <f>IF(ROWS($X$2:$X437)&lt;=MAX('Per Line'!$AL$2:$AL$1501),MATCH(ROWS($X$2:$X437),'Per Line'!$AL$2:$AL$1501,0),"")</f>
        <v/>
      </c>
    </row>
    <row r="438">
      <c r="A438">
        <f>IF($X438="","",INDEX('Per Line'!$C$2:$C$1501,$X438)&amp;"")</f>
        <v/>
      </c>
      <c r="B438" s="12" t="n"/>
      <c r="C438">
        <f>IF($X438="","",INDEX('Per Line'!$D$2:$D$1501,$X438)&amp;"")</f>
        <v/>
      </c>
      <c r="D438">
        <f>IF($X438="","",INDEX('Per Line'!$A$2:$A$1501,$X438))</f>
        <v/>
      </c>
      <c r="E438">
        <f>IF($X438="","",INDEX('Per Line'!$G$2:$G$1501,$X438)&amp;"")</f>
        <v/>
      </c>
      <c r="F438" s="11">
        <f>IF($X438="","",INDEX('Per Line'!$F$2:$F$1501,$X438))</f>
        <v/>
      </c>
      <c r="G438">
        <f>IF($X438="","",INDEX('Per Line'!$I$2:$I$1501,$X438)&amp;"")</f>
        <v/>
      </c>
      <c r="H438">
        <f>IF($X438="","",INDEX('Per Line'!$J$2:$J$1501,$X438)&amp;"")</f>
        <v/>
      </c>
      <c r="I438">
        <f>IF($X438="","",INDEX('Per Line'!$K$2:$K$1501,$X438)&amp;"")</f>
        <v/>
      </c>
      <c r="J438">
        <f>IF($X438="","",INDEX('Per Line'!$M$2:$M$1501,$X438))</f>
        <v/>
      </c>
      <c r="K438" s="7">
        <f>IF($X438="","",J438*V438/100)</f>
        <v/>
      </c>
      <c r="L438">
        <f>IF($X438="","",INDEX('Per Line'!$Y$2:$Y$1501,$X438)&amp;"")</f>
        <v/>
      </c>
      <c r="M438" s="7">
        <f>IF($X438="","",SUMIFS('Per Line'!$U$2:$U$1501,'Per Line'!$AJ$2:$AJ$1501,$A438&amp;"|"&amp;$C438,'Per Line'!$AN$2:$AN$1501,1))</f>
        <v/>
      </c>
      <c r="N438">
        <f>IF($X438="","",Settings!$C$7)</f>
        <v/>
      </c>
      <c r="O438" s="7">
        <f>IF($X438="","",SUMIFS('Per Line'!$U$2:$U$1501,'Per Line'!$AJ$2:$AJ$1501,$A438&amp;"|"&amp;$C438,'Per Line'!$AM$2:$AM$1501,0,'Per Line'!$AN$2:$AN$1501,0))</f>
        <v/>
      </c>
      <c r="P438" s="7">
        <f>IF($X438="","",O438*N438)</f>
        <v/>
      </c>
      <c r="Q438">
        <f>IF($X438="","",Settings!$C$6)</f>
        <v/>
      </c>
      <c r="R438" s="7">
        <f>IF($X438="","",SUMIFS('Per Line'!$U$2:$U$1501,'Per Line'!$AJ$2:$AJ$1501,$A438&amp;"|"&amp;$C438,'Per Line'!$AM$2:$AM$1501,1,'Per Line'!$AN$2:$AN$1501,0))</f>
        <v/>
      </c>
      <c r="S438" s="7">
        <f>IF($X438="","",R438*Q438)</f>
        <v/>
      </c>
      <c r="T438" s="7">
        <f>IF($X438="","",S438+P438)</f>
        <v/>
      </c>
      <c r="U438" s="7">
        <f>IF($X438="","",V438-T438)</f>
        <v/>
      </c>
      <c r="V438" s="7">
        <f>IF($X438="","",O438+R438+M438)</f>
        <v/>
      </c>
      <c r="W438" s="7">
        <f>IF($X438="","",V438-T438-K438)</f>
        <v/>
      </c>
      <c r="X438" s="13">
        <f>IF(ROWS($X$2:$X438)&lt;=MAX('Per Line'!$AL$2:$AL$1501),MATCH(ROWS($X$2:$X438),'Per Line'!$AL$2:$AL$1501,0),"")</f>
        <v/>
      </c>
    </row>
    <row r="439">
      <c r="A439">
        <f>IF($X439="","",INDEX('Per Line'!$C$2:$C$1501,$X439)&amp;"")</f>
        <v/>
      </c>
      <c r="B439" s="12" t="n"/>
      <c r="C439">
        <f>IF($X439="","",INDEX('Per Line'!$D$2:$D$1501,$X439)&amp;"")</f>
        <v/>
      </c>
      <c r="D439">
        <f>IF($X439="","",INDEX('Per Line'!$A$2:$A$1501,$X439))</f>
        <v/>
      </c>
      <c r="E439">
        <f>IF($X439="","",INDEX('Per Line'!$G$2:$G$1501,$X439)&amp;"")</f>
        <v/>
      </c>
      <c r="F439" s="11">
        <f>IF($X439="","",INDEX('Per Line'!$F$2:$F$1501,$X439))</f>
        <v/>
      </c>
      <c r="G439">
        <f>IF($X439="","",INDEX('Per Line'!$I$2:$I$1501,$X439)&amp;"")</f>
        <v/>
      </c>
      <c r="H439">
        <f>IF($X439="","",INDEX('Per Line'!$J$2:$J$1501,$X439)&amp;"")</f>
        <v/>
      </c>
      <c r="I439">
        <f>IF($X439="","",INDEX('Per Line'!$K$2:$K$1501,$X439)&amp;"")</f>
        <v/>
      </c>
      <c r="J439">
        <f>IF($X439="","",INDEX('Per Line'!$M$2:$M$1501,$X439))</f>
        <v/>
      </c>
      <c r="K439" s="7">
        <f>IF($X439="","",J439*V439/100)</f>
        <v/>
      </c>
      <c r="L439">
        <f>IF($X439="","",INDEX('Per Line'!$Y$2:$Y$1501,$X439)&amp;"")</f>
        <v/>
      </c>
      <c r="M439" s="7">
        <f>IF($X439="","",SUMIFS('Per Line'!$U$2:$U$1501,'Per Line'!$AJ$2:$AJ$1501,$A439&amp;"|"&amp;$C439,'Per Line'!$AN$2:$AN$1501,1))</f>
        <v/>
      </c>
      <c r="N439">
        <f>IF($X439="","",Settings!$C$7)</f>
        <v/>
      </c>
      <c r="O439" s="7">
        <f>IF($X439="","",SUMIFS('Per Line'!$U$2:$U$1501,'Per Line'!$AJ$2:$AJ$1501,$A439&amp;"|"&amp;$C439,'Per Line'!$AM$2:$AM$1501,0,'Per Line'!$AN$2:$AN$1501,0))</f>
        <v/>
      </c>
      <c r="P439" s="7">
        <f>IF($X439="","",O439*N439)</f>
        <v/>
      </c>
      <c r="Q439">
        <f>IF($X439="","",Settings!$C$6)</f>
        <v/>
      </c>
      <c r="R439" s="7">
        <f>IF($X439="","",SUMIFS('Per Line'!$U$2:$U$1501,'Per Line'!$AJ$2:$AJ$1501,$A439&amp;"|"&amp;$C439,'Per Line'!$AM$2:$AM$1501,1,'Per Line'!$AN$2:$AN$1501,0))</f>
        <v/>
      </c>
      <c r="S439" s="7">
        <f>IF($X439="","",R439*Q439)</f>
        <v/>
      </c>
      <c r="T439" s="7">
        <f>IF($X439="","",S439+P439)</f>
        <v/>
      </c>
      <c r="U439" s="7">
        <f>IF($X439="","",V439-T439)</f>
        <v/>
      </c>
      <c r="V439" s="7">
        <f>IF($X439="","",O439+R439+M439)</f>
        <v/>
      </c>
      <c r="W439" s="7">
        <f>IF($X439="","",V439-T439-K439)</f>
        <v/>
      </c>
      <c r="X439" s="13">
        <f>IF(ROWS($X$2:$X439)&lt;=MAX('Per Line'!$AL$2:$AL$1501),MATCH(ROWS($X$2:$X439),'Per Line'!$AL$2:$AL$1501,0),"")</f>
        <v/>
      </c>
    </row>
    <row r="440">
      <c r="A440">
        <f>IF($X440="","",INDEX('Per Line'!$C$2:$C$1501,$X440)&amp;"")</f>
        <v/>
      </c>
      <c r="B440" s="12" t="n"/>
      <c r="C440">
        <f>IF($X440="","",INDEX('Per Line'!$D$2:$D$1501,$X440)&amp;"")</f>
        <v/>
      </c>
      <c r="D440">
        <f>IF($X440="","",INDEX('Per Line'!$A$2:$A$1501,$X440))</f>
        <v/>
      </c>
      <c r="E440">
        <f>IF($X440="","",INDEX('Per Line'!$G$2:$G$1501,$X440)&amp;"")</f>
        <v/>
      </c>
      <c r="F440" s="11">
        <f>IF($X440="","",INDEX('Per Line'!$F$2:$F$1501,$X440))</f>
        <v/>
      </c>
      <c r="G440">
        <f>IF($X440="","",INDEX('Per Line'!$I$2:$I$1501,$X440)&amp;"")</f>
        <v/>
      </c>
      <c r="H440">
        <f>IF($X440="","",INDEX('Per Line'!$J$2:$J$1501,$X440)&amp;"")</f>
        <v/>
      </c>
      <c r="I440">
        <f>IF($X440="","",INDEX('Per Line'!$K$2:$K$1501,$X440)&amp;"")</f>
        <v/>
      </c>
      <c r="J440">
        <f>IF($X440="","",INDEX('Per Line'!$M$2:$M$1501,$X440))</f>
        <v/>
      </c>
      <c r="K440" s="7">
        <f>IF($X440="","",J440*V440/100)</f>
        <v/>
      </c>
      <c r="L440">
        <f>IF($X440="","",INDEX('Per Line'!$Y$2:$Y$1501,$X440)&amp;"")</f>
        <v/>
      </c>
      <c r="M440" s="7">
        <f>IF($X440="","",SUMIFS('Per Line'!$U$2:$U$1501,'Per Line'!$AJ$2:$AJ$1501,$A440&amp;"|"&amp;$C440,'Per Line'!$AN$2:$AN$1501,1))</f>
        <v/>
      </c>
      <c r="N440">
        <f>IF($X440="","",Settings!$C$7)</f>
        <v/>
      </c>
      <c r="O440" s="7">
        <f>IF($X440="","",SUMIFS('Per Line'!$U$2:$U$1501,'Per Line'!$AJ$2:$AJ$1501,$A440&amp;"|"&amp;$C440,'Per Line'!$AM$2:$AM$1501,0,'Per Line'!$AN$2:$AN$1501,0))</f>
        <v/>
      </c>
      <c r="P440" s="7">
        <f>IF($X440="","",O440*N440)</f>
        <v/>
      </c>
      <c r="Q440">
        <f>IF($X440="","",Settings!$C$6)</f>
        <v/>
      </c>
      <c r="R440" s="7">
        <f>IF($X440="","",SUMIFS('Per Line'!$U$2:$U$1501,'Per Line'!$AJ$2:$AJ$1501,$A440&amp;"|"&amp;$C440,'Per Line'!$AM$2:$AM$1501,1,'Per Line'!$AN$2:$AN$1501,0))</f>
        <v/>
      </c>
      <c r="S440" s="7">
        <f>IF($X440="","",R440*Q440)</f>
        <v/>
      </c>
      <c r="T440" s="7">
        <f>IF($X440="","",S440+P440)</f>
        <v/>
      </c>
      <c r="U440" s="7">
        <f>IF($X440="","",V440-T440)</f>
        <v/>
      </c>
      <c r="V440" s="7">
        <f>IF($X440="","",O440+R440+M440)</f>
        <v/>
      </c>
      <c r="W440" s="7">
        <f>IF($X440="","",V440-T440-K440)</f>
        <v/>
      </c>
      <c r="X440" s="13">
        <f>IF(ROWS($X$2:$X440)&lt;=MAX('Per Line'!$AL$2:$AL$1501),MATCH(ROWS($X$2:$X440),'Per Line'!$AL$2:$AL$1501,0),"")</f>
        <v/>
      </c>
    </row>
    <row r="441">
      <c r="A441">
        <f>IF($X441="","",INDEX('Per Line'!$C$2:$C$1501,$X441)&amp;"")</f>
        <v/>
      </c>
      <c r="B441" s="12" t="n"/>
      <c r="C441">
        <f>IF($X441="","",INDEX('Per Line'!$D$2:$D$1501,$X441)&amp;"")</f>
        <v/>
      </c>
      <c r="D441">
        <f>IF($X441="","",INDEX('Per Line'!$A$2:$A$1501,$X441))</f>
        <v/>
      </c>
      <c r="E441">
        <f>IF($X441="","",INDEX('Per Line'!$G$2:$G$1501,$X441)&amp;"")</f>
        <v/>
      </c>
      <c r="F441" s="11">
        <f>IF($X441="","",INDEX('Per Line'!$F$2:$F$1501,$X441))</f>
        <v/>
      </c>
      <c r="G441">
        <f>IF($X441="","",INDEX('Per Line'!$I$2:$I$1501,$X441)&amp;"")</f>
        <v/>
      </c>
      <c r="H441">
        <f>IF($X441="","",INDEX('Per Line'!$J$2:$J$1501,$X441)&amp;"")</f>
        <v/>
      </c>
      <c r="I441">
        <f>IF($X441="","",INDEX('Per Line'!$K$2:$K$1501,$X441)&amp;"")</f>
        <v/>
      </c>
      <c r="J441">
        <f>IF($X441="","",INDEX('Per Line'!$M$2:$M$1501,$X441))</f>
        <v/>
      </c>
      <c r="K441" s="7">
        <f>IF($X441="","",J441*V441/100)</f>
        <v/>
      </c>
      <c r="L441">
        <f>IF($X441="","",INDEX('Per Line'!$Y$2:$Y$1501,$X441)&amp;"")</f>
        <v/>
      </c>
      <c r="M441" s="7">
        <f>IF($X441="","",SUMIFS('Per Line'!$U$2:$U$1501,'Per Line'!$AJ$2:$AJ$1501,$A441&amp;"|"&amp;$C441,'Per Line'!$AN$2:$AN$1501,1))</f>
        <v/>
      </c>
      <c r="N441">
        <f>IF($X441="","",Settings!$C$7)</f>
        <v/>
      </c>
      <c r="O441" s="7">
        <f>IF($X441="","",SUMIFS('Per Line'!$U$2:$U$1501,'Per Line'!$AJ$2:$AJ$1501,$A441&amp;"|"&amp;$C441,'Per Line'!$AM$2:$AM$1501,0,'Per Line'!$AN$2:$AN$1501,0))</f>
        <v/>
      </c>
      <c r="P441" s="7">
        <f>IF($X441="","",O441*N441)</f>
        <v/>
      </c>
      <c r="Q441">
        <f>IF($X441="","",Settings!$C$6)</f>
        <v/>
      </c>
      <c r="R441" s="7">
        <f>IF($X441="","",SUMIFS('Per Line'!$U$2:$U$1501,'Per Line'!$AJ$2:$AJ$1501,$A441&amp;"|"&amp;$C441,'Per Line'!$AM$2:$AM$1501,1,'Per Line'!$AN$2:$AN$1501,0))</f>
        <v/>
      </c>
      <c r="S441" s="7">
        <f>IF($X441="","",R441*Q441)</f>
        <v/>
      </c>
      <c r="T441" s="7">
        <f>IF($X441="","",S441+P441)</f>
        <v/>
      </c>
      <c r="U441" s="7">
        <f>IF($X441="","",V441-T441)</f>
        <v/>
      </c>
      <c r="V441" s="7">
        <f>IF($X441="","",O441+R441+M441)</f>
        <v/>
      </c>
      <c r="W441" s="7">
        <f>IF($X441="","",V441-T441-K441)</f>
        <v/>
      </c>
      <c r="X441" s="13">
        <f>IF(ROWS($X$2:$X441)&lt;=MAX('Per Line'!$AL$2:$AL$1501),MATCH(ROWS($X$2:$X441),'Per Line'!$AL$2:$AL$1501,0),"")</f>
        <v/>
      </c>
    </row>
    <row r="442">
      <c r="A442">
        <f>IF($X442="","",INDEX('Per Line'!$C$2:$C$1501,$X442)&amp;"")</f>
        <v/>
      </c>
      <c r="B442" s="12" t="n"/>
      <c r="C442">
        <f>IF($X442="","",INDEX('Per Line'!$D$2:$D$1501,$X442)&amp;"")</f>
        <v/>
      </c>
      <c r="D442">
        <f>IF($X442="","",INDEX('Per Line'!$A$2:$A$1501,$X442))</f>
        <v/>
      </c>
      <c r="E442">
        <f>IF($X442="","",INDEX('Per Line'!$G$2:$G$1501,$X442)&amp;"")</f>
        <v/>
      </c>
      <c r="F442" s="11">
        <f>IF($X442="","",INDEX('Per Line'!$F$2:$F$1501,$X442))</f>
        <v/>
      </c>
      <c r="G442">
        <f>IF($X442="","",INDEX('Per Line'!$I$2:$I$1501,$X442)&amp;"")</f>
        <v/>
      </c>
      <c r="H442">
        <f>IF($X442="","",INDEX('Per Line'!$J$2:$J$1501,$X442)&amp;"")</f>
        <v/>
      </c>
      <c r="I442">
        <f>IF($X442="","",INDEX('Per Line'!$K$2:$K$1501,$X442)&amp;"")</f>
        <v/>
      </c>
      <c r="J442">
        <f>IF($X442="","",INDEX('Per Line'!$M$2:$M$1501,$X442))</f>
        <v/>
      </c>
      <c r="K442" s="7">
        <f>IF($X442="","",J442*V442/100)</f>
        <v/>
      </c>
      <c r="L442">
        <f>IF($X442="","",INDEX('Per Line'!$Y$2:$Y$1501,$X442)&amp;"")</f>
        <v/>
      </c>
      <c r="M442" s="7">
        <f>IF($X442="","",SUMIFS('Per Line'!$U$2:$U$1501,'Per Line'!$AJ$2:$AJ$1501,$A442&amp;"|"&amp;$C442,'Per Line'!$AN$2:$AN$1501,1))</f>
        <v/>
      </c>
      <c r="N442">
        <f>IF($X442="","",Settings!$C$7)</f>
        <v/>
      </c>
      <c r="O442" s="7">
        <f>IF($X442="","",SUMIFS('Per Line'!$U$2:$U$1501,'Per Line'!$AJ$2:$AJ$1501,$A442&amp;"|"&amp;$C442,'Per Line'!$AM$2:$AM$1501,0,'Per Line'!$AN$2:$AN$1501,0))</f>
        <v/>
      </c>
      <c r="P442" s="7">
        <f>IF($X442="","",O442*N442)</f>
        <v/>
      </c>
      <c r="Q442">
        <f>IF($X442="","",Settings!$C$6)</f>
        <v/>
      </c>
      <c r="R442" s="7">
        <f>IF($X442="","",SUMIFS('Per Line'!$U$2:$U$1501,'Per Line'!$AJ$2:$AJ$1501,$A442&amp;"|"&amp;$C442,'Per Line'!$AM$2:$AM$1501,1,'Per Line'!$AN$2:$AN$1501,0))</f>
        <v/>
      </c>
      <c r="S442" s="7">
        <f>IF($X442="","",R442*Q442)</f>
        <v/>
      </c>
      <c r="T442" s="7">
        <f>IF($X442="","",S442+P442)</f>
        <v/>
      </c>
      <c r="U442" s="7">
        <f>IF($X442="","",V442-T442)</f>
        <v/>
      </c>
      <c r="V442" s="7">
        <f>IF($X442="","",O442+R442+M442)</f>
        <v/>
      </c>
      <c r="W442" s="7">
        <f>IF($X442="","",V442-T442-K442)</f>
        <v/>
      </c>
      <c r="X442" s="13">
        <f>IF(ROWS($X$2:$X442)&lt;=MAX('Per Line'!$AL$2:$AL$1501),MATCH(ROWS($X$2:$X442),'Per Line'!$AL$2:$AL$1501,0),"")</f>
        <v/>
      </c>
    </row>
    <row r="443">
      <c r="A443">
        <f>IF($X443="","",INDEX('Per Line'!$C$2:$C$1501,$X443)&amp;"")</f>
        <v/>
      </c>
      <c r="B443" s="12" t="n"/>
      <c r="C443">
        <f>IF($X443="","",INDEX('Per Line'!$D$2:$D$1501,$X443)&amp;"")</f>
        <v/>
      </c>
      <c r="D443">
        <f>IF($X443="","",INDEX('Per Line'!$A$2:$A$1501,$X443))</f>
        <v/>
      </c>
      <c r="E443">
        <f>IF($X443="","",INDEX('Per Line'!$G$2:$G$1501,$X443)&amp;"")</f>
        <v/>
      </c>
      <c r="F443" s="11">
        <f>IF($X443="","",INDEX('Per Line'!$F$2:$F$1501,$X443))</f>
        <v/>
      </c>
      <c r="G443">
        <f>IF($X443="","",INDEX('Per Line'!$I$2:$I$1501,$X443)&amp;"")</f>
        <v/>
      </c>
      <c r="H443">
        <f>IF($X443="","",INDEX('Per Line'!$J$2:$J$1501,$X443)&amp;"")</f>
        <v/>
      </c>
      <c r="I443">
        <f>IF($X443="","",INDEX('Per Line'!$K$2:$K$1501,$X443)&amp;"")</f>
        <v/>
      </c>
      <c r="J443">
        <f>IF($X443="","",INDEX('Per Line'!$M$2:$M$1501,$X443))</f>
        <v/>
      </c>
      <c r="K443" s="7">
        <f>IF($X443="","",J443*V443/100)</f>
        <v/>
      </c>
      <c r="L443">
        <f>IF($X443="","",INDEX('Per Line'!$Y$2:$Y$1501,$X443)&amp;"")</f>
        <v/>
      </c>
      <c r="M443" s="7">
        <f>IF($X443="","",SUMIFS('Per Line'!$U$2:$U$1501,'Per Line'!$AJ$2:$AJ$1501,$A443&amp;"|"&amp;$C443,'Per Line'!$AN$2:$AN$1501,1))</f>
        <v/>
      </c>
      <c r="N443">
        <f>IF($X443="","",Settings!$C$7)</f>
        <v/>
      </c>
      <c r="O443" s="7">
        <f>IF($X443="","",SUMIFS('Per Line'!$U$2:$U$1501,'Per Line'!$AJ$2:$AJ$1501,$A443&amp;"|"&amp;$C443,'Per Line'!$AM$2:$AM$1501,0,'Per Line'!$AN$2:$AN$1501,0))</f>
        <v/>
      </c>
      <c r="P443" s="7">
        <f>IF($X443="","",O443*N443)</f>
        <v/>
      </c>
      <c r="Q443">
        <f>IF($X443="","",Settings!$C$6)</f>
        <v/>
      </c>
      <c r="R443" s="7">
        <f>IF($X443="","",SUMIFS('Per Line'!$U$2:$U$1501,'Per Line'!$AJ$2:$AJ$1501,$A443&amp;"|"&amp;$C443,'Per Line'!$AM$2:$AM$1501,1,'Per Line'!$AN$2:$AN$1501,0))</f>
        <v/>
      </c>
      <c r="S443" s="7">
        <f>IF($X443="","",R443*Q443)</f>
        <v/>
      </c>
      <c r="T443" s="7">
        <f>IF($X443="","",S443+P443)</f>
        <v/>
      </c>
      <c r="U443" s="7">
        <f>IF($X443="","",V443-T443)</f>
        <v/>
      </c>
      <c r="V443" s="7">
        <f>IF($X443="","",O443+R443+M443)</f>
        <v/>
      </c>
      <c r="W443" s="7">
        <f>IF($X443="","",V443-T443-K443)</f>
        <v/>
      </c>
      <c r="X443" s="13">
        <f>IF(ROWS($X$2:$X443)&lt;=MAX('Per Line'!$AL$2:$AL$1501),MATCH(ROWS($X$2:$X443),'Per Line'!$AL$2:$AL$1501,0),"")</f>
        <v/>
      </c>
    </row>
    <row r="444">
      <c r="A444">
        <f>IF($X444="","",INDEX('Per Line'!$C$2:$C$1501,$X444)&amp;"")</f>
        <v/>
      </c>
      <c r="B444" s="12" t="n"/>
      <c r="C444">
        <f>IF($X444="","",INDEX('Per Line'!$D$2:$D$1501,$X444)&amp;"")</f>
        <v/>
      </c>
      <c r="D444">
        <f>IF($X444="","",INDEX('Per Line'!$A$2:$A$1501,$X444))</f>
        <v/>
      </c>
      <c r="E444">
        <f>IF($X444="","",INDEX('Per Line'!$G$2:$G$1501,$X444)&amp;"")</f>
        <v/>
      </c>
      <c r="F444" s="11">
        <f>IF($X444="","",INDEX('Per Line'!$F$2:$F$1501,$X444))</f>
        <v/>
      </c>
      <c r="G444">
        <f>IF($X444="","",INDEX('Per Line'!$I$2:$I$1501,$X444)&amp;"")</f>
        <v/>
      </c>
      <c r="H444">
        <f>IF($X444="","",INDEX('Per Line'!$J$2:$J$1501,$X444)&amp;"")</f>
        <v/>
      </c>
      <c r="I444">
        <f>IF($X444="","",INDEX('Per Line'!$K$2:$K$1501,$X444)&amp;"")</f>
        <v/>
      </c>
      <c r="J444">
        <f>IF($X444="","",INDEX('Per Line'!$M$2:$M$1501,$X444))</f>
        <v/>
      </c>
      <c r="K444" s="7">
        <f>IF($X444="","",J444*V444/100)</f>
        <v/>
      </c>
      <c r="L444">
        <f>IF($X444="","",INDEX('Per Line'!$Y$2:$Y$1501,$X444)&amp;"")</f>
        <v/>
      </c>
      <c r="M444" s="7">
        <f>IF($X444="","",SUMIFS('Per Line'!$U$2:$U$1501,'Per Line'!$AJ$2:$AJ$1501,$A444&amp;"|"&amp;$C444,'Per Line'!$AN$2:$AN$1501,1))</f>
        <v/>
      </c>
      <c r="N444">
        <f>IF($X444="","",Settings!$C$7)</f>
        <v/>
      </c>
      <c r="O444" s="7">
        <f>IF($X444="","",SUMIFS('Per Line'!$U$2:$U$1501,'Per Line'!$AJ$2:$AJ$1501,$A444&amp;"|"&amp;$C444,'Per Line'!$AM$2:$AM$1501,0,'Per Line'!$AN$2:$AN$1501,0))</f>
        <v/>
      </c>
      <c r="P444" s="7">
        <f>IF($X444="","",O444*N444)</f>
        <v/>
      </c>
      <c r="Q444">
        <f>IF($X444="","",Settings!$C$6)</f>
        <v/>
      </c>
      <c r="R444" s="7">
        <f>IF($X444="","",SUMIFS('Per Line'!$U$2:$U$1501,'Per Line'!$AJ$2:$AJ$1501,$A444&amp;"|"&amp;$C444,'Per Line'!$AM$2:$AM$1501,1,'Per Line'!$AN$2:$AN$1501,0))</f>
        <v/>
      </c>
      <c r="S444" s="7">
        <f>IF($X444="","",R444*Q444)</f>
        <v/>
      </c>
      <c r="T444" s="7">
        <f>IF($X444="","",S444+P444)</f>
        <v/>
      </c>
      <c r="U444" s="7">
        <f>IF($X444="","",V444-T444)</f>
        <v/>
      </c>
      <c r="V444" s="7">
        <f>IF($X444="","",O444+R444+M444)</f>
        <v/>
      </c>
      <c r="W444" s="7">
        <f>IF($X444="","",V444-T444-K444)</f>
        <v/>
      </c>
      <c r="X444" s="13">
        <f>IF(ROWS($X$2:$X444)&lt;=MAX('Per Line'!$AL$2:$AL$1501),MATCH(ROWS($X$2:$X444),'Per Line'!$AL$2:$AL$1501,0),"")</f>
        <v/>
      </c>
    </row>
    <row r="445">
      <c r="A445">
        <f>IF($X445="","",INDEX('Per Line'!$C$2:$C$1501,$X445)&amp;"")</f>
        <v/>
      </c>
      <c r="B445" s="12" t="n"/>
      <c r="C445">
        <f>IF($X445="","",INDEX('Per Line'!$D$2:$D$1501,$X445)&amp;"")</f>
        <v/>
      </c>
      <c r="D445">
        <f>IF($X445="","",INDEX('Per Line'!$A$2:$A$1501,$X445))</f>
        <v/>
      </c>
      <c r="E445">
        <f>IF($X445="","",INDEX('Per Line'!$G$2:$G$1501,$X445)&amp;"")</f>
        <v/>
      </c>
      <c r="F445" s="11">
        <f>IF($X445="","",INDEX('Per Line'!$F$2:$F$1501,$X445))</f>
        <v/>
      </c>
      <c r="G445">
        <f>IF($X445="","",INDEX('Per Line'!$I$2:$I$1501,$X445)&amp;"")</f>
        <v/>
      </c>
      <c r="H445">
        <f>IF($X445="","",INDEX('Per Line'!$J$2:$J$1501,$X445)&amp;"")</f>
        <v/>
      </c>
      <c r="I445">
        <f>IF($X445="","",INDEX('Per Line'!$K$2:$K$1501,$X445)&amp;"")</f>
        <v/>
      </c>
      <c r="J445">
        <f>IF($X445="","",INDEX('Per Line'!$M$2:$M$1501,$X445))</f>
        <v/>
      </c>
      <c r="K445" s="7">
        <f>IF($X445="","",J445*V445/100)</f>
        <v/>
      </c>
      <c r="L445">
        <f>IF($X445="","",INDEX('Per Line'!$Y$2:$Y$1501,$X445)&amp;"")</f>
        <v/>
      </c>
      <c r="M445" s="7">
        <f>IF($X445="","",SUMIFS('Per Line'!$U$2:$U$1501,'Per Line'!$AJ$2:$AJ$1501,$A445&amp;"|"&amp;$C445,'Per Line'!$AN$2:$AN$1501,1))</f>
        <v/>
      </c>
      <c r="N445">
        <f>IF($X445="","",Settings!$C$7)</f>
        <v/>
      </c>
      <c r="O445" s="7">
        <f>IF($X445="","",SUMIFS('Per Line'!$U$2:$U$1501,'Per Line'!$AJ$2:$AJ$1501,$A445&amp;"|"&amp;$C445,'Per Line'!$AM$2:$AM$1501,0,'Per Line'!$AN$2:$AN$1501,0))</f>
        <v/>
      </c>
      <c r="P445" s="7">
        <f>IF($X445="","",O445*N445)</f>
        <v/>
      </c>
      <c r="Q445">
        <f>IF($X445="","",Settings!$C$6)</f>
        <v/>
      </c>
      <c r="R445" s="7">
        <f>IF($X445="","",SUMIFS('Per Line'!$U$2:$U$1501,'Per Line'!$AJ$2:$AJ$1501,$A445&amp;"|"&amp;$C445,'Per Line'!$AM$2:$AM$1501,1,'Per Line'!$AN$2:$AN$1501,0))</f>
        <v/>
      </c>
      <c r="S445" s="7">
        <f>IF($X445="","",R445*Q445)</f>
        <v/>
      </c>
      <c r="T445" s="7">
        <f>IF($X445="","",S445+P445)</f>
        <v/>
      </c>
      <c r="U445" s="7">
        <f>IF($X445="","",V445-T445)</f>
        <v/>
      </c>
      <c r="V445" s="7">
        <f>IF($X445="","",O445+R445+M445)</f>
        <v/>
      </c>
      <c r="W445" s="7">
        <f>IF($X445="","",V445-T445-K445)</f>
        <v/>
      </c>
      <c r="X445" s="13">
        <f>IF(ROWS($X$2:$X445)&lt;=MAX('Per Line'!$AL$2:$AL$1501),MATCH(ROWS($X$2:$X445),'Per Line'!$AL$2:$AL$1501,0),"")</f>
        <v/>
      </c>
    </row>
    <row r="446">
      <c r="A446">
        <f>IF($X446="","",INDEX('Per Line'!$C$2:$C$1501,$X446)&amp;"")</f>
        <v/>
      </c>
      <c r="B446" s="12" t="n"/>
      <c r="C446">
        <f>IF($X446="","",INDEX('Per Line'!$D$2:$D$1501,$X446)&amp;"")</f>
        <v/>
      </c>
      <c r="D446">
        <f>IF($X446="","",INDEX('Per Line'!$A$2:$A$1501,$X446))</f>
        <v/>
      </c>
      <c r="E446">
        <f>IF($X446="","",INDEX('Per Line'!$G$2:$G$1501,$X446)&amp;"")</f>
        <v/>
      </c>
      <c r="F446" s="11">
        <f>IF($X446="","",INDEX('Per Line'!$F$2:$F$1501,$X446))</f>
        <v/>
      </c>
      <c r="G446">
        <f>IF($X446="","",INDEX('Per Line'!$I$2:$I$1501,$X446)&amp;"")</f>
        <v/>
      </c>
      <c r="H446">
        <f>IF($X446="","",INDEX('Per Line'!$J$2:$J$1501,$X446)&amp;"")</f>
        <v/>
      </c>
      <c r="I446">
        <f>IF($X446="","",INDEX('Per Line'!$K$2:$K$1501,$X446)&amp;"")</f>
        <v/>
      </c>
      <c r="J446">
        <f>IF($X446="","",INDEX('Per Line'!$M$2:$M$1501,$X446))</f>
        <v/>
      </c>
      <c r="K446" s="7">
        <f>IF($X446="","",J446*V446/100)</f>
        <v/>
      </c>
      <c r="L446">
        <f>IF($X446="","",INDEX('Per Line'!$Y$2:$Y$1501,$X446)&amp;"")</f>
        <v/>
      </c>
      <c r="M446" s="7">
        <f>IF($X446="","",SUMIFS('Per Line'!$U$2:$U$1501,'Per Line'!$AJ$2:$AJ$1501,$A446&amp;"|"&amp;$C446,'Per Line'!$AN$2:$AN$1501,1))</f>
        <v/>
      </c>
      <c r="N446">
        <f>IF($X446="","",Settings!$C$7)</f>
        <v/>
      </c>
      <c r="O446" s="7">
        <f>IF($X446="","",SUMIFS('Per Line'!$U$2:$U$1501,'Per Line'!$AJ$2:$AJ$1501,$A446&amp;"|"&amp;$C446,'Per Line'!$AM$2:$AM$1501,0,'Per Line'!$AN$2:$AN$1501,0))</f>
        <v/>
      </c>
      <c r="P446" s="7">
        <f>IF($X446="","",O446*N446)</f>
        <v/>
      </c>
      <c r="Q446">
        <f>IF($X446="","",Settings!$C$6)</f>
        <v/>
      </c>
      <c r="R446" s="7">
        <f>IF($X446="","",SUMIFS('Per Line'!$U$2:$U$1501,'Per Line'!$AJ$2:$AJ$1501,$A446&amp;"|"&amp;$C446,'Per Line'!$AM$2:$AM$1501,1,'Per Line'!$AN$2:$AN$1501,0))</f>
        <v/>
      </c>
      <c r="S446" s="7">
        <f>IF($X446="","",R446*Q446)</f>
        <v/>
      </c>
      <c r="T446" s="7">
        <f>IF($X446="","",S446+P446)</f>
        <v/>
      </c>
      <c r="U446" s="7">
        <f>IF($X446="","",V446-T446)</f>
        <v/>
      </c>
      <c r="V446" s="7">
        <f>IF($X446="","",O446+R446+M446)</f>
        <v/>
      </c>
      <c r="W446" s="7">
        <f>IF($X446="","",V446-T446-K446)</f>
        <v/>
      </c>
      <c r="X446" s="13">
        <f>IF(ROWS($X$2:$X446)&lt;=MAX('Per Line'!$AL$2:$AL$1501),MATCH(ROWS($X$2:$X446),'Per Line'!$AL$2:$AL$1501,0),"")</f>
        <v/>
      </c>
    </row>
    <row r="447">
      <c r="A447">
        <f>IF($X447="","",INDEX('Per Line'!$C$2:$C$1501,$X447)&amp;"")</f>
        <v/>
      </c>
      <c r="B447" s="12" t="n"/>
      <c r="C447">
        <f>IF($X447="","",INDEX('Per Line'!$D$2:$D$1501,$X447)&amp;"")</f>
        <v/>
      </c>
      <c r="D447">
        <f>IF($X447="","",INDEX('Per Line'!$A$2:$A$1501,$X447))</f>
        <v/>
      </c>
      <c r="E447">
        <f>IF($X447="","",INDEX('Per Line'!$G$2:$G$1501,$X447)&amp;"")</f>
        <v/>
      </c>
      <c r="F447" s="11">
        <f>IF($X447="","",INDEX('Per Line'!$F$2:$F$1501,$X447))</f>
        <v/>
      </c>
      <c r="G447">
        <f>IF($X447="","",INDEX('Per Line'!$I$2:$I$1501,$X447)&amp;"")</f>
        <v/>
      </c>
      <c r="H447">
        <f>IF($X447="","",INDEX('Per Line'!$J$2:$J$1501,$X447)&amp;"")</f>
        <v/>
      </c>
      <c r="I447">
        <f>IF($X447="","",INDEX('Per Line'!$K$2:$K$1501,$X447)&amp;"")</f>
        <v/>
      </c>
      <c r="J447">
        <f>IF($X447="","",INDEX('Per Line'!$M$2:$M$1501,$X447))</f>
        <v/>
      </c>
      <c r="K447" s="7">
        <f>IF($X447="","",J447*V447/100)</f>
        <v/>
      </c>
      <c r="L447">
        <f>IF($X447="","",INDEX('Per Line'!$Y$2:$Y$1501,$X447)&amp;"")</f>
        <v/>
      </c>
      <c r="M447" s="7">
        <f>IF($X447="","",SUMIFS('Per Line'!$U$2:$U$1501,'Per Line'!$AJ$2:$AJ$1501,$A447&amp;"|"&amp;$C447,'Per Line'!$AN$2:$AN$1501,1))</f>
        <v/>
      </c>
      <c r="N447">
        <f>IF($X447="","",Settings!$C$7)</f>
        <v/>
      </c>
      <c r="O447" s="7">
        <f>IF($X447="","",SUMIFS('Per Line'!$U$2:$U$1501,'Per Line'!$AJ$2:$AJ$1501,$A447&amp;"|"&amp;$C447,'Per Line'!$AM$2:$AM$1501,0,'Per Line'!$AN$2:$AN$1501,0))</f>
        <v/>
      </c>
      <c r="P447" s="7">
        <f>IF($X447="","",O447*N447)</f>
        <v/>
      </c>
      <c r="Q447">
        <f>IF($X447="","",Settings!$C$6)</f>
        <v/>
      </c>
      <c r="R447" s="7">
        <f>IF($X447="","",SUMIFS('Per Line'!$U$2:$U$1501,'Per Line'!$AJ$2:$AJ$1501,$A447&amp;"|"&amp;$C447,'Per Line'!$AM$2:$AM$1501,1,'Per Line'!$AN$2:$AN$1501,0))</f>
        <v/>
      </c>
      <c r="S447" s="7">
        <f>IF($X447="","",R447*Q447)</f>
        <v/>
      </c>
      <c r="T447" s="7">
        <f>IF($X447="","",S447+P447)</f>
        <v/>
      </c>
      <c r="U447" s="7">
        <f>IF($X447="","",V447-T447)</f>
        <v/>
      </c>
      <c r="V447" s="7">
        <f>IF($X447="","",O447+R447+M447)</f>
        <v/>
      </c>
      <c r="W447" s="7">
        <f>IF($X447="","",V447-T447-K447)</f>
        <v/>
      </c>
      <c r="X447" s="13">
        <f>IF(ROWS($X$2:$X447)&lt;=MAX('Per Line'!$AL$2:$AL$1501),MATCH(ROWS($X$2:$X447),'Per Line'!$AL$2:$AL$1501,0),"")</f>
        <v/>
      </c>
    </row>
    <row r="448">
      <c r="A448">
        <f>IF($X448="","",INDEX('Per Line'!$C$2:$C$1501,$X448)&amp;"")</f>
        <v/>
      </c>
      <c r="B448" s="12" t="n"/>
      <c r="C448">
        <f>IF($X448="","",INDEX('Per Line'!$D$2:$D$1501,$X448)&amp;"")</f>
        <v/>
      </c>
      <c r="D448">
        <f>IF($X448="","",INDEX('Per Line'!$A$2:$A$1501,$X448))</f>
        <v/>
      </c>
      <c r="E448">
        <f>IF($X448="","",INDEX('Per Line'!$G$2:$G$1501,$X448)&amp;"")</f>
        <v/>
      </c>
      <c r="F448" s="11">
        <f>IF($X448="","",INDEX('Per Line'!$F$2:$F$1501,$X448))</f>
        <v/>
      </c>
      <c r="G448">
        <f>IF($X448="","",INDEX('Per Line'!$I$2:$I$1501,$X448)&amp;"")</f>
        <v/>
      </c>
      <c r="H448">
        <f>IF($X448="","",INDEX('Per Line'!$J$2:$J$1501,$X448)&amp;"")</f>
        <v/>
      </c>
      <c r="I448">
        <f>IF($X448="","",INDEX('Per Line'!$K$2:$K$1501,$X448)&amp;"")</f>
        <v/>
      </c>
      <c r="J448">
        <f>IF($X448="","",INDEX('Per Line'!$M$2:$M$1501,$X448))</f>
        <v/>
      </c>
      <c r="K448" s="7">
        <f>IF($X448="","",J448*V448/100)</f>
        <v/>
      </c>
      <c r="L448">
        <f>IF($X448="","",INDEX('Per Line'!$Y$2:$Y$1501,$X448)&amp;"")</f>
        <v/>
      </c>
      <c r="M448" s="7">
        <f>IF($X448="","",SUMIFS('Per Line'!$U$2:$U$1501,'Per Line'!$AJ$2:$AJ$1501,$A448&amp;"|"&amp;$C448,'Per Line'!$AN$2:$AN$1501,1))</f>
        <v/>
      </c>
      <c r="N448">
        <f>IF($X448="","",Settings!$C$7)</f>
        <v/>
      </c>
      <c r="O448" s="7">
        <f>IF($X448="","",SUMIFS('Per Line'!$U$2:$U$1501,'Per Line'!$AJ$2:$AJ$1501,$A448&amp;"|"&amp;$C448,'Per Line'!$AM$2:$AM$1501,0,'Per Line'!$AN$2:$AN$1501,0))</f>
        <v/>
      </c>
      <c r="P448" s="7">
        <f>IF($X448="","",O448*N448)</f>
        <v/>
      </c>
      <c r="Q448">
        <f>IF($X448="","",Settings!$C$6)</f>
        <v/>
      </c>
      <c r="R448" s="7">
        <f>IF($X448="","",SUMIFS('Per Line'!$U$2:$U$1501,'Per Line'!$AJ$2:$AJ$1501,$A448&amp;"|"&amp;$C448,'Per Line'!$AM$2:$AM$1501,1,'Per Line'!$AN$2:$AN$1501,0))</f>
        <v/>
      </c>
      <c r="S448" s="7">
        <f>IF($X448="","",R448*Q448)</f>
        <v/>
      </c>
      <c r="T448" s="7">
        <f>IF($X448="","",S448+P448)</f>
        <v/>
      </c>
      <c r="U448" s="7">
        <f>IF($X448="","",V448-T448)</f>
        <v/>
      </c>
      <c r="V448" s="7">
        <f>IF($X448="","",O448+R448+M448)</f>
        <v/>
      </c>
      <c r="W448" s="7">
        <f>IF($X448="","",V448-T448-K448)</f>
        <v/>
      </c>
      <c r="X448" s="13">
        <f>IF(ROWS($X$2:$X448)&lt;=MAX('Per Line'!$AL$2:$AL$1501),MATCH(ROWS($X$2:$X448),'Per Line'!$AL$2:$AL$1501,0),"")</f>
        <v/>
      </c>
    </row>
    <row r="449">
      <c r="A449">
        <f>IF($X449="","",INDEX('Per Line'!$C$2:$C$1501,$X449)&amp;"")</f>
        <v/>
      </c>
      <c r="B449" s="12" t="n"/>
      <c r="C449">
        <f>IF($X449="","",INDEX('Per Line'!$D$2:$D$1501,$X449)&amp;"")</f>
        <v/>
      </c>
      <c r="D449">
        <f>IF($X449="","",INDEX('Per Line'!$A$2:$A$1501,$X449))</f>
        <v/>
      </c>
      <c r="E449">
        <f>IF($X449="","",INDEX('Per Line'!$G$2:$G$1501,$X449)&amp;"")</f>
        <v/>
      </c>
      <c r="F449" s="11">
        <f>IF($X449="","",INDEX('Per Line'!$F$2:$F$1501,$X449))</f>
        <v/>
      </c>
      <c r="G449">
        <f>IF($X449="","",INDEX('Per Line'!$I$2:$I$1501,$X449)&amp;"")</f>
        <v/>
      </c>
      <c r="H449">
        <f>IF($X449="","",INDEX('Per Line'!$J$2:$J$1501,$X449)&amp;"")</f>
        <v/>
      </c>
      <c r="I449">
        <f>IF($X449="","",INDEX('Per Line'!$K$2:$K$1501,$X449)&amp;"")</f>
        <v/>
      </c>
      <c r="J449">
        <f>IF($X449="","",INDEX('Per Line'!$M$2:$M$1501,$X449))</f>
        <v/>
      </c>
      <c r="K449" s="7">
        <f>IF($X449="","",J449*V449/100)</f>
        <v/>
      </c>
      <c r="L449">
        <f>IF($X449="","",INDEX('Per Line'!$Y$2:$Y$1501,$X449)&amp;"")</f>
        <v/>
      </c>
      <c r="M449" s="7">
        <f>IF($X449="","",SUMIFS('Per Line'!$U$2:$U$1501,'Per Line'!$AJ$2:$AJ$1501,$A449&amp;"|"&amp;$C449,'Per Line'!$AN$2:$AN$1501,1))</f>
        <v/>
      </c>
      <c r="N449">
        <f>IF($X449="","",Settings!$C$7)</f>
        <v/>
      </c>
      <c r="O449" s="7">
        <f>IF($X449="","",SUMIFS('Per Line'!$U$2:$U$1501,'Per Line'!$AJ$2:$AJ$1501,$A449&amp;"|"&amp;$C449,'Per Line'!$AM$2:$AM$1501,0,'Per Line'!$AN$2:$AN$1501,0))</f>
        <v/>
      </c>
      <c r="P449" s="7">
        <f>IF($X449="","",O449*N449)</f>
        <v/>
      </c>
      <c r="Q449">
        <f>IF($X449="","",Settings!$C$6)</f>
        <v/>
      </c>
      <c r="R449" s="7">
        <f>IF($X449="","",SUMIFS('Per Line'!$U$2:$U$1501,'Per Line'!$AJ$2:$AJ$1501,$A449&amp;"|"&amp;$C449,'Per Line'!$AM$2:$AM$1501,1,'Per Line'!$AN$2:$AN$1501,0))</f>
        <v/>
      </c>
      <c r="S449" s="7">
        <f>IF($X449="","",R449*Q449)</f>
        <v/>
      </c>
      <c r="T449" s="7">
        <f>IF($X449="","",S449+P449)</f>
        <v/>
      </c>
      <c r="U449" s="7">
        <f>IF($X449="","",V449-T449)</f>
        <v/>
      </c>
      <c r="V449" s="7">
        <f>IF($X449="","",O449+R449+M449)</f>
        <v/>
      </c>
      <c r="W449" s="7">
        <f>IF($X449="","",V449-T449-K449)</f>
        <v/>
      </c>
      <c r="X449" s="13">
        <f>IF(ROWS($X$2:$X449)&lt;=MAX('Per Line'!$AL$2:$AL$1501),MATCH(ROWS($X$2:$X449),'Per Line'!$AL$2:$AL$1501,0),"")</f>
        <v/>
      </c>
    </row>
    <row r="450">
      <c r="A450">
        <f>IF($X450="","",INDEX('Per Line'!$C$2:$C$1501,$X450)&amp;"")</f>
        <v/>
      </c>
      <c r="B450" s="12" t="n"/>
      <c r="C450">
        <f>IF($X450="","",INDEX('Per Line'!$D$2:$D$1501,$X450)&amp;"")</f>
        <v/>
      </c>
      <c r="D450">
        <f>IF($X450="","",INDEX('Per Line'!$A$2:$A$1501,$X450))</f>
        <v/>
      </c>
      <c r="E450">
        <f>IF($X450="","",INDEX('Per Line'!$G$2:$G$1501,$X450)&amp;"")</f>
        <v/>
      </c>
      <c r="F450" s="11">
        <f>IF($X450="","",INDEX('Per Line'!$F$2:$F$1501,$X450))</f>
        <v/>
      </c>
      <c r="G450">
        <f>IF($X450="","",INDEX('Per Line'!$I$2:$I$1501,$X450)&amp;"")</f>
        <v/>
      </c>
      <c r="H450">
        <f>IF($X450="","",INDEX('Per Line'!$J$2:$J$1501,$X450)&amp;"")</f>
        <v/>
      </c>
      <c r="I450">
        <f>IF($X450="","",INDEX('Per Line'!$K$2:$K$1501,$X450)&amp;"")</f>
        <v/>
      </c>
      <c r="J450">
        <f>IF($X450="","",INDEX('Per Line'!$M$2:$M$1501,$X450))</f>
        <v/>
      </c>
      <c r="K450" s="7">
        <f>IF($X450="","",J450*V450/100)</f>
        <v/>
      </c>
      <c r="L450">
        <f>IF($X450="","",INDEX('Per Line'!$Y$2:$Y$1501,$X450)&amp;"")</f>
        <v/>
      </c>
      <c r="M450" s="7">
        <f>IF($X450="","",SUMIFS('Per Line'!$U$2:$U$1501,'Per Line'!$AJ$2:$AJ$1501,$A450&amp;"|"&amp;$C450,'Per Line'!$AN$2:$AN$1501,1))</f>
        <v/>
      </c>
      <c r="N450">
        <f>IF($X450="","",Settings!$C$7)</f>
        <v/>
      </c>
      <c r="O450" s="7">
        <f>IF($X450="","",SUMIFS('Per Line'!$U$2:$U$1501,'Per Line'!$AJ$2:$AJ$1501,$A450&amp;"|"&amp;$C450,'Per Line'!$AM$2:$AM$1501,0,'Per Line'!$AN$2:$AN$1501,0))</f>
        <v/>
      </c>
      <c r="P450" s="7">
        <f>IF($X450="","",O450*N450)</f>
        <v/>
      </c>
      <c r="Q450">
        <f>IF($X450="","",Settings!$C$6)</f>
        <v/>
      </c>
      <c r="R450" s="7">
        <f>IF($X450="","",SUMIFS('Per Line'!$U$2:$U$1501,'Per Line'!$AJ$2:$AJ$1501,$A450&amp;"|"&amp;$C450,'Per Line'!$AM$2:$AM$1501,1,'Per Line'!$AN$2:$AN$1501,0))</f>
        <v/>
      </c>
      <c r="S450" s="7">
        <f>IF($X450="","",R450*Q450)</f>
        <v/>
      </c>
      <c r="T450" s="7">
        <f>IF($X450="","",S450+P450)</f>
        <v/>
      </c>
      <c r="U450" s="7">
        <f>IF($X450="","",V450-T450)</f>
        <v/>
      </c>
      <c r="V450" s="7">
        <f>IF($X450="","",O450+R450+M450)</f>
        <v/>
      </c>
      <c r="W450" s="7">
        <f>IF($X450="","",V450-T450-K450)</f>
        <v/>
      </c>
      <c r="X450" s="13">
        <f>IF(ROWS($X$2:$X450)&lt;=MAX('Per Line'!$AL$2:$AL$1501),MATCH(ROWS($X$2:$X450),'Per Line'!$AL$2:$AL$1501,0),"")</f>
        <v/>
      </c>
    </row>
    <row r="451">
      <c r="A451">
        <f>IF($X451="","",INDEX('Per Line'!$C$2:$C$1501,$X451)&amp;"")</f>
        <v/>
      </c>
      <c r="B451" s="12" t="n"/>
      <c r="C451">
        <f>IF($X451="","",INDEX('Per Line'!$D$2:$D$1501,$X451)&amp;"")</f>
        <v/>
      </c>
      <c r="D451">
        <f>IF($X451="","",INDEX('Per Line'!$A$2:$A$1501,$X451))</f>
        <v/>
      </c>
      <c r="E451">
        <f>IF($X451="","",INDEX('Per Line'!$G$2:$G$1501,$X451)&amp;"")</f>
        <v/>
      </c>
      <c r="F451" s="11">
        <f>IF($X451="","",INDEX('Per Line'!$F$2:$F$1501,$X451))</f>
        <v/>
      </c>
      <c r="G451">
        <f>IF($X451="","",INDEX('Per Line'!$I$2:$I$1501,$X451)&amp;"")</f>
        <v/>
      </c>
      <c r="H451">
        <f>IF($X451="","",INDEX('Per Line'!$J$2:$J$1501,$X451)&amp;"")</f>
        <v/>
      </c>
      <c r="I451">
        <f>IF($X451="","",INDEX('Per Line'!$K$2:$K$1501,$X451)&amp;"")</f>
        <v/>
      </c>
      <c r="J451">
        <f>IF($X451="","",INDEX('Per Line'!$M$2:$M$1501,$X451))</f>
        <v/>
      </c>
      <c r="K451" s="7">
        <f>IF($X451="","",J451*V451/100)</f>
        <v/>
      </c>
      <c r="L451">
        <f>IF($X451="","",INDEX('Per Line'!$Y$2:$Y$1501,$X451)&amp;"")</f>
        <v/>
      </c>
      <c r="M451" s="7">
        <f>IF($X451="","",SUMIFS('Per Line'!$U$2:$U$1501,'Per Line'!$AJ$2:$AJ$1501,$A451&amp;"|"&amp;$C451,'Per Line'!$AN$2:$AN$1501,1))</f>
        <v/>
      </c>
      <c r="N451">
        <f>IF($X451="","",Settings!$C$7)</f>
        <v/>
      </c>
      <c r="O451" s="7">
        <f>IF($X451="","",SUMIFS('Per Line'!$U$2:$U$1501,'Per Line'!$AJ$2:$AJ$1501,$A451&amp;"|"&amp;$C451,'Per Line'!$AM$2:$AM$1501,0,'Per Line'!$AN$2:$AN$1501,0))</f>
        <v/>
      </c>
      <c r="P451" s="7">
        <f>IF($X451="","",O451*N451)</f>
        <v/>
      </c>
      <c r="Q451">
        <f>IF($X451="","",Settings!$C$6)</f>
        <v/>
      </c>
      <c r="R451" s="7">
        <f>IF($X451="","",SUMIFS('Per Line'!$U$2:$U$1501,'Per Line'!$AJ$2:$AJ$1501,$A451&amp;"|"&amp;$C451,'Per Line'!$AM$2:$AM$1501,1,'Per Line'!$AN$2:$AN$1501,0))</f>
        <v/>
      </c>
      <c r="S451" s="7">
        <f>IF($X451="","",R451*Q451)</f>
        <v/>
      </c>
      <c r="T451" s="7">
        <f>IF($X451="","",S451+P451)</f>
        <v/>
      </c>
      <c r="U451" s="7">
        <f>IF($X451="","",V451-T451)</f>
        <v/>
      </c>
      <c r="V451" s="7">
        <f>IF($X451="","",O451+R451+M451)</f>
        <v/>
      </c>
      <c r="W451" s="7">
        <f>IF($X451="","",V451-T451-K451)</f>
        <v/>
      </c>
      <c r="X451" s="13">
        <f>IF(ROWS($X$2:$X451)&lt;=MAX('Per Line'!$AL$2:$AL$1501),MATCH(ROWS($X$2:$X451),'Per Line'!$AL$2:$AL$1501,0),"")</f>
        <v/>
      </c>
    </row>
    <row r="452">
      <c r="A452">
        <f>IF($X452="","",INDEX('Per Line'!$C$2:$C$1501,$X452)&amp;"")</f>
        <v/>
      </c>
      <c r="B452" s="12" t="n"/>
      <c r="C452">
        <f>IF($X452="","",INDEX('Per Line'!$D$2:$D$1501,$X452)&amp;"")</f>
        <v/>
      </c>
      <c r="D452">
        <f>IF($X452="","",INDEX('Per Line'!$A$2:$A$1501,$X452))</f>
        <v/>
      </c>
      <c r="E452">
        <f>IF($X452="","",INDEX('Per Line'!$G$2:$G$1501,$X452)&amp;"")</f>
        <v/>
      </c>
      <c r="F452" s="11">
        <f>IF($X452="","",INDEX('Per Line'!$F$2:$F$1501,$X452))</f>
        <v/>
      </c>
      <c r="G452">
        <f>IF($X452="","",INDEX('Per Line'!$I$2:$I$1501,$X452)&amp;"")</f>
        <v/>
      </c>
      <c r="H452">
        <f>IF($X452="","",INDEX('Per Line'!$J$2:$J$1501,$X452)&amp;"")</f>
        <v/>
      </c>
      <c r="I452">
        <f>IF($X452="","",INDEX('Per Line'!$K$2:$K$1501,$X452)&amp;"")</f>
        <v/>
      </c>
      <c r="J452">
        <f>IF($X452="","",INDEX('Per Line'!$M$2:$M$1501,$X452))</f>
        <v/>
      </c>
      <c r="K452" s="7">
        <f>IF($X452="","",J452*V452/100)</f>
        <v/>
      </c>
      <c r="L452">
        <f>IF($X452="","",INDEX('Per Line'!$Y$2:$Y$1501,$X452)&amp;"")</f>
        <v/>
      </c>
      <c r="M452" s="7">
        <f>IF($X452="","",SUMIFS('Per Line'!$U$2:$U$1501,'Per Line'!$AJ$2:$AJ$1501,$A452&amp;"|"&amp;$C452,'Per Line'!$AN$2:$AN$1501,1))</f>
        <v/>
      </c>
      <c r="N452">
        <f>IF($X452="","",Settings!$C$7)</f>
        <v/>
      </c>
      <c r="O452" s="7">
        <f>IF($X452="","",SUMIFS('Per Line'!$U$2:$U$1501,'Per Line'!$AJ$2:$AJ$1501,$A452&amp;"|"&amp;$C452,'Per Line'!$AM$2:$AM$1501,0,'Per Line'!$AN$2:$AN$1501,0))</f>
        <v/>
      </c>
      <c r="P452" s="7">
        <f>IF($X452="","",O452*N452)</f>
        <v/>
      </c>
      <c r="Q452">
        <f>IF($X452="","",Settings!$C$6)</f>
        <v/>
      </c>
      <c r="R452" s="7">
        <f>IF($X452="","",SUMIFS('Per Line'!$U$2:$U$1501,'Per Line'!$AJ$2:$AJ$1501,$A452&amp;"|"&amp;$C452,'Per Line'!$AM$2:$AM$1501,1,'Per Line'!$AN$2:$AN$1501,0))</f>
        <v/>
      </c>
      <c r="S452" s="7">
        <f>IF($X452="","",R452*Q452)</f>
        <v/>
      </c>
      <c r="T452" s="7">
        <f>IF($X452="","",S452+P452)</f>
        <v/>
      </c>
      <c r="U452" s="7">
        <f>IF($X452="","",V452-T452)</f>
        <v/>
      </c>
      <c r="V452" s="7">
        <f>IF($X452="","",O452+R452+M452)</f>
        <v/>
      </c>
      <c r="W452" s="7">
        <f>IF($X452="","",V452-T452-K452)</f>
        <v/>
      </c>
      <c r="X452" s="13">
        <f>IF(ROWS($X$2:$X452)&lt;=MAX('Per Line'!$AL$2:$AL$1501),MATCH(ROWS($X$2:$X452),'Per Line'!$AL$2:$AL$1501,0),"")</f>
        <v/>
      </c>
    </row>
    <row r="453">
      <c r="A453">
        <f>IF($X453="","",INDEX('Per Line'!$C$2:$C$1501,$X453)&amp;"")</f>
        <v/>
      </c>
      <c r="B453" s="12" t="n"/>
      <c r="C453">
        <f>IF($X453="","",INDEX('Per Line'!$D$2:$D$1501,$X453)&amp;"")</f>
        <v/>
      </c>
      <c r="D453">
        <f>IF($X453="","",INDEX('Per Line'!$A$2:$A$1501,$X453))</f>
        <v/>
      </c>
      <c r="E453">
        <f>IF($X453="","",INDEX('Per Line'!$G$2:$G$1501,$X453)&amp;"")</f>
        <v/>
      </c>
      <c r="F453" s="11">
        <f>IF($X453="","",INDEX('Per Line'!$F$2:$F$1501,$X453))</f>
        <v/>
      </c>
      <c r="G453">
        <f>IF($X453="","",INDEX('Per Line'!$I$2:$I$1501,$X453)&amp;"")</f>
        <v/>
      </c>
      <c r="H453">
        <f>IF($X453="","",INDEX('Per Line'!$J$2:$J$1501,$X453)&amp;"")</f>
        <v/>
      </c>
      <c r="I453">
        <f>IF($X453="","",INDEX('Per Line'!$K$2:$K$1501,$X453)&amp;"")</f>
        <v/>
      </c>
      <c r="J453">
        <f>IF($X453="","",INDEX('Per Line'!$M$2:$M$1501,$X453))</f>
        <v/>
      </c>
      <c r="K453" s="7">
        <f>IF($X453="","",J453*V453/100)</f>
        <v/>
      </c>
      <c r="L453">
        <f>IF($X453="","",INDEX('Per Line'!$Y$2:$Y$1501,$X453)&amp;"")</f>
        <v/>
      </c>
      <c r="M453" s="7">
        <f>IF($X453="","",SUMIFS('Per Line'!$U$2:$U$1501,'Per Line'!$AJ$2:$AJ$1501,$A453&amp;"|"&amp;$C453,'Per Line'!$AN$2:$AN$1501,1))</f>
        <v/>
      </c>
      <c r="N453">
        <f>IF($X453="","",Settings!$C$7)</f>
        <v/>
      </c>
      <c r="O453" s="7">
        <f>IF($X453="","",SUMIFS('Per Line'!$U$2:$U$1501,'Per Line'!$AJ$2:$AJ$1501,$A453&amp;"|"&amp;$C453,'Per Line'!$AM$2:$AM$1501,0,'Per Line'!$AN$2:$AN$1501,0))</f>
        <v/>
      </c>
      <c r="P453" s="7">
        <f>IF($X453="","",O453*N453)</f>
        <v/>
      </c>
      <c r="Q453">
        <f>IF($X453="","",Settings!$C$6)</f>
        <v/>
      </c>
      <c r="R453" s="7">
        <f>IF($X453="","",SUMIFS('Per Line'!$U$2:$U$1501,'Per Line'!$AJ$2:$AJ$1501,$A453&amp;"|"&amp;$C453,'Per Line'!$AM$2:$AM$1501,1,'Per Line'!$AN$2:$AN$1501,0))</f>
        <v/>
      </c>
      <c r="S453" s="7">
        <f>IF($X453="","",R453*Q453)</f>
        <v/>
      </c>
      <c r="T453" s="7">
        <f>IF($X453="","",S453+P453)</f>
        <v/>
      </c>
      <c r="U453" s="7">
        <f>IF($X453="","",V453-T453)</f>
        <v/>
      </c>
      <c r="V453" s="7">
        <f>IF($X453="","",O453+R453+M453)</f>
        <v/>
      </c>
      <c r="W453" s="7">
        <f>IF($X453="","",V453-T453-K453)</f>
        <v/>
      </c>
      <c r="X453" s="13">
        <f>IF(ROWS($X$2:$X453)&lt;=MAX('Per Line'!$AL$2:$AL$1501),MATCH(ROWS($X$2:$X453),'Per Line'!$AL$2:$AL$1501,0),"")</f>
        <v/>
      </c>
    </row>
    <row r="454">
      <c r="A454">
        <f>IF($X454="","",INDEX('Per Line'!$C$2:$C$1501,$X454)&amp;"")</f>
        <v/>
      </c>
      <c r="B454" s="12" t="n"/>
      <c r="C454">
        <f>IF($X454="","",INDEX('Per Line'!$D$2:$D$1501,$X454)&amp;"")</f>
        <v/>
      </c>
      <c r="D454">
        <f>IF($X454="","",INDEX('Per Line'!$A$2:$A$1501,$X454))</f>
        <v/>
      </c>
      <c r="E454">
        <f>IF($X454="","",INDEX('Per Line'!$G$2:$G$1501,$X454)&amp;"")</f>
        <v/>
      </c>
      <c r="F454" s="11">
        <f>IF($X454="","",INDEX('Per Line'!$F$2:$F$1501,$X454))</f>
        <v/>
      </c>
      <c r="G454">
        <f>IF($X454="","",INDEX('Per Line'!$I$2:$I$1501,$X454)&amp;"")</f>
        <v/>
      </c>
      <c r="H454">
        <f>IF($X454="","",INDEX('Per Line'!$J$2:$J$1501,$X454)&amp;"")</f>
        <v/>
      </c>
      <c r="I454">
        <f>IF($X454="","",INDEX('Per Line'!$K$2:$K$1501,$X454)&amp;"")</f>
        <v/>
      </c>
      <c r="J454">
        <f>IF($X454="","",INDEX('Per Line'!$M$2:$M$1501,$X454))</f>
        <v/>
      </c>
      <c r="K454" s="7">
        <f>IF($X454="","",J454*V454/100)</f>
        <v/>
      </c>
      <c r="L454">
        <f>IF($X454="","",INDEX('Per Line'!$Y$2:$Y$1501,$X454)&amp;"")</f>
        <v/>
      </c>
      <c r="M454" s="7">
        <f>IF($X454="","",SUMIFS('Per Line'!$U$2:$U$1501,'Per Line'!$AJ$2:$AJ$1501,$A454&amp;"|"&amp;$C454,'Per Line'!$AN$2:$AN$1501,1))</f>
        <v/>
      </c>
      <c r="N454">
        <f>IF($X454="","",Settings!$C$7)</f>
        <v/>
      </c>
      <c r="O454" s="7">
        <f>IF($X454="","",SUMIFS('Per Line'!$U$2:$U$1501,'Per Line'!$AJ$2:$AJ$1501,$A454&amp;"|"&amp;$C454,'Per Line'!$AM$2:$AM$1501,0,'Per Line'!$AN$2:$AN$1501,0))</f>
        <v/>
      </c>
      <c r="P454" s="7">
        <f>IF($X454="","",O454*N454)</f>
        <v/>
      </c>
      <c r="Q454">
        <f>IF($X454="","",Settings!$C$6)</f>
        <v/>
      </c>
      <c r="R454" s="7">
        <f>IF($X454="","",SUMIFS('Per Line'!$U$2:$U$1501,'Per Line'!$AJ$2:$AJ$1501,$A454&amp;"|"&amp;$C454,'Per Line'!$AM$2:$AM$1501,1,'Per Line'!$AN$2:$AN$1501,0))</f>
        <v/>
      </c>
      <c r="S454" s="7">
        <f>IF($X454="","",R454*Q454)</f>
        <v/>
      </c>
      <c r="T454" s="7">
        <f>IF($X454="","",S454+P454)</f>
        <v/>
      </c>
      <c r="U454" s="7">
        <f>IF($X454="","",V454-T454)</f>
        <v/>
      </c>
      <c r="V454" s="7">
        <f>IF($X454="","",O454+R454+M454)</f>
        <v/>
      </c>
      <c r="W454" s="7">
        <f>IF($X454="","",V454-T454-K454)</f>
        <v/>
      </c>
      <c r="X454" s="13">
        <f>IF(ROWS($X$2:$X454)&lt;=MAX('Per Line'!$AL$2:$AL$1501),MATCH(ROWS($X$2:$X454),'Per Line'!$AL$2:$AL$1501,0),"")</f>
        <v/>
      </c>
    </row>
    <row r="455">
      <c r="A455">
        <f>IF($X455="","",INDEX('Per Line'!$C$2:$C$1501,$X455)&amp;"")</f>
        <v/>
      </c>
      <c r="B455" s="12" t="n"/>
      <c r="C455">
        <f>IF($X455="","",INDEX('Per Line'!$D$2:$D$1501,$X455)&amp;"")</f>
        <v/>
      </c>
      <c r="D455">
        <f>IF($X455="","",INDEX('Per Line'!$A$2:$A$1501,$X455))</f>
        <v/>
      </c>
      <c r="E455">
        <f>IF($X455="","",INDEX('Per Line'!$G$2:$G$1501,$X455)&amp;"")</f>
        <v/>
      </c>
      <c r="F455" s="11">
        <f>IF($X455="","",INDEX('Per Line'!$F$2:$F$1501,$X455))</f>
        <v/>
      </c>
      <c r="G455">
        <f>IF($X455="","",INDEX('Per Line'!$I$2:$I$1501,$X455)&amp;"")</f>
        <v/>
      </c>
      <c r="H455">
        <f>IF($X455="","",INDEX('Per Line'!$J$2:$J$1501,$X455)&amp;"")</f>
        <v/>
      </c>
      <c r="I455">
        <f>IF($X455="","",INDEX('Per Line'!$K$2:$K$1501,$X455)&amp;"")</f>
        <v/>
      </c>
      <c r="J455">
        <f>IF($X455="","",INDEX('Per Line'!$M$2:$M$1501,$X455))</f>
        <v/>
      </c>
      <c r="K455" s="7">
        <f>IF($X455="","",J455*V455/100)</f>
        <v/>
      </c>
      <c r="L455">
        <f>IF($X455="","",INDEX('Per Line'!$Y$2:$Y$1501,$X455)&amp;"")</f>
        <v/>
      </c>
      <c r="M455" s="7">
        <f>IF($X455="","",SUMIFS('Per Line'!$U$2:$U$1501,'Per Line'!$AJ$2:$AJ$1501,$A455&amp;"|"&amp;$C455,'Per Line'!$AN$2:$AN$1501,1))</f>
        <v/>
      </c>
      <c r="N455">
        <f>IF($X455="","",Settings!$C$7)</f>
        <v/>
      </c>
      <c r="O455" s="7">
        <f>IF($X455="","",SUMIFS('Per Line'!$U$2:$U$1501,'Per Line'!$AJ$2:$AJ$1501,$A455&amp;"|"&amp;$C455,'Per Line'!$AM$2:$AM$1501,0,'Per Line'!$AN$2:$AN$1501,0))</f>
        <v/>
      </c>
      <c r="P455" s="7">
        <f>IF($X455="","",O455*N455)</f>
        <v/>
      </c>
      <c r="Q455">
        <f>IF($X455="","",Settings!$C$6)</f>
        <v/>
      </c>
      <c r="R455" s="7">
        <f>IF($X455="","",SUMIFS('Per Line'!$U$2:$U$1501,'Per Line'!$AJ$2:$AJ$1501,$A455&amp;"|"&amp;$C455,'Per Line'!$AM$2:$AM$1501,1,'Per Line'!$AN$2:$AN$1501,0))</f>
        <v/>
      </c>
      <c r="S455" s="7">
        <f>IF($X455="","",R455*Q455)</f>
        <v/>
      </c>
      <c r="T455" s="7">
        <f>IF($X455="","",S455+P455)</f>
        <v/>
      </c>
      <c r="U455" s="7">
        <f>IF($X455="","",V455-T455)</f>
        <v/>
      </c>
      <c r="V455" s="7">
        <f>IF($X455="","",O455+R455+M455)</f>
        <v/>
      </c>
      <c r="W455" s="7">
        <f>IF($X455="","",V455-T455-K455)</f>
        <v/>
      </c>
      <c r="X455" s="13">
        <f>IF(ROWS($X$2:$X455)&lt;=MAX('Per Line'!$AL$2:$AL$1501),MATCH(ROWS($X$2:$X455),'Per Line'!$AL$2:$AL$1501,0),"")</f>
        <v/>
      </c>
    </row>
    <row r="456">
      <c r="A456">
        <f>IF($X456="","",INDEX('Per Line'!$C$2:$C$1501,$X456)&amp;"")</f>
        <v/>
      </c>
      <c r="B456" s="12" t="n"/>
      <c r="C456">
        <f>IF($X456="","",INDEX('Per Line'!$D$2:$D$1501,$X456)&amp;"")</f>
        <v/>
      </c>
      <c r="D456">
        <f>IF($X456="","",INDEX('Per Line'!$A$2:$A$1501,$X456))</f>
        <v/>
      </c>
      <c r="E456">
        <f>IF($X456="","",INDEX('Per Line'!$G$2:$G$1501,$X456)&amp;"")</f>
        <v/>
      </c>
      <c r="F456" s="11">
        <f>IF($X456="","",INDEX('Per Line'!$F$2:$F$1501,$X456))</f>
        <v/>
      </c>
      <c r="G456">
        <f>IF($X456="","",INDEX('Per Line'!$I$2:$I$1501,$X456)&amp;"")</f>
        <v/>
      </c>
      <c r="H456">
        <f>IF($X456="","",INDEX('Per Line'!$J$2:$J$1501,$X456)&amp;"")</f>
        <v/>
      </c>
      <c r="I456">
        <f>IF($X456="","",INDEX('Per Line'!$K$2:$K$1501,$X456)&amp;"")</f>
        <v/>
      </c>
      <c r="J456">
        <f>IF($X456="","",INDEX('Per Line'!$M$2:$M$1501,$X456))</f>
        <v/>
      </c>
      <c r="K456" s="7">
        <f>IF($X456="","",J456*V456/100)</f>
        <v/>
      </c>
      <c r="L456">
        <f>IF($X456="","",INDEX('Per Line'!$Y$2:$Y$1501,$X456)&amp;"")</f>
        <v/>
      </c>
      <c r="M456" s="7">
        <f>IF($X456="","",SUMIFS('Per Line'!$U$2:$U$1501,'Per Line'!$AJ$2:$AJ$1501,$A456&amp;"|"&amp;$C456,'Per Line'!$AN$2:$AN$1501,1))</f>
        <v/>
      </c>
      <c r="N456">
        <f>IF($X456="","",Settings!$C$7)</f>
        <v/>
      </c>
      <c r="O456" s="7">
        <f>IF($X456="","",SUMIFS('Per Line'!$U$2:$U$1501,'Per Line'!$AJ$2:$AJ$1501,$A456&amp;"|"&amp;$C456,'Per Line'!$AM$2:$AM$1501,0,'Per Line'!$AN$2:$AN$1501,0))</f>
        <v/>
      </c>
      <c r="P456" s="7">
        <f>IF($X456="","",O456*N456)</f>
        <v/>
      </c>
      <c r="Q456">
        <f>IF($X456="","",Settings!$C$6)</f>
        <v/>
      </c>
      <c r="R456" s="7">
        <f>IF($X456="","",SUMIFS('Per Line'!$U$2:$U$1501,'Per Line'!$AJ$2:$AJ$1501,$A456&amp;"|"&amp;$C456,'Per Line'!$AM$2:$AM$1501,1,'Per Line'!$AN$2:$AN$1501,0))</f>
        <v/>
      </c>
      <c r="S456" s="7">
        <f>IF($X456="","",R456*Q456)</f>
        <v/>
      </c>
      <c r="T456" s="7">
        <f>IF($X456="","",S456+P456)</f>
        <v/>
      </c>
      <c r="U456" s="7">
        <f>IF($X456="","",V456-T456)</f>
        <v/>
      </c>
      <c r="V456" s="7">
        <f>IF($X456="","",O456+R456+M456)</f>
        <v/>
      </c>
      <c r="W456" s="7">
        <f>IF($X456="","",V456-T456-K456)</f>
        <v/>
      </c>
      <c r="X456" s="13">
        <f>IF(ROWS($X$2:$X456)&lt;=MAX('Per Line'!$AL$2:$AL$1501),MATCH(ROWS($X$2:$X456),'Per Line'!$AL$2:$AL$1501,0),"")</f>
        <v/>
      </c>
    </row>
    <row r="457">
      <c r="A457">
        <f>IF($X457="","",INDEX('Per Line'!$C$2:$C$1501,$X457)&amp;"")</f>
        <v/>
      </c>
      <c r="B457" s="12" t="n"/>
      <c r="C457">
        <f>IF($X457="","",INDEX('Per Line'!$D$2:$D$1501,$X457)&amp;"")</f>
        <v/>
      </c>
      <c r="D457">
        <f>IF($X457="","",INDEX('Per Line'!$A$2:$A$1501,$X457))</f>
        <v/>
      </c>
      <c r="E457">
        <f>IF($X457="","",INDEX('Per Line'!$G$2:$G$1501,$X457)&amp;"")</f>
        <v/>
      </c>
      <c r="F457" s="11">
        <f>IF($X457="","",INDEX('Per Line'!$F$2:$F$1501,$X457))</f>
        <v/>
      </c>
      <c r="G457">
        <f>IF($X457="","",INDEX('Per Line'!$I$2:$I$1501,$X457)&amp;"")</f>
        <v/>
      </c>
      <c r="H457">
        <f>IF($X457="","",INDEX('Per Line'!$J$2:$J$1501,$X457)&amp;"")</f>
        <v/>
      </c>
      <c r="I457">
        <f>IF($X457="","",INDEX('Per Line'!$K$2:$K$1501,$X457)&amp;"")</f>
        <v/>
      </c>
      <c r="J457">
        <f>IF($X457="","",INDEX('Per Line'!$M$2:$M$1501,$X457))</f>
        <v/>
      </c>
      <c r="K457" s="7">
        <f>IF($X457="","",J457*V457/100)</f>
        <v/>
      </c>
      <c r="L457">
        <f>IF($X457="","",INDEX('Per Line'!$Y$2:$Y$1501,$X457)&amp;"")</f>
        <v/>
      </c>
      <c r="M457" s="7">
        <f>IF($X457="","",SUMIFS('Per Line'!$U$2:$U$1501,'Per Line'!$AJ$2:$AJ$1501,$A457&amp;"|"&amp;$C457,'Per Line'!$AN$2:$AN$1501,1))</f>
        <v/>
      </c>
      <c r="N457">
        <f>IF($X457="","",Settings!$C$7)</f>
        <v/>
      </c>
      <c r="O457" s="7">
        <f>IF($X457="","",SUMIFS('Per Line'!$U$2:$U$1501,'Per Line'!$AJ$2:$AJ$1501,$A457&amp;"|"&amp;$C457,'Per Line'!$AM$2:$AM$1501,0,'Per Line'!$AN$2:$AN$1501,0))</f>
        <v/>
      </c>
      <c r="P457" s="7">
        <f>IF($X457="","",O457*N457)</f>
        <v/>
      </c>
      <c r="Q457">
        <f>IF($X457="","",Settings!$C$6)</f>
        <v/>
      </c>
      <c r="R457" s="7">
        <f>IF($X457="","",SUMIFS('Per Line'!$U$2:$U$1501,'Per Line'!$AJ$2:$AJ$1501,$A457&amp;"|"&amp;$C457,'Per Line'!$AM$2:$AM$1501,1,'Per Line'!$AN$2:$AN$1501,0))</f>
        <v/>
      </c>
      <c r="S457" s="7">
        <f>IF($X457="","",R457*Q457)</f>
        <v/>
      </c>
      <c r="T457" s="7">
        <f>IF($X457="","",S457+P457)</f>
        <v/>
      </c>
      <c r="U457" s="7">
        <f>IF($X457="","",V457-T457)</f>
        <v/>
      </c>
      <c r="V457" s="7">
        <f>IF($X457="","",O457+R457+M457)</f>
        <v/>
      </c>
      <c r="W457" s="7">
        <f>IF($X457="","",V457-T457-K457)</f>
        <v/>
      </c>
      <c r="X457" s="13">
        <f>IF(ROWS($X$2:$X457)&lt;=MAX('Per Line'!$AL$2:$AL$1501),MATCH(ROWS($X$2:$X457),'Per Line'!$AL$2:$AL$1501,0),"")</f>
        <v/>
      </c>
    </row>
    <row r="458">
      <c r="A458">
        <f>IF($X458="","",INDEX('Per Line'!$C$2:$C$1501,$X458)&amp;"")</f>
        <v/>
      </c>
      <c r="B458" s="12" t="n"/>
      <c r="C458">
        <f>IF($X458="","",INDEX('Per Line'!$D$2:$D$1501,$X458)&amp;"")</f>
        <v/>
      </c>
      <c r="D458">
        <f>IF($X458="","",INDEX('Per Line'!$A$2:$A$1501,$X458))</f>
        <v/>
      </c>
      <c r="E458">
        <f>IF($X458="","",INDEX('Per Line'!$G$2:$G$1501,$X458)&amp;"")</f>
        <v/>
      </c>
      <c r="F458" s="11">
        <f>IF($X458="","",INDEX('Per Line'!$F$2:$F$1501,$X458))</f>
        <v/>
      </c>
      <c r="G458">
        <f>IF($X458="","",INDEX('Per Line'!$I$2:$I$1501,$X458)&amp;"")</f>
        <v/>
      </c>
      <c r="H458">
        <f>IF($X458="","",INDEX('Per Line'!$J$2:$J$1501,$X458)&amp;"")</f>
        <v/>
      </c>
      <c r="I458">
        <f>IF($X458="","",INDEX('Per Line'!$K$2:$K$1501,$X458)&amp;"")</f>
        <v/>
      </c>
      <c r="J458">
        <f>IF($X458="","",INDEX('Per Line'!$M$2:$M$1501,$X458))</f>
        <v/>
      </c>
      <c r="K458" s="7">
        <f>IF($X458="","",J458*V458/100)</f>
        <v/>
      </c>
      <c r="L458">
        <f>IF($X458="","",INDEX('Per Line'!$Y$2:$Y$1501,$X458)&amp;"")</f>
        <v/>
      </c>
      <c r="M458" s="7">
        <f>IF($X458="","",SUMIFS('Per Line'!$U$2:$U$1501,'Per Line'!$AJ$2:$AJ$1501,$A458&amp;"|"&amp;$C458,'Per Line'!$AN$2:$AN$1501,1))</f>
        <v/>
      </c>
      <c r="N458">
        <f>IF($X458="","",Settings!$C$7)</f>
        <v/>
      </c>
      <c r="O458" s="7">
        <f>IF($X458="","",SUMIFS('Per Line'!$U$2:$U$1501,'Per Line'!$AJ$2:$AJ$1501,$A458&amp;"|"&amp;$C458,'Per Line'!$AM$2:$AM$1501,0,'Per Line'!$AN$2:$AN$1501,0))</f>
        <v/>
      </c>
      <c r="P458" s="7">
        <f>IF($X458="","",O458*N458)</f>
        <v/>
      </c>
      <c r="Q458">
        <f>IF($X458="","",Settings!$C$6)</f>
        <v/>
      </c>
      <c r="R458" s="7">
        <f>IF($X458="","",SUMIFS('Per Line'!$U$2:$U$1501,'Per Line'!$AJ$2:$AJ$1501,$A458&amp;"|"&amp;$C458,'Per Line'!$AM$2:$AM$1501,1,'Per Line'!$AN$2:$AN$1501,0))</f>
        <v/>
      </c>
      <c r="S458" s="7">
        <f>IF($X458="","",R458*Q458)</f>
        <v/>
      </c>
      <c r="T458" s="7">
        <f>IF($X458="","",S458+P458)</f>
        <v/>
      </c>
      <c r="U458" s="7">
        <f>IF($X458="","",V458-T458)</f>
        <v/>
      </c>
      <c r="V458" s="7">
        <f>IF($X458="","",O458+R458+M458)</f>
        <v/>
      </c>
      <c r="W458" s="7">
        <f>IF($X458="","",V458-T458-K458)</f>
        <v/>
      </c>
      <c r="X458" s="13">
        <f>IF(ROWS($X$2:$X458)&lt;=MAX('Per Line'!$AL$2:$AL$1501),MATCH(ROWS($X$2:$X458),'Per Line'!$AL$2:$AL$1501,0),"")</f>
        <v/>
      </c>
    </row>
    <row r="459">
      <c r="A459">
        <f>IF($X459="","",INDEX('Per Line'!$C$2:$C$1501,$X459)&amp;"")</f>
        <v/>
      </c>
      <c r="B459" s="12" t="n"/>
      <c r="C459">
        <f>IF($X459="","",INDEX('Per Line'!$D$2:$D$1501,$X459)&amp;"")</f>
        <v/>
      </c>
      <c r="D459">
        <f>IF($X459="","",INDEX('Per Line'!$A$2:$A$1501,$X459))</f>
        <v/>
      </c>
      <c r="E459">
        <f>IF($X459="","",INDEX('Per Line'!$G$2:$G$1501,$X459)&amp;"")</f>
        <v/>
      </c>
      <c r="F459" s="11">
        <f>IF($X459="","",INDEX('Per Line'!$F$2:$F$1501,$X459))</f>
        <v/>
      </c>
      <c r="G459">
        <f>IF($X459="","",INDEX('Per Line'!$I$2:$I$1501,$X459)&amp;"")</f>
        <v/>
      </c>
      <c r="H459">
        <f>IF($X459="","",INDEX('Per Line'!$J$2:$J$1501,$X459)&amp;"")</f>
        <v/>
      </c>
      <c r="I459">
        <f>IF($X459="","",INDEX('Per Line'!$K$2:$K$1501,$X459)&amp;"")</f>
        <v/>
      </c>
      <c r="J459">
        <f>IF($X459="","",INDEX('Per Line'!$M$2:$M$1501,$X459))</f>
        <v/>
      </c>
      <c r="K459" s="7">
        <f>IF($X459="","",J459*V459/100)</f>
        <v/>
      </c>
      <c r="L459">
        <f>IF($X459="","",INDEX('Per Line'!$Y$2:$Y$1501,$X459)&amp;"")</f>
        <v/>
      </c>
      <c r="M459" s="7">
        <f>IF($X459="","",SUMIFS('Per Line'!$U$2:$U$1501,'Per Line'!$AJ$2:$AJ$1501,$A459&amp;"|"&amp;$C459,'Per Line'!$AN$2:$AN$1501,1))</f>
        <v/>
      </c>
      <c r="N459">
        <f>IF($X459="","",Settings!$C$7)</f>
        <v/>
      </c>
      <c r="O459" s="7">
        <f>IF($X459="","",SUMIFS('Per Line'!$U$2:$U$1501,'Per Line'!$AJ$2:$AJ$1501,$A459&amp;"|"&amp;$C459,'Per Line'!$AM$2:$AM$1501,0,'Per Line'!$AN$2:$AN$1501,0))</f>
        <v/>
      </c>
      <c r="P459" s="7">
        <f>IF($X459="","",O459*N459)</f>
        <v/>
      </c>
      <c r="Q459">
        <f>IF($X459="","",Settings!$C$6)</f>
        <v/>
      </c>
      <c r="R459" s="7">
        <f>IF($X459="","",SUMIFS('Per Line'!$U$2:$U$1501,'Per Line'!$AJ$2:$AJ$1501,$A459&amp;"|"&amp;$C459,'Per Line'!$AM$2:$AM$1501,1,'Per Line'!$AN$2:$AN$1501,0))</f>
        <v/>
      </c>
      <c r="S459" s="7">
        <f>IF($X459="","",R459*Q459)</f>
        <v/>
      </c>
      <c r="T459" s="7">
        <f>IF($X459="","",S459+P459)</f>
        <v/>
      </c>
      <c r="U459" s="7">
        <f>IF($X459="","",V459-T459)</f>
        <v/>
      </c>
      <c r="V459" s="7">
        <f>IF($X459="","",O459+R459+M459)</f>
        <v/>
      </c>
      <c r="W459" s="7">
        <f>IF($X459="","",V459-T459-K459)</f>
        <v/>
      </c>
      <c r="X459" s="13">
        <f>IF(ROWS($X$2:$X459)&lt;=MAX('Per Line'!$AL$2:$AL$1501),MATCH(ROWS($X$2:$X459),'Per Line'!$AL$2:$AL$1501,0),"")</f>
        <v/>
      </c>
    </row>
    <row r="460">
      <c r="A460">
        <f>IF($X460="","",INDEX('Per Line'!$C$2:$C$1501,$X460)&amp;"")</f>
        <v/>
      </c>
      <c r="B460" s="12" t="n"/>
      <c r="C460">
        <f>IF($X460="","",INDEX('Per Line'!$D$2:$D$1501,$X460)&amp;"")</f>
        <v/>
      </c>
      <c r="D460">
        <f>IF($X460="","",INDEX('Per Line'!$A$2:$A$1501,$X460))</f>
        <v/>
      </c>
      <c r="E460">
        <f>IF($X460="","",INDEX('Per Line'!$G$2:$G$1501,$X460)&amp;"")</f>
        <v/>
      </c>
      <c r="F460" s="11">
        <f>IF($X460="","",INDEX('Per Line'!$F$2:$F$1501,$X460))</f>
        <v/>
      </c>
      <c r="G460">
        <f>IF($X460="","",INDEX('Per Line'!$I$2:$I$1501,$X460)&amp;"")</f>
        <v/>
      </c>
      <c r="H460">
        <f>IF($X460="","",INDEX('Per Line'!$J$2:$J$1501,$X460)&amp;"")</f>
        <v/>
      </c>
      <c r="I460">
        <f>IF($X460="","",INDEX('Per Line'!$K$2:$K$1501,$X460)&amp;"")</f>
        <v/>
      </c>
      <c r="J460">
        <f>IF($X460="","",INDEX('Per Line'!$M$2:$M$1501,$X460))</f>
        <v/>
      </c>
      <c r="K460" s="7">
        <f>IF($X460="","",J460*V460/100)</f>
        <v/>
      </c>
      <c r="L460">
        <f>IF($X460="","",INDEX('Per Line'!$Y$2:$Y$1501,$X460)&amp;"")</f>
        <v/>
      </c>
      <c r="M460" s="7">
        <f>IF($X460="","",SUMIFS('Per Line'!$U$2:$U$1501,'Per Line'!$AJ$2:$AJ$1501,$A460&amp;"|"&amp;$C460,'Per Line'!$AN$2:$AN$1501,1))</f>
        <v/>
      </c>
      <c r="N460">
        <f>IF($X460="","",Settings!$C$7)</f>
        <v/>
      </c>
      <c r="O460" s="7">
        <f>IF($X460="","",SUMIFS('Per Line'!$U$2:$U$1501,'Per Line'!$AJ$2:$AJ$1501,$A460&amp;"|"&amp;$C460,'Per Line'!$AM$2:$AM$1501,0,'Per Line'!$AN$2:$AN$1501,0))</f>
        <v/>
      </c>
      <c r="P460" s="7">
        <f>IF($X460="","",O460*N460)</f>
        <v/>
      </c>
      <c r="Q460">
        <f>IF($X460="","",Settings!$C$6)</f>
        <v/>
      </c>
      <c r="R460" s="7">
        <f>IF($X460="","",SUMIFS('Per Line'!$U$2:$U$1501,'Per Line'!$AJ$2:$AJ$1501,$A460&amp;"|"&amp;$C460,'Per Line'!$AM$2:$AM$1501,1,'Per Line'!$AN$2:$AN$1501,0))</f>
        <v/>
      </c>
      <c r="S460" s="7">
        <f>IF($X460="","",R460*Q460)</f>
        <v/>
      </c>
      <c r="T460" s="7">
        <f>IF($X460="","",S460+P460)</f>
        <v/>
      </c>
      <c r="U460" s="7">
        <f>IF($X460="","",V460-T460)</f>
        <v/>
      </c>
      <c r="V460" s="7">
        <f>IF($X460="","",O460+R460+M460)</f>
        <v/>
      </c>
      <c r="W460" s="7">
        <f>IF($X460="","",V460-T460-K460)</f>
        <v/>
      </c>
      <c r="X460" s="13">
        <f>IF(ROWS($X$2:$X460)&lt;=MAX('Per Line'!$AL$2:$AL$1501),MATCH(ROWS($X$2:$X460),'Per Line'!$AL$2:$AL$1501,0),"")</f>
        <v/>
      </c>
    </row>
    <row r="461">
      <c r="A461">
        <f>IF($X461="","",INDEX('Per Line'!$C$2:$C$1501,$X461)&amp;"")</f>
        <v/>
      </c>
      <c r="B461" s="12" t="n"/>
      <c r="C461">
        <f>IF($X461="","",INDEX('Per Line'!$D$2:$D$1501,$X461)&amp;"")</f>
        <v/>
      </c>
      <c r="D461">
        <f>IF($X461="","",INDEX('Per Line'!$A$2:$A$1501,$X461))</f>
        <v/>
      </c>
      <c r="E461">
        <f>IF($X461="","",INDEX('Per Line'!$G$2:$G$1501,$X461)&amp;"")</f>
        <v/>
      </c>
      <c r="F461" s="11">
        <f>IF($X461="","",INDEX('Per Line'!$F$2:$F$1501,$X461))</f>
        <v/>
      </c>
      <c r="G461">
        <f>IF($X461="","",INDEX('Per Line'!$I$2:$I$1501,$X461)&amp;"")</f>
        <v/>
      </c>
      <c r="H461">
        <f>IF($X461="","",INDEX('Per Line'!$J$2:$J$1501,$X461)&amp;"")</f>
        <v/>
      </c>
      <c r="I461">
        <f>IF($X461="","",INDEX('Per Line'!$K$2:$K$1501,$X461)&amp;"")</f>
        <v/>
      </c>
      <c r="J461">
        <f>IF($X461="","",INDEX('Per Line'!$M$2:$M$1501,$X461))</f>
        <v/>
      </c>
      <c r="K461" s="7">
        <f>IF($X461="","",J461*V461/100)</f>
        <v/>
      </c>
      <c r="L461">
        <f>IF($X461="","",INDEX('Per Line'!$Y$2:$Y$1501,$X461)&amp;"")</f>
        <v/>
      </c>
      <c r="M461" s="7">
        <f>IF($X461="","",SUMIFS('Per Line'!$U$2:$U$1501,'Per Line'!$AJ$2:$AJ$1501,$A461&amp;"|"&amp;$C461,'Per Line'!$AN$2:$AN$1501,1))</f>
        <v/>
      </c>
      <c r="N461">
        <f>IF($X461="","",Settings!$C$7)</f>
        <v/>
      </c>
      <c r="O461" s="7">
        <f>IF($X461="","",SUMIFS('Per Line'!$U$2:$U$1501,'Per Line'!$AJ$2:$AJ$1501,$A461&amp;"|"&amp;$C461,'Per Line'!$AM$2:$AM$1501,0,'Per Line'!$AN$2:$AN$1501,0))</f>
        <v/>
      </c>
      <c r="P461" s="7">
        <f>IF($X461="","",O461*N461)</f>
        <v/>
      </c>
      <c r="Q461">
        <f>IF($X461="","",Settings!$C$6)</f>
        <v/>
      </c>
      <c r="R461" s="7">
        <f>IF($X461="","",SUMIFS('Per Line'!$U$2:$U$1501,'Per Line'!$AJ$2:$AJ$1501,$A461&amp;"|"&amp;$C461,'Per Line'!$AM$2:$AM$1501,1,'Per Line'!$AN$2:$AN$1501,0))</f>
        <v/>
      </c>
      <c r="S461" s="7">
        <f>IF($X461="","",R461*Q461)</f>
        <v/>
      </c>
      <c r="T461" s="7">
        <f>IF($X461="","",S461+P461)</f>
        <v/>
      </c>
      <c r="U461" s="7">
        <f>IF($X461="","",V461-T461)</f>
        <v/>
      </c>
      <c r="V461" s="7">
        <f>IF($X461="","",O461+R461+M461)</f>
        <v/>
      </c>
      <c r="W461" s="7">
        <f>IF($X461="","",V461-T461-K461)</f>
        <v/>
      </c>
      <c r="X461" s="13">
        <f>IF(ROWS($X$2:$X461)&lt;=MAX('Per Line'!$AL$2:$AL$1501),MATCH(ROWS($X$2:$X461),'Per Line'!$AL$2:$AL$1501,0),"")</f>
        <v/>
      </c>
    </row>
    <row r="462">
      <c r="A462">
        <f>IF($X462="","",INDEX('Per Line'!$C$2:$C$1501,$X462)&amp;"")</f>
        <v/>
      </c>
      <c r="B462" s="12" t="n"/>
      <c r="C462">
        <f>IF($X462="","",INDEX('Per Line'!$D$2:$D$1501,$X462)&amp;"")</f>
        <v/>
      </c>
      <c r="D462">
        <f>IF($X462="","",INDEX('Per Line'!$A$2:$A$1501,$X462))</f>
        <v/>
      </c>
      <c r="E462">
        <f>IF($X462="","",INDEX('Per Line'!$G$2:$G$1501,$X462)&amp;"")</f>
        <v/>
      </c>
      <c r="F462" s="11">
        <f>IF($X462="","",INDEX('Per Line'!$F$2:$F$1501,$X462))</f>
        <v/>
      </c>
      <c r="G462">
        <f>IF($X462="","",INDEX('Per Line'!$I$2:$I$1501,$X462)&amp;"")</f>
        <v/>
      </c>
      <c r="H462">
        <f>IF($X462="","",INDEX('Per Line'!$J$2:$J$1501,$X462)&amp;"")</f>
        <v/>
      </c>
      <c r="I462">
        <f>IF($X462="","",INDEX('Per Line'!$K$2:$K$1501,$X462)&amp;"")</f>
        <v/>
      </c>
      <c r="J462">
        <f>IF($X462="","",INDEX('Per Line'!$M$2:$M$1501,$X462))</f>
        <v/>
      </c>
      <c r="K462" s="7">
        <f>IF($X462="","",J462*V462/100)</f>
        <v/>
      </c>
      <c r="L462">
        <f>IF($X462="","",INDEX('Per Line'!$Y$2:$Y$1501,$X462)&amp;"")</f>
        <v/>
      </c>
      <c r="M462" s="7">
        <f>IF($X462="","",SUMIFS('Per Line'!$U$2:$U$1501,'Per Line'!$AJ$2:$AJ$1501,$A462&amp;"|"&amp;$C462,'Per Line'!$AN$2:$AN$1501,1))</f>
        <v/>
      </c>
      <c r="N462">
        <f>IF($X462="","",Settings!$C$7)</f>
        <v/>
      </c>
      <c r="O462" s="7">
        <f>IF($X462="","",SUMIFS('Per Line'!$U$2:$U$1501,'Per Line'!$AJ$2:$AJ$1501,$A462&amp;"|"&amp;$C462,'Per Line'!$AM$2:$AM$1501,0,'Per Line'!$AN$2:$AN$1501,0))</f>
        <v/>
      </c>
      <c r="P462" s="7">
        <f>IF($X462="","",O462*N462)</f>
        <v/>
      </c>
      <c r="Q462">
        <f>IF($X462="","",Settings!$C$6)</f>
        <v/>
      </c>
      <c r="R462" s="7">
        <f>IF($X462="","",SUMIFS('Per Line'!$U$2:$U$1501,'Per Line'!$AJ$2:$AJ$1501,$A462&amp;"|"&amp;$C462,'Per Line'!$AM$2:$AM$1501,1,'Per Line'!$AN$2:$AN$1501,0))</f>
        <v/>
      </c>
      <c r="S462" s="7">
        <f>IF($X462="","",R462*Q462)</f>
        <v/>
      </c>
      <c r="T462" s="7">
        <f>IF($X462="","",S462+P462)</f>
        <v/>
      </c>
      <c r="U462" s="7">
        <f>IF($X462="","",V462-T462)</f>
        <v/>
      </c>
      <c r="V462" s="7">
        <f>IF($X462="","",O462+R462+M462)</f>
        <v/>
      </c>
      <c r="W462" s="7">
        <f>IF($X462="","",V462-T462-K462)</f>
        <v/>
      </c>
      <c r="X462" s="13">
        <f>IF(ROWS($X$2:$X462)&lt;=MAX('Per Line'!$AL$2:$AL$1501),MATCH(ROWS($X$2:$X462),'Per Line'!$AL$2:$AL$1501,0),"")</f>
        <v/>
      </c>
    </row>
    <row r="463">
      <c r="A463">
        <f>IF($X463="","",INDEX('Per Line'!$C$2:$C$1501,$X463)&amp;"")</f>
        <v/>
      </c>
      <c r="B463" s="12" t="n"/>
      <c r="C463">
        <f>IF($X463="","",INDEX('Per Line'!$D$2:$D$1501,$X463)&amp;"")</f>
        <v/>
      </c>
      <c r="D463">
        <f>IF($X463="","",INDEX('Per Line'!$A$2:$A$1501,$X463))</f>
        <v/>
      </c>
      <c r="E463">
        <f>IF($X463="","",INDEX('Per Line'!$G$2:$G$1501,$X463)&amp;"")</f>
        <v/>
      </c>
      <c r="F463" s="11">
        <f>IF($X463="","",INDEX('Per Line'!$F$2:$F$1501,$X463))</f>
        <v/>
      </c>
      <c r="G463">
        <f>IF($X463="","",INDEX('Per Line'!$I$2:$I$1501,$X463)&amp;"")</f>
        <v/>
      </c>
      <c r="H463">
        <f>IF($X463="","",INDEX('Per Line'!$J$2:$J$1501,$X463)&amp;"")</f>
        <v/>
      </c>
      <c r="I463">
        <f>IF($X463="","",INDEX('Per Line'!$K$2:$K$1501,$X463)&amp;"")</f>
        <v/>
      </c>
      <c r="J463">
        <f>IF($X463="","",INDEX('Per Line'!$M$2:$M$1501,$X463))</f>
        <v/>
      </c>
      <c r="K463" s="7">
        <f>IF($X463="","",J463*V463/100)</f>
        <v/>
      </c>
      <c r="L463">
        <f>IF($X463="","",INDEX('Per Line'!$Y$2:$Y$1501,$X463)&amp;"")</f>
        <v/>
      </c>
      <c r="M463" s="7">
        <f>IF($X463="","",SUMIFS('Per Line'!$U$2:$U$1501,'Per Line'!$AJ$2:$AJ$1501,$A463&amp;"|"&amp;$C463,'Per Line'!$AN$2:$AN$1501,1))</f>
        <v/>
      </c>
      <c r="N463">
        <f>IF($X463="","",Settings!$C$7)</f>
        <v/>
      </c>
      <c r="O463" s="7">
        <f>IF($X463="","",SUMIFS('Per Line'!$U$2:$U$1501,'Per Line'!$AJ$2:$AJ$1501,$A463&amp;"|"&amp;$C463,'Per Line'!$AM$2:$AM$1501,0,'Per Line'!$AN$2:$AN$1501,0))</f>
        <v/>
      </c>
      <c r="P463" s="7">
        <f>IF($X463="","",O463*N463)</f>
        <v/>
      </c>
      <c r="Q463">
        <f>IF($X463="","",Settings!$C$6)</f>
        <v/>
      </c>
      <c r="R463" s="7">
        <f>IF($X463="","",SUMIFS('Per Line'!$U$2:$U$1501,'Per Line'!$AJ$2:$AJ$1501,$A463&amp;"|"&amp;$C463,'Per Line'!$AM$2:$AM$1501,1,'Per Line'!$AN$2:$AN$1501,0))</f>
        <v/>
      </c>
      <c r="S463" s="7">
        <f>IF($X463="","",R463*Q463)</f>
        <v/>
      </c>
      <c r="T463" s="7">
        <f>IF($X463="","",S463+P463)</f>
        <v/>
      </c>
      <c r="U463" s="7">
        <f>IF($X463="","",V463-T463)</f>
        <v/>
      </c>
      <c r="V463" s="7">
        <f>IF($X463="","",O463+R463+M463)</f>
        <v/>
      </c>
      <c r="W463" s="7">
        <f>IF($X463="","",V463-T463-K463)</f>
        <v/>
      </c>
      <c r="X463" s="13">
        <f>IF(ROWS($X$2:$X463)&lt;=MAX('Per Line'!$AL$2:$AL$1501),MATCH(ROWS($X$2:$X463),'Per Line'!$AL$2:$AL$1501,0),"")</f>
        <v/>
      </c>
    </row>
    <row r="464">
      <c r="A464">
        <f>IF($X464="","",INDEX('Per Line'!$C$2:$C$1501,$X464)&amp;"")</f>
        <v/>
      </c>
      <c r="B464" s="12" t="n"/>
      <c r="C464">
        <f>IF($X464="","",INDEX('Per Line'!$D$2:$D$1501,$X464)&amp;"")</f>
        <v/>
      </c>
      <c r="D464">
        <f>IF($X464="","",INDEX('Per Line'!$A$2:$A$1501,$X464))</f>
        <v/>
      </c>
      <c r="E464">
        <f>IF($X464="","",INDEX('Per Line'!$G$2:$G$1501,$X464)&amp;"")</f>
        <v/>
      </c>
      <c r="F464" s="11">
        <f>IF($X464="","",INDEX('Per Line'!$F$2:$F$1501,$X464))</f>
        <v/>
      </c>
      <c r="G464">
        <f>IF($X464="","",INDEX('Per Line'!$I$2:$I$1501,$X464)&amp;"")</f>
        <v/>
      </c>
      <c r="H464">
        <f>IF($X464="","",INDEX('Per Line'!$J$2:$J$1501,$X464)&amp;"")</f>
        <v/>
      </c>
      <c r="I464">
        <f>IF($X464="","",INDEX('Per Line'!$K$2:$K$1501,$X464)&amp;"")</f>
        <v/>
      </c>
      <c r="J464">
        <f>IF($X464="","",INDEX('Per Line'!$M$2:$M$1501,$X464))</f>
        <v/>
      </c>
      <c r="K464" s="7">
        <f>IF($X464="","",J464*V464/100)</f>
        <v/>
      </c>
      <c r="L464">
        <f>IF($X464="","",INDEX('Per Line'!$Y$2:$Y$1501,$X464)&amp;"")</f>
        <v/>
      </c>
      <c r="M464" s="7">
        <f>IF($X464="","",SUMIFS('Per Line'!$U$2:$U$1501,'Per Line'!$AJ$2:$AJ$1501,$A464&amp;"|"&amp;$C464,'Per Line'!$AN$2:$AN$1501,1))</f>
        <v/>
      </c>
      <c r="N464">
        <f>IF($X464="","",Settings!$C$7)</f>
        <v/>
      </c>
      <c r="O464" s="7">
        <f>IF($X464="","",SUMIFS('Per Line'!$U$2:$U$1501,'Per Line'!$AJ$2:$AJ$1501,$A464&amp;"|"&amp;$C464,'Per Line'!$AM$2:$AM$1501,0,'Per Line'!$AN$2:$AN$1501,0))</f>
        <v/>
      </c>
      <c r="P464" s="7">
        <f>IF($X464="","",O464*N464)</f>
        <v/>
      </c>
      <c r="Q464">
        <f>IF($X464="","",Settings!$C$6)</f>
        <v/>
      </c>
      <c r="R464" s="7">
        <f>IF($X464="","",SUMIFS('Per Line'!$U$2:$U$1501,'Per Line'!$AJ$2:$AJ$1501,$A464&amp;"|"&amp;$C464,'Per Line'!$AM$2:$AM$1501,1,'Per Line'!$AN$2:$AN$1501,0))</f>
        <v/>
      </c>
      <c r="S464" s="7">
        <f>IF($X464="","",R464*Q464)</f>
        <v/>
      </c>
      <c r="T464" s="7">
        <f>IF($X464="","",S464+P464)</f>
        <v/>
      </c>
      <c r="U464" s="7">
        <f>IF($X464="","",V464-T464)</f>
        <v/>
      </c>
      <c r="V464" s="7">
        <f>IF($X464="","",O464+R464+M464)</f>
        <v/>
      </c>
      <c r="W464" s="7">
        <f>IF($X464="","",V464-T464-K464)</f>
        <v/>
      </c>
      <c r="X464" s="13">
        <f>IF(ROWS($X$2:$X464)&lt;=MAX('Per Line'!$AL$2:$AL$1501),MATCH(ROWS($X$2:$X464),'Per Line'!$AL$2:$AL$1501,0),"")</f>
        <v/>
      </c>
    </row>
    <row r="465">
      <c r="A465">
        <f>IF($X465="","",INDEX('Per Line'!$C$2:$C$1501,$X465)&amp;"")</f>
        <v/>
      </c>
      <c r="B465" s="12" t="n"/>
      <c r="C465">
        <f>IF($X465="","",INDEX('Per Line'!$D$2:$D$1501,$X465)&amp;"")</f>
        <v/>
      </c>
      <c r="D465">
        <f>IF($X465="","",INDEX('Per Line'!$A$2:$A$1501,$X465))</f>
        <v/>
      </c>
      <c r="E465">
        <f>IF($X465="","",INDEX('Per Line'!$G$2:$G$1501,$X465)&amp;"")</f>
        <v/>
      </c>
      <c r="F465" s="11">
        <f>IF($X465="","",INDEX('Per Line'!$F$2:$F$1501,$X465))</f>
        <v/>
      </c>
      <c r="G465">
        <f>IF($X465="","",INDEX('Per Line'!$I$2:$I$1501,$X465)&amp;"")</f>
        <v/>
      </c>
      <c r="H465">
        <f>IF($X465="","",INDEX('Per Line'!$J$2:$J$1501,$X465)&amp;"")</f>
        <v/>
      </c>
      <c r="I465">
        <f>IF($X465="","",INDEX('Per Line'!$K$2:$K$1501,$X465)&amp;"")</f>
        <v/>
      </c>
      <c r="J465">
        <f>IF($X465="","",INDEX('Per Line'!$M$2:$M$1501,$X465))</f>
        <v/>
      </c>
      <c r="K465" s="7">
        <f>IF($X465="","",J465*V465/100)</f>
        <v/>
      </c>
      <c r="L465">
        <f>IF($X465="","",INDEX('Per Line'!$Y$2:$Y$1501,$X465)&amp;"")</f>
        <v/>
      </c>
      <c r="M465" s="7">
        <f>IF($X465="","",SUMIFS('Per Line'!$U$2:$U$1501,'Per Line'!$AJ$2:$AJ$1501,$A465&amp;"|"&amp;$C465,'Per Line'!$AN$2:$AN$1501,1))</f>
        <v/>
      </c>
      <c r="N465">
        <f>IF($X465="","",Settings!$C$7)</f>
        <v/>
      </c>
      <c r="O465" s="7">
        <f>IF($X465="","",SUMIFS('Per Line'!$U$2:$U$1501,'Per Line'!$AJ$2:$AJ$1501,$A465&amp;"|"&amp;$C465,'Per Line'!$AM$2:$AM$1501,0,'Per Line'!$AN$2:$AN$1501,0))</f>
        <v/>
      </c>
      <c r="P465" s="7">
        <f>IF($X465="","",O465*N465)</f>
        <v/>
      </c>
      <c r="Q465">
        <f>IF($X465="","",Settings!$C$6)</f>
        <v/>
      </c>
      <c r="R465" s="7">
        <f>IF($X465="","",SUMIFS('Per Line'!$U$2:$U$1501,'Per Line'!$AJ$2:$AJ$1501,$A465&amp;"|"&amp;$C465,'Per Line'!$AM$2:$AM$1501,1,'Per Line'!$AN$2:$AN$1501,0))</f>
        <v/>
      </c>
      <c r="S465" s="7">
        <f>IF($X465="","",R465*Q465)</f>
        <v/>
      </c>
      <c r="T465" s="7">
        <f>IF($X465="","",S465+P465)</f>
        <v/>
      </c>
      <c r="U465" s="7">
        <f>IF($X465="","",V465-T465)</f>
        <v/>
      </c>
      <c r="V465" s="7">
        <f>IF($X465="","",O465+R465+M465)</f>
        <v/>
      </c>
      <c r="W465" s="7">
        <f>IF($X465="","",V465-T465-K465)</f>
        <v/>
      </c>
      <c r="X465" s="13">
        <f>IF(ROWS($X$2:$X465)&lt;=MAX('Per Line'!$AL$2:$AL$1501),MATCH(ROWS($X$2:$X465),'Per Line'!$AL$2:$AL$1501,0),"")</f>
        <v/>
      </c>
    </row>
    <row r="466">
      <c r="A466">
        <f>IF($X466="","",INDEX('Per Line'!$C$2:$C$1501,$X466)&amp;"")</f>
        <v/>
      </c>
      <c r="B466" s="12" t="n"/>
      <c r="C466">
        <f>IF($X466="","",INDEX('Per Line'!$D$2:$D$1501,$X466)&amp;"")</f>
        <v/>
      </c>
      <c r="D466">
        <f>IF($X466="","",INDEX('Per Line'!$A$2:$A$1501,$X466))</f>
        <v/>
      </c>
      <c r="E466">
        <f>IF($X466="","",INDEX('Per Line'!$G$2:$G$1501,$X466)&amp;"")</f>
        <v/>
      </c>
      <c r="F466" s="11">
        <f>IF($X466="","",INDEX('Per Line'!$F$2:$F$1501,$X466))</f>
        <v/>
      </c>
      <c r="G466">
        <f>IF($X466="","",INDEX('Per Line'!$I$2:$I$1501,$X466)&amp;"")</f>
        <v/>
      </c>
      <c r="H466">
        <f>IF($X466="","",INDEX('Per Line'!$J$2:$J$1501,$X466)&amp;"")</f>
        <v/>
      </c>
      <c r="I466">
        <f>IF($X466="","",INDEX('Per Line'!$K$2:$K$1501,$X466)&amp;"")</f>
        <v/>
      </c>
      <c r="J466">
        <f>IF($X466="","",INDEX('Per Line'!$M$2:$M$1501,$X466))</f>
        <v/>
      </c>
      <c r="K466" s="7">
        <f>IF($X466="","",J466*V466/100)</f>
        <v/>
      </c>
      <c r="L466">
        <f>IF($X466="","",INDEX('Per Line'!$Y$2:$Y$1501,$X466)&amp;"")</f>
        <v/>
      </c>
      <c r="M466" s="7">
        <f>IF($X466="","",SUMIFS('Per Line'!$U$2:$U$1501,'Per Line'!$AJ$2:$AJ$1501,$A466&amp;"|"&amp;$C466,'Per Line'!$AN$2:$AN$1501,1))</f>
        <v/>
      </c>
      <c r="N466">
        <f>IF($X466="","",Settings!$C$7)</f>
        <v/>
      </c>
      <c r="O466" s="7">
        <f>IF($X466="","",SUMIFS('Per Line'!$U$2:$U$1501,'Per Line'!$AJ$2:$AJ$1501,$A466&amp;"|"&amp;$C466,'Per Line'!$AM$2:$AM$1501,0,'Per Line'!$AN$2:$AN$1501,0))</f>
        <v/>
      </c>
      <c r="P466" s="7">
        <f>IF($X466="","",O466*N466)</f>
        <v/>
      </c>
      <c r="Q466">
        <f>IF($X466="","",Settings!$C$6)</f>
        <v/>
      </c>
      <c r="R466" s="7">
        <f>IF($X466="","",SUMIFS('Per Line'!$U$2:$U$1501,'Per Line'!$AJ$2:$AJ$1501,$A466&amp;"|"&amp;$C466,'Per Line'!$AM$2:$AM$1501,1,'Per Line'!$AN$2:$AN$1501,0))</f>
        <v/>
      </c>
      <c r="S466" s="7">
        <f>IF($X466="","",R466*Q466)</f>
        <v/>
      </c>
      <c r="T466" s="7">
        <f>IF($X466="","",S466+P466)</f>
        <v/>
      </c>
      <c r="U466" s="7">
        <f>IF($X466="","",V466-T466)</f>
        <v/>
      </c>
      <c r="V466" s="7">
        <f>IF($X466="","",O466+R466+M466)</f>
        <v/>
      </c>
      <c r="W466" s="7">
        <f>IF($X466="","",V466-T466-K466)</f>
        <v/>
      </c>
      <c r="X466" s="13">
        <f>IF(ROWS($X$2:$X466)&lt;=MAX('Per Line'!$AL$2:$AL$1501),MATCH(ROWS($X$2:$X466),'Per Line'!$AL$2:$AL$1501,0),"")</f>
        <v/>
      </c>
    </row>
    <row r="467">
      <c r="A467">
        <f>IF($X467="","",INDEX('Per Line'!$C$2:$C$1501,$X467)&amp;"")</f>
        <v/>
      </c>
      <c r="B467" s="12" t="n"/>
      <c r="C467">
        <f>IF($X467="","",INDEX('Per Line'!$D$2:$D$1501,$X467)&amp;"")</f>
        <v/>
      </c>
      <c r="D467">
        <f>IF($X467="","",INDEX('Per Line'!$A$2:$A$1501,$X467))</f>
        <v/>
      </c>
      <c r="E467">
        <f>IF($X467="","",INDEX('Per Line'!$G$2:$G$1501,$X467)&amp;"")</f>
        <v/>
      </c>
      <c r="F467" s="11">
        <f>IF($X467="","",INDEX('Per Line'!$F$2:$F$1501,$X467))</f>
        <v/>
      </c>
      <c r="G467">
        <f>IF($X467="","",INDEX('Per Line'!$I$2:$I$1501,$X467)&amp;"")</f>
        <v/>
      </c>
      <c r="H467">
        <f>IF($X467="","",INDEX('Per Line'!$J$2:$J$1501,$X467)&amp;"")</f>
        <v/>
      </c>
      <c r="I467">
        <f>IF($X467="","",INDEX('Per Line'!$K$2:$K$1501,$X467)&amp;"")</f>
        <v/>
      </c>
      <c r="J467">
        <f>IF($X467="","",INDEX('Per Line'!$M$2:$M$1501,$X467))</f>
        <v/>
      </c>
      <c r="K467" s="7">
        <f>IF($X467="","",J467*V467/100)</f>
        <v/>
      </c>
      <c r="L467">
        <f>IF($X467="","",INDEX('Per Line'!$Y$2:$Y$1501,$X467)&amp;"")</f>
        <v/>
      </c>
      <c r="M467" s="7">
        <f>IF($X467="","",SUMIFS('Per Line'!$U$2:$U$1501,'Per Line'!$AJ$2:$AJ$1501,$A467&amp;"|"&amp;$C467,'Per Line'!$AN$2:$AN$1501,1))</f>
        <v/>
      </c>
      <c r="N467">
        <f>IF($X467="","",Settings!$C$7)</f>
        <v/>
      </c>
      <c r="O467" s="7">
        <f>IF($X467="","",SUMIFS('Per Line'!$U$2:$U$1501,'Per Line'!$AJ$2:$AJ$1501,$A467&amp;"|"&amp;$C467,'Per Line'!$AM$2:$AM$1501,0,'Per Line'!$AN$2:$AN$1501,0))</f>
        <v/>
      </c>
      <c r="P467" s="7">
        <f>IF($X467="","",O467*N467)</f>
        <v/>
      </c>
      <c r="Q467">
        <f>IF($X467="","",Settings!$C$6)</f>
        <v/>
      </c>
      <c r="R467" s="7">
        <f>IF($X467="","",SUMIFS('Per Line'!$U$2:$U$1501,'Per Line'!$AJ$2:$AJ$1501,$A467&amp;"|"&amp;$C467,'Per Line'!$AM$2:$AM$1501,1,'Per Line'!$AN$2:$AN$1501,0))</f>
        <v/>
      </c>
      <c r="S467" s="7">
        <f>IF($X467="","",R467*Q467)</f>
        <v/>
      </c>
      <c r="T467" s="7">
        <f>IF($X467="","",S467+P467)</f>
        <v/>
      </c>
      <c r="U467" s="7">
        <f>IF($X467="","",V467-T467)</f>
        <v/>
      </c>
      <c r="V467" s="7">
        <f>IF($X467="","",O467+R467+M467)</f>
        <v/>
      </c>
      <c r="W467" s="7">
        <f>IF($X467="","",V467-T467-K467)</f>
        <v/>
      </c>
      <c r="X467" s="13">
        <f>IF(ROWS($X$2:$X467)&lt;=MAX('Per Line'!$AL$2:$AL$1501),MATCH(ROWS($X$2:$X467),'Per Line'!$AL$2:$AL$1501,0),"")</f>
        <v/>
      </c>
    </row>
    <row r="468">
      <c r="A468">
        <f>IF($X468="","",INDEX('Per Line'!$C$2:$C$1501,$X468)&amp;"")</f>
        <v/>
      </c>
      <c r="B468" s="12" t="n"/>
      <c r="C468">
        <f>IF($X468="","",INDEX('Per Line'!$D$2:$D$1501,$X468)&amp;"")</f>
        <v/>
      </c>
      <c r="D468">
        <f>IF($X468="","",INDEX('Per Line'!$A$2:$A$1501,$X468))</f>
        <v/>
      </c>
      <c r="E468">
        <f>IF($X468="","",INDEX('Per Line'!$G$2:$G$1501,$X468)&amp;"")</f>
        <v/>
      </c>
      <c r="F468" s="11">
        <f>IF($X468="","",INDEX('Per Line'!$F$2:$F$1501,$X468))</f>
        <v/>
      </c>
      <c r="G468">
        <f>IF($X468="","",INDEX('Per Line'!$I$2:$I$1501,$X468)&amp;"")</f>
        <v/>
      </c>
      <c r="H468">
        <f>IF($X468="","",INDEX('Per Line'!$J$2:$J$1501,$X468)&amp;"")</f>
        <v/>
      </c>
      <c r="I468">
        <f>IF($X468="","",INDEX('Per Line'!$K$2:$K$1501,$X468)&amp;"")</f>
        <v/>
      </c>
      <c r="J468">
        <f>IF($X468="","",INDEX('Per Line'!$M$2:$M$1501,$X468))</f>
        <v/>
      </c>
      <c r="K468" s="7">
        <f>IF($X468="","",J468*V468/100)</f>
        <v/>
      </c>
      <c r="L468">
        <f>IF($X468="","",INDEX('Per Line'!$Y$2:$Y$1501,$X468)&amp;"")</f>
        <v/>
      </c>
      <c r="M468" s="7">
        <f>IF($X468="","",SUMIFS('Per Line'!$U$2:$U$1501,'Per Line'!$AJ$2:$AJ$1501,$A468&amp;"|"&amp;$C468,'Per Line'!$AN$2:$AN$1501,1))</f>
        <v/>
      </c>
      <c r="N468">
        <f>IF($X468="","",Settings!$C$7)</f>
        <v/>
      </c>
      <c r="O468" s="7">
        <f>IF($X468="","",SUMIFS('Per Line'!$U$2:$U$1501,'Per Line'!$AJ$2:$AJ$1501,$A468&amp;"|"&amp;$C468,'Per Line'!$AM$2:$AM$1501,0,'Per Line'!$AN$2:$AN$1501,0))</f>
        <v/>
      </c>
      <c r="P468" s="7">
        <f>IF($X468="","",O468*N468)</f>
        <v/>
      </c>
      <c r="Q468">
        <f>IF($X468="","",Settings!$C$6)</f>
        <v/>
      </c>
      <c r="R468" s="7">
        <f>IF($X468="","",SUMIFS('Per Line'!$U$2:$U$1501,'Per Line'!$AJ$2:$AJ$1501,$A468&amp;"|"&amp;$C468,'Per Line'!$AM$2:$AM$1501,1,'Per Line'!$AN$2:$AN$1501,0))</f>
        <v/>
      </c>
      <c r="S468" s="7">
        <f>IF($X468="","",R468*Q468)</f>
        <v/>
      </c>
      <c r="T468" s="7">
        <f>IF($X468="","",S468+P468)</f>
        <v/>
      </c>
      <c r="U468" s="7">
        <f>IF($X468="","",V468-T468)</f>
        <v/>
      </c>
      <c r="V468" s="7">
        <f>IF($X468="","",O468+R468+M468)</f>
        <v/>
      </c>
      <c r="W468" s="7">
        <f>IF($X468="","",V468-T468-K468)</f>
        <v/>
      </c>
      <c r="X468" s="13">
        <f>IF(ROWS($X$2:$X468)&lt;=MAX('Per Line'!$AL$2:$AL$1501),MATCH(ROWS($X$2:$X468),'Per Line'!$AL$2:$AL$1501,0),"")</f>
        <v/>
      </c>
    </row>
    <row r="469">
      <c r="A469">
        <f>IF($X469="","",INDEX('Per Line'!$C$2:$C$1501,$X469)&amp;"")</f>
        <v/>
      </c>
      <c r="B469" s="12" t="n"/>
      <c r="C469">
        <f>IF($X469="","",INDEX('Per Line'!$D$2:$D$1501,$X469)&amp;"")</f>
        <v/>
      </c>
      <c r="D469">
        <f>IF($X469="","",INDEX('Per Line'!$A$2:$A$1501,$X469))</f>
        <v/>
      </c>
      <c r="E469">
        <f>IF($X469="","",INDEX('Per Line'!$G$2:$G$1501,$X469)&amp;"")</f>
        <v/>
      </c>
      <c r="F469" s="11">
        <f>IF($X469="","",INDEX('Per Line'!$F$2:$F$1501,$X469))</f>
        <v/>
      </c>
      <c r="G469">
        <f>IF($X469="","",INDEX('Per Line'!$I$2:$I$1501,$X469)&amp;"")</f>
        <v/>
      </c>
      <c r="H469">
        <f>IF($X469="","",INDEX('Per Line'!$J$2:$J$1501,$X469)&amp;"")</f>
        <v/>
      </c>
      <c r="I469">
        <f>IF($X469="","",INDEX('Per Line'!$K$2:$K$1501,$X469)&amp;"")</f>
        <v/>
      </c>
      <c r="J469">
        <f>IF($X469="","",INDEX('Per Line'!$M$2:$M$1501,$X469))</f>
        <v/>
      </c>
      <c r="K469" s="7">
        <f>IF($X469="","",J469*V469/100)</f>
        <v/>
      </c>
      <c r="L469">
        <f>IF($X469="","",INDEX('Per Line'!$Y$2:$Y$1501,$X469)&amp;"")</f>
        <v/>
      </c>
      <c r="M469" s="7">
        <f>IF($X469="","",SUMIFS('Per Line'!$U$2:$U$1501,'Per Line'!$AJ$2:$AJ$1501,$A469&amp;"|"&amp;$C469,'Per Line'!$AN$2:$AN$1501,1))</f>
        <v/>
      </c>
      <c r="N469">
        <f>IF($X469="","",Settings!$C$7)</f>
        <v/>
      </c>
      <c r="O469" s="7">
        <f>IF($X469="","",SUMIFS('Per Line'!$U$2:$U$1501,'Per Line'!$AJ$2:$AJ$1501,$A469&amp;"|"&amp;$C469,'Per Line'!$AM$2:$AM$1501,0,'Per Line'!$AN$2:$AN$1501,0))</f>
        <v/>
      </c>
      <c r="P469" s="7">
        <f>IF($X469="","",O469*N469)</f>
        <v/>
      </c>
      <c r="Q469">
        <f>IF($X469="","",Settings!$C$6)</f>
        <v/>
      </c>
      <c r="R469" s="7">
        <f>IF($X469="","",SUMIFS('Per Line'!$U$2:$U$1501,'Per Line'!$AJ$2:$AJ$1501,$A469&amp;"|"&amp;$C469,'Per Line'!$AM$2:$AM$1501,1,'Per Line'!$AN$2:$AN$1501,0))</f>
        <v/>
      </c>
      <c r="S469" s="7">
        <f>IF($X469="","",R469*Q469)</f>
        <v/>
      </c>
      <c r="T469" s="7">
        <f>IF($X469="","",S469+P469)</f>
        <v/>
      </c>
      <c r="U469" s="7">
        <f>IF($X469="","",V469-T469)</f>
        <v/>
      </c>
      <c r="V469" s="7">
        <f>IF($X469="","",O469+R469+M469)</f>
        <v/>
      </c>
      <c r="W469" s="7">
        <f>IF($X469="","",V469-T469-K469)</f>
        <v/>
      </c>
      <c r="X469" s="13">
        <f>IF(ROWS($X$2:$X469)&lt;=MAX('Per Line'!$AL$2:$AL$1501),MATCH(ROWS($X$2:$X469),'Per Line'!$AL$2:$AL$1501,0),"")</f>
        <v/>
      </c>
    </row>
    <row r="470">
      <c r="A470">
        <f>IF($X470="","",INDEX('Per Line'!$C$2:$C$1501,$X470)&amp;"")</f>
        <v/>
      </c>
      <c r="B470" s="12" t="n"/>
      <c r="C470">
        <f>IF($X470="","",INDEX('Per Line'!$D$2:$D$1501,$X470)&amp;"")</f>
        <v/>
      </c>
      <c r="D470">
        <f>IF($X470="","",INDEX('Per Line'!$A$2:$A$1501,$X470))</f>
        <v/>
      </c>
      <c r="E470">
        <f>IF($X470="","",INDEX('Per Line'!$G$2:$G$1501,$X470)&amp;"")</f>
        <v/>
      </c>
      <c r="F470" s="11">
        <f>IF($X470="","",INDEX('Per Line'!$F$2:$F$1501,$X470))</f>
        <v/>
      </c>
      <c r="G470">
        <f>IF($X470="","",INDEX('Per Line'!$I$2:$I$1501,$X470)&amp;"")</f>
        <v/>
      </c>
      <c r="H470">
        <f>IF($X470="","",INDEX('Per Line'!$J$2:$J$1501,$X470)&amp;"")</f>
        <v/>
      </c>
      <c r="I470">
        <f>IF($X470="","",INDEX('Per Line'!$K$2:$K$1501,$X470)&amp;"")</f>
        <v/>
      </c>
      <c r="J470">
        <f>IF($X470="","",INDEX('Per Line'!$M$2:$M$1501,$X470))</f>
        <v/>
      </c>
      <c r="K470" s="7">
        <f>IF($X470="","",J470*V470/100)</f>
        <v/>
      </c>
      <c r="L470">
        <f>IF($X470="","",INDEX('Per Line'!$Y$2:$Y$1501,$X470)&amp;"")</f>
        <v/>
      </c>
      <c r="M470" s="7">
        <f>IF($X470="","",SUMIFS('Per Line'!$U$2:$U$1501,'Per Line'!$AJ$2:$AJ$1501,$A470&amp;"|"&amp;$C470,'Per Line'!$AN$2:$AN$1501,1))</f>
        <v/>
      </c>
      <c r="N470">
        <f>IF($X470="","",Settings!$C$7)</f>
        <v/>
      </c>
      <c r="O470" s="7">
        <f>IF($X470="","",SUMIFS('Per Line'!$U$2:$U$1501,'Per Line'!$AJ$2:$AJ$1501,$A470&amp;"|"&amp;$C470,'Per Line'!$AM$2:$AM$1501,0,'Per Line'!$AN$2:$AN$1501,0))</f>
        <v/>
      </c>
      <c r="P470" s="7">
        <f>IF($X470="","",O470*N470)</f>
        <v/>
      </c>
      <c r="Q470">
        <f>IF($X470="","",Settings!$C$6)</f>
        <v/>
      </c>
      <c r="R470" s="7">
        <f>IF($X470="","",SUMIFS('Per Line'!$U$2:$U$1501,'Per Line'!$AJ$2:$AJ$1501,$A470&amp;"|"&amp;$C470,'Per Line'!$AM$2:$AM$1501,1,'Per Line'!$AN$2:$AN$1501,0))</f>
        <v/>
      </c>
      <c r="S470" s="7">
        <f>IF($X470="","",R470*Q470)</f>
        <v/>
      </c>
      <c r="T470" s="7">
        <f>IF($X470="","",S470+P470)</f>
        <v/>
      </c>
      <c r="U470" s="7">
        <f>IF($X470="","",V470-T470)</f>
        <v/>
      </c>
      <c r="V470" s="7">
        <f>IF($X470="","",O470+R470+M470)</f>
        <v/>
      </c>
      <c r="W470" s="7">
        <f>IF($X470="","",V470-T470-K470)</f>
        <v/>
      </c>
      <c r="X470" s="13">
        <f>IF(ROWS($X$2:$X470)&lt;=MAX('Per Line'!$AL$2:$AL$1501),MATCH(ROWS($X$2:$X470),'Per Line'!$AL$2:$AL$1501,0),"")</f>
        <v/>
      </c>
    </row>
    <row r="471">
      <c r="A471">
        <f>IF($X471="","",INDEX('Per Line'!$C$2:$C$1501,$X471)&amp;"")</f>
        <v/>
      </c>
      <c r="B471" s="12" t="n"/>
      <c r="C471">
        <f>IF($X471="","",INDEX('Per Line'!$D$2:$D$1501,$X471)&amp;"")</f>
        <v/>
      </c>
      <c r="D471">
        <f>IF($X471="","",INDEX('Per Line'!$A$2:$A$1501,$X471))</f>
        <v/>
      </c>
      <c r="E471">
        <f>IF($X471="","",INDEX('Per Line'!$G$2:$G$1501,$X471)&amp;"")</f>
        <v/>
      </c>
      <c r="F471" s="11">
        <f>IF($X471="","",INDEX('Per Line'!$F$2:$F$1501,$X471))</f>
        <v/>
      </c>
      <c r="G471">
        <f>IF($X471="","",INDEX('Per Line'!$I$2:$I$1501,$X471)&amp;"")</f>
        <v/>
      </c>
      <c r="H471">
        <f>IF($X471="","",INDEX('Per Line'!$J$2:$J$1501,$X471)&amp;"")</f>
        <v/>
      </c>
      <c r="I471">
        <f>IF($X471="","",INDEX('Per Line'!$K$2:$K$1501,$X471)&amp;"")</f>
        <v/>
      </c>
      <c r="J471">
        <f>IF($X471="","",INDEX('Per Line'!$M$2:$M$1501,$X471))</f>
        <v/>
      </c>
      <c r="K471" s="7">
        <f>IF($X471="","",J471*V471/100)</f>
        <v/>
      </c>
      <c r="L471">
        <f>IF($X471="","",INDEX('Per Line'!$Y$2:$Y$1501,$X471)&amp;"")</f>
        <v/>
      </c>
      <c r="M471" s="7">
        <f>IF($X471="","",SUMIFS('Per Line'!$U$2:$U$1501,'Per Line'!$AJ$2:$AJ$1501,$A471&amp;"|"&amp;$C471,'Per Line'!$AN$2:$AN$1501,1))</f>
        <v/>
      </c>
      <c r="N471">
        <f>IF($X471="","",Settings!$C$7)</f>
        <v/>
      </c>
      <c r="O471" s="7">
        <f>IF($X471="","",SUMIFS('Per Line'!$U$2:$U$1501,'Per Line'!$AJ$2:$AJ$1501,$A471&amp;"|"&amp;$C471,'Per Line'!$AM$2:$AM$1501,0,'Per Line'!$AN$2:$AN$1501,0))</f>
        <v/>
      </c>
      <c r="P471" s="7">
        <f>IF($X471="","",O471*N471)</f>
        <v/>
      </c>
      <c r="Q471">
        <f>IF($X471="","",Settings!$C$6)</f>
        <v/>
      </c>
      <c r="R471" s="7">
        <f>IF($X471="","",SUMIFS('Per Line'!$U$2:$U$1501,'Per Line'!$AJ$2:$AJ$1501,$A471&amp;"|"&amp;$C471,'Per Line'!$AM$2:$AM$1501,1,'Per Line'!$AN$2:$AN$1501,0))</f>
        <v/>
      </c>
      <c r="S471" s="7">
        <f>IF($X471="","",R471*Q471)</f>
        <v/>
      </c>
      <c r="T471" s="7">
        <f>IF($X471="","",S471+P471)</f>
        <v/>
      </c>
      <c r="U471" s="7">
        <f>IF($X471="","",V471-T471)</f>
        <v/>
      </c>
      <c r="V471" s="7">
        <f>IF($X471="","",O471+R471+M471)</f>
        <v/>
      </c>
      <c r="W471" s="7">
        <f>IF($X471="","",V471-T471-K471)</f>
        <v/>
      </c>
      <c r="X471" s="13">
        <f>IF(ROWS($X$2:$X471)&lt;=MAX('Per Line'!$AL$2:$AL$1501),MATCH(ROWS($X$2:$X471),'Per Line'!$AL$2:$AL$1501,0),"")</f>
        <v/>
      </c>
    </row>
    <row r="472">
      <c r="A472">
        <f>IF($X472="","",INDEX('Per Line'!$C$2:$C$1501,$X472)&amp;"")</f>
        <v/>
      </c>
      <c r="B472" s="12" t="n"/>
      <c r="C472">
        <f>IF($X472="","",INDEX('Per Line'!$D$2:$D$1501,$X472)&amp;"")</f>
        <v/>
      </c>
      <c r="D472">
        <f>IF($X472="","",INDEX('Per Line'!$A$2:$A$1501,$X472))</f>
        <v/>
      </c>
      <c r="E472">
        <f>IF($X472="","",INDEX('Per Line'!$G$2:$G$1501,$X472)&amp;"")</f>
        <v/>
      </c>
      <c r="F472" s="11">
        <f>IF($X472="","",INDEX('Per Line'!$F$2:$F$1501,$X472))</f>
        <v/>
      </c>
      <c r="G472">
        <f>IF($X472="","",INDEX('Per Line'!$I$2:$I$1501,$X472)&amp;"")</f>
        <v/>
      </c>
      <c r="H472">
        <f>IF($X472="","",INDEX('Per Line'!$J$2:$J$1501,$X472)&amp;"")</f>
        <v/>
      </c>
      <c r="I472">
        <f>IF($X472="","",INDEX('Per Line'!$K$2:$K$1501,$X472)&amp;"")</f>
        <v/>
      </c>
      <c r="J472">
        <f>IF($X472="","",INDEX('Per Line'!$M$2:$M$1501,$X472))</f>
        <v/>
      </c>
      <c r="K472" s="7">
        <f>IF($X472="","",J472*V472/100)</f>
        <v/>
      </c>
      <c r="L472">
        <f>IF($X472="","",INDEX('Per Line'!$Y$2:$Y$1501,$X472)&amp;"")</f>
        <v/>
      </c>
      <c r="M472" s="7">
        <f>IF($X472="","",SUMIFS('Per Line'!$U$2:$U$1501,'Per Line'!$AJ$2:$AJ$1501,$A472&amp;"|"&amp;$C472,'Per Line'!$AN$2:$AN$1501,1))</f>
        <v/>
      </c>
      <c r="N472">
        <f>IF($X472="","",Settings!$C$7)</f>
        <v/>
      </c>
      <c r="O472" s="7">
        <f>IF($X472="","",SUMIFS('Per Line'!$U$2:$U$1501,'Per Line'!$AJ$2:$AJ$1501,$A472&amp;"|"&amp;$C472,'Per Line'!$AM$2:$AM$1501,0,'Per Line'!$AN$2:$AN$1501,0))</f>
        <v/>
      </c>
      <c r="P472" s="7">
        <f>IF($X472="","",O472*N472)</f>
        <v/>
      </c>
      <c r="Q472">
        <f>IF($X472="","",Settings!$C$6)</f>
        <v/>
      </c>
      <c r="R472" s="7">
        <f>IF($X472="","",SUMIFS('Per Line'!$U$2:$U$1501,'Per Line'!$AJ$2:$AJ$1501,$A472&amp;"|"&amp;$C472,'Per Line'!$AM$2:$AM$1501,1,'Per Line'!$AN$2:$AN$1501,0))</f>
        <v/>
      </c>
      <c r="S472" s="7">
        <f>IF($X472="","",R472*Q472)</f>
        <v/>
      </c>
      <c r="T472" s="7">
        <f>IF($X472="","",S472+P472)</f>
        <v/>
      </c>
      <c r="U472" s="7">
        <f>IF($X472="","",V472-T472)</f>
        <v/>
      </c>
      <c r="V472" s="7">
        <f>IF($X472="","",O472+R472+M472)</f>
        <v/>
      </c>
      <c r="W472" s="7">
        <f>IF($X472="","",V472-T472-K472)</f>
        <v/>
      </c>
      <c r="X472" s="13">
        <f>IF(ROWS($X$2:$X472)&lt;=MAX('Per Line'!$AL$2:$AL$1501),MATCH(ROWS($X$2:$X472),'Per Line'!$AL$2:$AL$1501,0),"")</f>
        <v/>
      </c>
    </row>
    <row r="473">
      <c r="A473">
        <f>IF($X473="","",INDEX('Per Line'!$C$2:$C$1501,$X473)&amp;"")</f>
        <v/>
      </c>
      <c r="B473" s="12" t="n"/>
      <c r="C473">
        <f>IF($X473="","",INDEX('Per Line'!$D$2:$D$1501,$X473)&amp;"")</f>
        <v/>
      </c>
      <c r="D473">
        <f>IF($X473="","",INDEX('Per Line'!$A$2:$A$1501,$X473))</f>
        <v/>
      </c>
      <c r="E473">
        <f>IF($X473="","",INDEX('Per Line'!$G$2:$G$1501,$X473)&amp;"")</f>
        <v/>
      </c>
      <c r="F473" s="11">
        <f>IF($X473="","",INDEX('Per Line'!$F$2:$F$1501,$X473))</f>
        <v/>
      </c>
      <c r="G473">
        <f>IF($X473="","",INDEX('Per Line'!$I$2:$I$1501,$X473)&amp;"")</f>
        <v/>
      </c>
      <c r="H473">
        <f>IF($X473="","",INDEX('Per Line'!$J$2:$J$1501,$X473)&amp;"")</f>
        <v/>
      </c>
      <c r="I473">
        <f>IF($X473="","",INDEX('Per Line'!$K$2:$K$1501,$X473)&amp;"")</f>
        <v/>
      </c>
      <c r="J473">
        <f>IF($X473="","",INDEX('Per Line'!$M$2:$M$1501,$X473))</f>
        <v/>
      </c>
      <c r="K473" s="7">
        <f>IF($X473="","",J473*V473/100)</f>
        <v/>
      </c>
      <c r="L473">
        <f>IF($X473="","",INDEX('Per Line'!$Y$2:$Y$1501,$X473)&amp;"")</f>
        <v/>
      </c>
      <c r="M473" s="7">
        <f>IF($X473="","",SUMIFS('Per Line'!$U$2:$U$1501,'Per Line'!$AJ$2:$AJ$1501,$A473&amp;"|"&amp;$C473,'Per Line'!$AN$2:$AN$1501,1))</f>
        <v/>
      </c>
      <c r="N473">
        <f>IF($X473="","",Settings!$C$7)</f>
        <v/>
      </c>
      <c r="O473" s="7">
        <f>IF($X473="","",SUMIFS('Per Line'!$U$2:$U$1501,'Per Line'!$AJ$2:$AJ$1501,$A473&amp;"|"&amp;$C473,'Per Line'!$AM$2:$AM$1501,0,'Per Line'!$AN$2:$AN$1501,0))</f>
        <v/>
      </c>
      <c r="P473" s="7">
        <f>IF($X473="","",O473*N473)</f>
        <v/>
      </c>
      <c r="Q473">
        <f>IF($X473="","",Settings!$C$6)</f>
        <v/>
      </c>
      <c r="R473" s="7">
        <f>IF($X473="","",SUMIFS('Per Line'!$U$2:$U$1501,'Per Line'!$AJ$2:$AJ$1501,$A473&amp;"|"&amp;$C473,'Per Line'!$AM$2:$AM$1501,1,'Per Line'!$AN$2:$AN$1501,0))</f>
        <v/>
      </c>
      <c r="S473" s="7">
        <f>IF($X473="","",R473*Q473)</f>
        <v/>
      </c>
      <c r="T473" s="7">
        <f>IF($X473="","",S473+P473)</f>
        <v/>
      </c>
      <c r="U473" s="7">
        <f>IF($X473="","",V473-T473)</f>
        <v/>
      </c>
      <c r="V473" s="7">
        <f>IF($X473="","",O473+R473+M473)</f>
        <v/>
      </c>
      <c r="W473" s="7">
        <f>IF($X473="","",V473-T473-K473)</f>
        <v/>
      </c>
      <c r="X473" s="13">
        <f>IF(ROWS($X$2:$X473)&lt;=MAX('Per Line'!$AL$2:$AL$1501),MATCH(ROWS($X$2:$X473),'Per Line'!$AL$2:$AL$1501,0),"")</f>
        <v/>
      </c>
    </row>
    <row r="474">
      <c r="A474">
        <f>IF($X474="","",INDEX('Per Line'!$C$2:$C$1501,$X474)&amp;"")</f>
        <v/>
      </c>
      <c r="B474" s="12" t="n"/>
      <c r="C474">
        <f>IF($X474="","",INDEX('Per Line'!$D$2:$D$1501,$X474)&amp;"")</f>
        <v/>
      </c>
      <c r="D474">
        <f>IF($X474="","",INDEX('Per Line'!$A$2:$A$1501,$X474))</f>
        <v/>
      </c>
      <c r="E474">
        <f>IF($X474="","",INDEX('Per Line'!$G$2:$G$1501,$X474)&amp;"")</f>
        <v/>
      </c>
      <c r="F474" s="11">
        <f>IF($X474="","",INDEX('Per Line'!$F$2:$F$1501,$X474))</f>
        <v/>
      </c>
      <c r="G474">
        <f>IF($X474="","",INDEX('Per Line'!$I$2:$I$1501,$X474)&amp;"")</f>
        <v/>
      </c>
      <c r="H474">
        <f>IF($X474="","",INDEX('Per Line'!$J$2:$J$1501,$X474)&amp;"")</f>
        <v/>
      </c>
      <c r="I474">
        <f>IF($X474="","",INDEX('Per Line'!$K$2:$K$1501,$X474)&amp;"")</f>
        <v/>
      </c>
      <c r="J474">
        <f>IF($X474="","",INDEX('Per Line'!$M$2:$M$1501,$X474))</f>
        <v/>
      </c>
      <c r="K474" s="7">
        <f>IF($X474="","",J474*V474/100)</f>
        <v/>
      </c>
      <c r="L474">
        <f>IF($X474="","",INDEX('Per Line'!$Y$2:$Y$1501,$X474)&amp;"")</f>
        <v/>
      </c>
      <c r="M474" s="7">
        <f>IF($X474="","",SUMIFS('Per Line'!$U$2:$U$1501,'Per Line'!$AJ$2:$AJ$1501,$A474&amp;"|"&amp;$C474,'Per Line'!$AN$2:$AN$1501,1))</f>
        <v/>
      </c>
      <c r="N474">
        <f>IF($X474="","",Settings!$C$7)</f>
        <v/>
      </c>
      <c r="O474" s="7">
        <f>IF($X474="","",SUMIFS('Per Line'!$U$2:$U$1501,'Per Line'!$AJ$2:$AJ$1501,$A474&amp;"|"&amp;$C474,'Per Line'!$AM$2:$AM$1501,0,'Per Line'!$AN$2:$AN$1501,0))</f>
        <v/>
      </c>
      <c r="P474" s="7">
        <f>IF($X474="","",O474*N474)</f>
        <v/>
      </c>
      <c r="Q474">
        <f>IF($X474="","",Settings!$C$6)</f>
        <v/>
      </c>
      <c r="R474" s="7">
        <f>IF($X474="","",SUMIFS('Per Line'!$U$2:$U$1501,'Per Line'!$AJ$2:$AJ$1501,$A474&amp;"|"&amp;$C474,'Per Line'!$AM$2:$AM$1501,1,'Per Line'!$AN$2:$AN$1501,0))</f>
        <v/>
      </c>
      <c r="S474" s="7">
        <f>IF($X474="","",R474*Q474)</f>
        <v/>
      </c>
      <c r="T474" s="7">
        <f>IF($X474="","",S474+P474)</f>
        <v/>
      </c>
      <c r="U474" s="7">
        <f>IF($X474="","",V474-T474)</f>
        <v/>
      </c>
      <c r="V474" s="7">
        <f>IF($X474="","",O474+R474+M474)</f>
        <v/>
      </c>
      <c r="W474" s="7">
        <f>IF($X474="","",V474-T474-K474)</f>
        <v/>
      </c>
      <c r="X474" s="13">
        <f>IF(ROWS($X$2:$X474)&lt;=MAX('Per Line'!$AL$2:$AL$1501),MATCH(ROWS($X$2:$X474),'Per Line'!$AL$2:$AL$1501,0),"")</f>
        <v/>
      </c>
    </row>
    <row r="475">
      <c r="A475">
        <f>IF($X475="","",INDEX('Per Line'!$C$2:$C$1501,$X475)&amp;"")</f>
        <v/>
      </c>
      <c r="B475" s="12" t="n"/>
      <c r="C475">
        <f>IF($X475="","",INDEX('Per Line'!$D$2:$D$1501,$X475)&amp;"")</f>
        <v/>
      </c>
      <c r="D475">
        <f>IF($X475="","",INDEX('Per Line'!$A$2:$A$1501,$X475))</f>
        <v/>
      </c>
      <c r="E475">
        <f>IF($X475="","",INDEX('Per Line'!$G$2:$G$1501,$X475)&amp;"")</f>
        <v/>
      </c>
      <c r="F475" s="11">
        <f>IF($X475="","",INDEX('Per Line'!$F$2:$F$1501,$X475))</f>
        <v/>
      </c>
      <c r="G475">
        <f>IF($X475="","",INDEX('Per Line'!$I$2:$I$1501,$X475)&amp;"")</f>
        <v/>
      </c>
      <c r="H475">
        <f>IF($X475="","",INDEX('Per Line'!$J$2:$J$1501,$X475)&amp;"")</f>
        <v/>
      </c>
      <c r="I475">
        <f>IF($X475="","",INDEX('Per Line'!$K$2:$K$1501,$X475)&amp;"")</f>
        <v/>
      </c>
      <c r="J475">
        <f>IF($X475="","",INDEX('Per Line'!$M$2:$M$1501,$X475))</f>
        <v/>
      </c>
      <c r="K475" s="7">
        <f>IF($X475="","",J475*V475/100)</f>
        <v/>
      </c>
      <c r="L475">
        <f>IF($X475="","",INDEX('Per Line'!$Y$2:$Y$1501,$X475)&amp;"")</f>
        <v/>
      </c>
      <c r="M475" s="7">
        <f>IF($X475="","",SUMIFS('Per Line'!$U$2:$U$1501,'Per Line'!$AJ$2:$AJ$1501,$A475&amp;"|"&amp;$C475,'Per Line'!$AN$2:$AN$1501,1))</f>
        <v/>
      </c>
      <c r="N475">
        <f>IF($X475="","",Settings!$C$7)</f>
        <v/>
      </c>
      <c r="O475" s="7">
        <f>IF($X475="","",SUMIFS('Per Line'!$U$2:$U$1501,'Per Line'!$AJ$2:$AJ$1501,$A475&amp;"|"&amp;$C475,'Per Line'!$AM$2:$AM$1501,0,'Per Line'!$AN$2:$AN$1501,0))</f>
        <v/>
      </c>
      <c r="P475" s="7">
        <f>IF($X475="","",O475*N475)</f>
        <v/>
      </c>
      <c r="Q475">
        <f>IF($X475="","",Settings!$C$6)</f>
        <v/>
      </c>
      <c r="R475" s="7">
        <f>IF($X475="","",SUMIFS('Per Line'!$U$2:$U$1501,'Per Line'!$AJ$2:$AJ$1501,$A475&amp;"|"&amp;$C475,'Per Line'!$AM$2:$AM$1501,1,'Per Line'!$AN$2:$AN$1501,0))</f>
        <v/>
      </c>
      <c r="S475" s="7">
        <f>IF($X475="","",R475*Q475)</f>
        <v/>
      </c>
      <c r="T475" s="7">
        <f>IF($X475="","",S475+P475)</f>
        <v/>
      </c>
      <c r="U475" s="7">
        <f>IF($X475="","",V475-T475)</f>
        <v/>
      </c>
      <c r="V475" s="7">
        <f>IF($X475="","",O475+R475+M475)</f>
        <v/>
      </c>
      <c r="W475" s="7">
        <f>IF($X475="","",V475-T475-K475)</f>
        <v/>
      </c>
      <c r="X475" s="13">
        <f>IF(ROWS($X$2:$X475)&lt;=MAX('Per Line'!$AL$2:$AL$1501),MATCH(ROWS($X$2:$X475),'Per Line'!$AL$2:$AL$1501,0),"")</f>
        <v/>
      </c>
    </row>
    <row r="476">
      <c r="A476">
        <f>IF($X476="","",INDEX('Per Line'!$C$2:$C$1501,$X476)&amp;"")</f>
        <v/>
      </c>
      <c r="B476" s="12" t="n"/>
      <c r="C476">
        <f>IF($X476="","",INDEX('Per Line'!$D$2:$D$1501,$X476)&amp;"")</f>
        <v/>
      </c>
      <c r="D476">
        <f>IF($X476="","",INDEX('Per Line'!$A$2:$A$1501,$X476))</f>
        <v/>
      </c>
      <c r="E476">
        <f>IF($X476="","",INDEX('Per Line'!$G$2:$G$1501,$X476)&amp;"")</f>
        <v/>
      </c>
      <c r="F476" s="11">
        <f>IF($X476="","",INDEX('Per Line'!$F$2:$F$1501,$X476))</f>
        <v/>
      </c>
      <c r="G476">
        <f>IF($X476="","",INDEX('Per Line'!$I$2:$I$1501,$X476)&amp;"")</f>
        <v/>
      </c>
      <c r="H476">
        <f>IF($X476="","",INDEX('Per Line'!$J$2:$J$1501,$X476)&amp;"")</f>
        <v/>
      </c>
      <c r="I476">
        <f>IF($X476="","",INDEX('Per Line'!$K$2:$K$1501,$X476)&amp;"")</f>
        <v/>
      </c>
      <c r="J476">
        <f>IF($X476="","",INDEX('Per Line'!$M$2:$M$1501,$X476))</f>
        <v/>
      </c>
      <c r="K476" s="7">
        <f>IF($X476="","",J476*V476/100)</f>
        <v/>
      </c>
      <c r="L476">
        <f>IF($X476="","",INDEX('Per Line'!$Y$2:$Y$1501,$X476)&amp;"")</f>
        <v/>
      </c>
      <c r="M476" s="7">
        <f>IF($X476="","",SUMIFS('Per Line'!$U$2:$U$1501,'Per Line'!$AJ$2:$AJ$1501,$A476&amp;"|"&amp;$C476,'Per Line'!$AN$2:$AN$1501,1))</f>
        <v/>
      </c>
      <c r="N476">
        <f>IF($X476="","",Settings!$C$7)</f>
        <v/>
      </c>
      <c r="O476" s="7">
        <f>IF($X476="","",SUMIFS('Per Line'!$U$2:$U$1501,'Per Line'!$AJ$2:$AJ$1501,$A476&amp;"|"&amp;$C476,'Per Line'!$AM$2:$AM$1501,0,'Per Line'!$AN$2:$AN$1501,0))</f>
        <v/>
      </c>
      <c r="P476" s="7">
        <f>IF($X476="","",O476*N476)</f>
        <v/>
      </c>
      <c r="Q476">
        <f>IF($X476="","",Settings!$C$6)</f>
        <v/>
      </c>
      <c r="R476" s="7">
        <f>IF($X476="","",SUMIFS('Per Line'!$U$2:$U$1501,'Per Line'!$AJ$2:$AJ$1501,$A476&amp;"|"&amp;$C476,'Per Line'!$AM$2:$AM$1501,1,'Per Line'!$AN$2:$AN$1501,0))</f>
        <v/>
      </c>
      <c r="S476" s="7">
        <f>IF($X476="","",R476*Q476)</f>
        <v/>
      </c>
      <c r="T476" s="7">
        <f>IF($X476="","",S476+P476)</f>
        <v/>
      </c>
      <c r="U476" s="7">
        <f>IF($X476="","",V476-T476)</f>
        <v/>
      </c>
      <c r="V476" s="7">
        <f>IF($X476="","",O476+R476+M476)</f>
        <v/>
      </c>
      <c r="W476" s="7">
        <f>IF($X476="","",V476-T476-K476)</f>
        <v/>
      </c>
      <c r="X476" s="13">
        <f>IF(ROWS($X$2:$X476)&lt;=MAX('Per Line'!$AL$2:$AL$1501),MATCH(ROWS($X$2:$X476),'Per Line'!$AL$2:$AL$1501,0),"")</f>
        <v/>
      </c>
    </row>
    <row r="477">
      <c r="A477">
        <f>IF($X477="","",INDEX('Per Line'!$C$2:$C$1501,$X477)&amp;"")</f>
        <v/>
      </c>
      <c r="B477" s="12" t="n"/>
      <c r="C477">
        <f>IF($X477="","",INDEX('Per Line'!$D$2:$D$1501,$X477)&amp;"")</f>
        <v/>
      </c>
      <c r="D477">
        <f>IF($X477="","",INDEX('Per Line'!$A$2:$A$1501,$X477))</f>
        <v/>
      </c>
      <c r="E477">
        <f>IF($X477="","",INDEX('Per Line'!$G$2:$G$1501,$X477)&amp;"")</f>
        <v/>
      </c>
      <c r="F477" s="11">
        <f>IF($X477="","",INDEX('Per Line'!$F$2:$F$1501,$X477))</f>
        <v/>
      </c>
      <c r="G477">
        <f>IF($X477="","",INDEX('Per Line'!$I$2:$I$1501,$X477)&amp;"")</f>
        <v/>
      </c>
      <c r="H477">
        <f>IF($X477="","",INDEX('Per Line'!$J$2:$J$1501,$X477)&amp;"")</f>
        <v/>
      </c>
      <c r="I477">
        <f>IF($X477="","",INDEX('Per Line'!$K$2:$K$1501,$X477)&amp;"")</f>
        <v/>
      </c>
      <c r="J477">
        <f>IF($X477="","",INDEX('Per Line'!$M$2:$M$1501,$X477))</f>
        <v/>
      </c>
      <c r="K477" s="7">
        <f>IF($X477="","",J477*V477/100)</f>
        <v/>
      </c>
      <c r="L477">
        <f>IF($X477="","",INDEX('Per Line'!$Y$2:$Y$1501,$X477)&amp;"")</f>
        <v/>
      </c>
      <c r="M477" s="7">
        <f>IF($X477="","",SUMIFS('Per Line'!$U$2:$U$1501,'Per Line'!$AJ$2:$AJ$1501,$A477&amp;"|"&amp;$C477,'Per Line'!$AN$2:$AN$1501,1))</f>
        <v/>
      </c>
      <c r="N477">
        <f>IF($X477="","",Settings!$C$7)</f>
        <v/>
      </c>
      <c r="O477" s="7">
        <f>IF($X477="","",SUMIFS('Per Line'!$U$2:$U$1501,'Per Line'!$AJ$2:$AJ$1501,$A477&amp;"|"&amp;$C477,'Per Line'!$AM$2:$AM$1501,0,'Per Line'!$AN$2:$AN$1501,0))</f>
        <v/>
      </c>
      <c r="P477" s="7">
        <f>IF($X477="","",O477*N477)</f>
        <v/>
      </c>
      <c r="Q477">
        <f>IF($X477="","",Settings!$C$6)</f>
        <v/>
      </c>
      <c r="R477" s="7">
        <f>IF($X477="","",SUMIFS('Per Line'!$U$2:$U$1501,'Per Line'!$AJ$2:$AJ$1501,$A477&amp;"|"&amp;$C477,'Per Line'!$AM$2:$AM$1501,1,'Per Line'!$AN$2:$AN$1501,0))</f>
        <v/>
      </c>
      <c r="S477" s="7">
        <f>IF($X477="","",R477*Q477)</f>
        <v/>
      </c>
      <c r="T477" s="7">
        <f>IF($X477="","",S477+P477)</f>
        <v/>
      </c>
      <c r="U477" s="7">
        <f>IF($X477="","",V477-T477)</f>
        <v/>
      </c>
      <c r="V477" s="7">
        <f>IF($X477="","",O477+R477+M477)</f>
        <v/>
      </c>
      <c r="W477" s="7">
        <f>IF($X477="","",V477-T477-K477)</f>
        <v/>
      </c>
      <c r="X477" s="13">
        <f>IF(ROWS($X$2:$X477)&lt;=MAX('Per Line'!$AL$2:$AL$1501),MATCH(ROWS($X$2:$X477),'Per Line'!$AL$2:$AL$1501,0),"")</f>
        <v/>
      </c>
    </row>
    <row r="478">
      <c r="A478">
        <f>IF($X478="","",INDEX('Per Line'!$C$2:$C$1501,$X478)&amp;"")</f>
        <v/>
      </c>
      <c r="B478" s="12" t="n"/>
      <c r="C478">
        <f>IF($X478="","",INDEX('Per Line'!$D$2:$D$1501,$X478)&amp;"")</f>
        <v/>
      </c>
      <c r="D478">
        <f>IF($X478="","",INDEX('Per Line'!$A$2:$A$1501,$X478))</f>
        <v/>
      </c>
      <c r="E478">
        <f>IF($X478="","",INDEX('Per Line'!$G$2:$G$1501,$X478)&amp;"")</f>
        <v/>
      </c>
      <c r="F478" s="11">
        <f>IF($X478="","",INDEX('Per Line'!$F$2:$F$1501,$X478))</f>
        <v/>
      </c>
      <c r="G478">
        <f>IF($X478="","",INDEX('Per Line'!$I$2:$I$1501,$X478)&amp;"")</f>
        <v/>
      </c>
      <c r="H478">
        <f>IF($X478="","",INDEX('Per Line'!$J$2:$J$1501,$X478)&amp;"")</f>
        <v/>
      </c>
      <c r="I478">
        <f>IF($X478="","",INDEX('Per Line'!$K$2:$K$1501,$X478)&amp;"")</f>
        <v/>
      </c>
      <c r="J478">
        <f>IF($X478="","",INDEX('Per Line'!$M$2:$M$1501,$X478))</f>
        <v/>
      </c>
      <c r="K478" s="7">
        <f>IF($X478="","",J478*V478/100)</f>
        <v/>
      </c>
      <c r="L478">
        <f>IF($X478="","",INDEX('Per Line'!$Y$2:$Y$1501,$X478)&amp;"")</f>
        <v/>
      </c>
      <c r="M478" s="7">
        <f>IF($X478="","",SUMIFS('Per Line'!$U$2:$U$1501,'Per Line'!$AJ$2:$AJ$1501,$A478&amp;"|"&amp;$C478,'Per Line'!$AN$2:$AN$1501,1))</f>
        <v/>
      </c>
      <c r="N478">
        <f>IF($X478="","",Settings!$C$7)</f>
        <v/>
      </c>
      <c r="O478" s="7">
        <f>IF($X478="","",SUMIFS('Per Line'!$U$2:$U$1501,'Per Line'!$AJ$2:$AJ$1501,$A478&amp;"|"&amp;$C478,'Per Line'!$AM$2:$AM$1501,0,'Per Line'!$AN$2:$AN$1501,0))</f>
        <v/>
      </c>
      <c r="P478" s="7">
        <f>IF($X478="","",O478*N478)</f>
        <v/>
      </c>
      <c r="Q478">
        <f>IF($X478="","",Settings!$C$6)</f>
        <v/>
      </c>
      <c r="R478" s="7">
        <f>IF($X478="","",SUMIFS('Per Line'!$U$2:$U$1501,'Per Line'!$AJ$2:$AJ$1501,$A478&amp;"|"&amp;$C478,'Per Line'!$AM$2:$AM$1501,1,'Per Line'!$AN$2:$AN$1501,0))</f>
        <v/>
      </c>
      <c r="S478" s="7">
        <f>IF($X478="","",R478*Q478)</f>
        <v/>
      </c>
      <c r="T478" s="7">
        <f>IF($X478="","",S478+P478)</f>
        <v/>
      </c>
      <c r="U478" s="7">
        <f>IF($X478="","",V478-T478)</f>
        <v/>
      </c>
      <c r="V478" s="7">
        <f>IF($X478="","",O478+R478+M478)</f>
        <v/>
      </c>
      <c r="W478" s="7">
        <f>IF($X478="","",V478-T478-K478)</f>
        <v/>
      </c>
      <c r="X478" s="13">
        <f>IF(ROWS($X$2:$X478)&lt;=MAX('Per Line'!$AL$2:$AL$1501),MATCH(ROWS($X$2:$X478),'Per Line'!$AL$2:$AL$1501,0),"")</f>
        <v/>
      </c>
    </row>
    <row r="479">
      <c r="A479">
        <f>IF($X479="","",INDEX('Per Line'!$C$2:$C$1501,$X479)&amp;"")</f>
        <v/>
      </c>
      <c r="B479" s="12" t="n"/>
      <c r="C479">
        <f>IF($X479="","",INDEX('Per Line'!$D$2:$D$1501,$X479)&amp;"")</f>
        <v/>
      </c>
      <c r="D479">
        <f>IF($X479="","",INDEX('Per Line'!$A$2:$A$1501,$X479))</f>
        <v/>
      </c>
      <c r="E479">
        <f>IF($X479="","",INDEX('Per Line'!$G$2:$G$1501,$X479)&amp;"")</f>
        <v/>
      </c>
      <c r="F479" s="11">
        <f>IF($X479="","",INDEX('Per Line'!$F$2:$F$1501,$X479))</f>
        <v/>
      </c>
      <c r="G479">
        <f>IF($X479="","",INDEX('Per Line'!$I$2:$I$1501,$X479)&amp;"")</f>
        <v/>
      </c>
      <c r="H479">
        <f>IF($X479="","",INDEX('Per Line'!$J$2:$J$1501,$X479)&amp;"")</f>
        <v/>
      </c>
      <c r="I479">
        <f>IF($X479="","",INDEX('Per Line'!$K$2:$K$1501,$X479)&amp;"")</f>
        <v/>
      </c>
      <c r="J479">
        <f>IF($X479="","",INDEX('Per Line'!$M$2:$M$1501,$X479))</f>
        <v/>
      </c>
      <c r="K479" s="7">
        <f>IF($X479="","",J479*V479/100)</f>
        <v/>
      </c>
      <c r="L479">
        <f>IF($X479="","",INDEX('Per Line'!$Y$2:$Y$1501,$X479)&amp;"")</f>
        <v/>
      </c>
      <c r="M479" s="7">
        <f>IF($X479="","",SUMIFS('Per Line'!$U$2:$U$1501,'Per Line'!$AJ$2:$AJ$1501,$A479&amp;"|"&amp;$C479,'Per Line'!$AN$2:$AN$1501,1))</f>
        <v/>
      </c>
      <c r="N479">
        <f>IF($X479="","",Settings!$C$7)</f>
        <v/>
      </c>
      <c r="O479" s="7">
        <f>IF($X479="","",SUMIFS('Per Line'!$U$2:$U$1501,'Per Line'!$AJ$2:$AJ$1501,$A479&amp;"|"&amp;$C479,'Per Line'!$AM$2:$AM$1501,0,'Per Line'!$AN$2:$AN$1501,0))</f>
        <v/>
      </c>
      <c r="P479" s="7">
        <f>IF($X479="","",O479*N479)</f>
        <v/>
      </c>
      <c r="Q479">
        <f>IF($X479="","",Settings!$C$6)</f>
        <v/>
      </c>
      <c r="R479" s="7">
        <f>IF($X479="","",SUMIFS('Per Line'!$U$2:$U$1501,'Per Line'!$AJ$2:$AJ$1501,$A479&amp;"|"&amp;$C479,'Per Line'!$AM$2:$AM$1501,1,'Per Line'!$AN$2:$AN$1501,0))</f>
        <v/>
      </c>
      <c r="S479" s="7">
        <f>IF($X479="","",R479*Q479)</f>
        <v/>
      </c>
      <c r="T479" s="7">
        <f>IF($X479="","",S479+P479)</f>
        <v/>
      </c>
      <c r="U479" s="7">
        <f>IF($X479="","",V479-T479)</f>
        <v/>
      </c>
      <c r="V479" s="7">
        <f>IF($X479="","",O479+R479+M479)</f>
        <v/>
      </c>
      <c r="W479" s="7">
        <f>IF($X479="","",V479-T479-K479)</f>
        <v/>
      </c>
      <c r="X479" s="13">
        <f>IF(ROWS($X$2:$X479)&lt;=MAX('Per Line'!$AL$2:$AL$1501),MATCH(ROWS($X$2:$X479),'Per Line'!$AL$2:$AL$1501,0),"")</f>
        <v/>
      </c>
    </row>
    <row r="480">
      <c r="A480">
        <f>IF($X480="","",INDEX('Per Line'!$C$2:$C$1501,$X480)&amp;"")</f>
        <v/>
      </c>
      <c r="B480" s="12" t="n"/>
      <c r="C480">
        <f>IF($X480="","",INDEX('Per Line'!$D$2:$D$1501,$X480)&amp;"")</f>
        <v/>
      </c>
      <c r="D480">
        <f>IF($X480="","",INDEX('Per Line'!$A$2:$A$1501,$X480))</f>
        <v/>
      </c>
      <c r="E480">
        <f>IF($X480="","",INDEX('Per Line'!$G$2:$G$1501,$X480)&amp;"")</f>
        <v/>
      </c>
      <c r="F480" s="11">
        <f>IF($X480="","",INDEX('Per Line'!$F$2:$F$1501,$X480))</f>
        <v/>
      </c>
      <c r="G480">
        <f>IF($X480="","",INDEX('Per Line'!$I$2:$I$1501,$X480)&amp;"")</f>
        <v/>
      </c>
      <c r="H480">
        <f>IF($X480="","",INDEX('Per Line'!$J$2:$J$1501,$X480)&amp;"")</f>
        <v/>
      </c>
      <c r="I480">
        <f>IF($X480="","",INDEX('Per Line'!$K$2:$K$1501,$X480)&amp;"")</f>
        <v/>
      </c>
      <c r="J480">
        <f>IF($X480="","",INDEX('Per Line'!$M$2:$M$1501,$X480))</f>
        <v/>
      </c>
      <c r="K480" s="7">
        <f>IF($X480="","",J480*V480/100)</f>
        <v/>
      </c>
      <c r="L480">
        <f>IF($X480="","",INDEX('Per Line'!$Y$2:$Y$1501,$X480)&amp;"")</f>
        <v/>
      </c>
      <c r="M480" s="7">
        <f>IF($X480="","",SUMIFS('Per Line'!$U$2:$U$1501,'Per Line'!$AJ$2:$AJ$1501,$A480&amp;"|"&amp;$C480,'Per Line'!$AN$2:$AN$1501,1))</f>
        <v/>
      </c>
      <c r="N480">
        <f>IF($X480="","",Settings!$C$7)</f>
        <v/>
      </c>
      <c r="O480" s="7">
        <f>IF($X480="","",SUMIFS('Per Line'!$U$2:$U$1501,'Per Line'!$AJ$2:$AJ$1501,$A480&amp;"|"&amp;$C480,'Per Line'!$AM$2:$AM$1501,0,'Per Line'!$AN$2:$AN$1501,0))</f>
        <v/>
      </c>
      <c r="P480" s="7">
        <f>IF($X480="","",O480*N480)</f>
        <v/>
      </c>
      <c r="Q480">
        <f>IF($X480="","",Settings!$C$6)</f>
        <v/>
      </c>
      <c r="R480" s="7">
        <f>IF($X480="","",SUMIFS('Per Line'!$U$2:$U$1501,'Per Line'!$AJ$2:$AJ$1501,$A480&amp;"|"&amp;$C480,'Per Line'!$AM$2:$AM$1501,1,'Per Line'!$AN$2:$AN$1501,0))</f>
        <v/>
      </c>
      <c r="S480" s="7">
        <f>IF($X480="","",R480*Q480)</f>
        <v/>
      </c>
      <c r="T480" s="7">
        <f>IF($X480="","",S480+P480)</f>
        <v/>
      </c>
      <c r="U480" s="7">
        <f>IF($X480="","",V480-T480)</f>
        <v/>
      </c>
      <c r="V480" s="7">
        <f>IF($X480="","",O480+R480+M480)</f>
        <v/>
      </c>
      <c r="W480" s="7">
        <f>IF($X480="","",V480-T480-K480)</f>
        <v/>
      </c>
      <c r="X480" s="13">
        <f>IF(ROWS($X$2:$X480)&lt;=MAX('Per Line'!$AL$2:$AL$1501),MATCH(ROWS($X$2:$X480),'Per Line'!$AL$2:$AL$1501,0),"")</f>
        <v/>
      </c>
    </row>
    <row r="481">
      <c r="A481">
        <f>IF($X481="","",INDEX('Per Line'!$C$2:$C$1501,$X481)&amp;"")</f>
        <v/>
      </c>
      <c r="B481" s="12" t="n"/>
      <c r="C481">
        <f>IF($X481="","",INDEX('Per Line'!$D$2:$D$1501,$X481)&amp;"")</f>
        <v/>
      </c>
      <c r="D481">
        <f>IF($X481="","",INDEX('Per Line'!$A$2:$A$1501,$X481))</f>
        <v/>
      </c>
      <c r="E481">
        <f>IF($X481="","",INDEX('Per Line'!$G$2:$G$1501,$X481)&amp;"")</f>
        <v/>
      </c>
      <c r="F481" s="11">
        <f>IF($X481="","",INDEX('Per Line'!$F$2:$F$1501,$X481))</f>
        <v/>
      </c>
      <c r="G481">
        <f>IF($X481="","",INDEX('Per Line'!$I$2:$I$1501,$X481)&amp;"")</f>
        <v/>
      </c>
      <c r="H481">
        <f>IF($X481="","",INDEX('Per Line'!$J$2:$J$1501,$X481)&amp;"")</f>
        <v/>
      </c>
      <c r="I481">
        <f>IF($X481="","",INDEX('Per Line'!$K$2:$K$1501,$X481)&amp;"")</f>
        <v/>
      </c>
      <c r="J481">
        <f>IF($X481="","",INDEX('Per Line'!$M$2:$M$1501,$X481))</f>
        <v/>
      </c>
      <c r="K481" s="7">
        <f>IF($X481="","",J481*V481/100)</f>
        <v/>
      </c>
      <c r="L481">
        <f>IF($X481="","",INDEX('Per Line'!$Y$2:$Y$1501,$X481)&amp;"")</f>
        <v/>
      </c>
      <c r="M481" s="7">
        <f>IF($X481="","",SUMIFS('Per Line'!$U$2:$U$1501,'Per Line'!$AJ$2:$AJ$1501,$A481&amp;"|"&amp;$C481,'Per Line'!$AN$2:$AN$1501,1))</f>
        <v/>
      </c>
      <c r="N481">
        <f>IF($X481="","",Settings!$C$7)</f>
        <v/>
      </c>
      <c r="O481" s="7">
        <f>IF($X481="","",SUMIFS('Per Line'!$U$2:$U$1501,'Per Line'!$AJ$2:$AJ$1501,$A481&amp;"|"&amp;$C481,'Per Line'!$AM$2:$AM$1501,0,'Per Line'!$AN$2:$AN$1501,0))</f>
        <v/>
      </c>
      <c r="P481" s="7">
        <f>IF($X481="","",O481*N481)</f>
        <v/>
      </c>
      <c r="Q481">
        <f>IF($X481="","",Settings!$C$6)</f>
        <v/>
      </c>
      <c r="R481" s="7">
        <f>IF($X481="","",SUMIFS('Per Line'!$U$2:$U$1501,'Per Line'!$AJ$2:$AJ$1501,$A481&amp;"|"&amp;$C481,'Per Line'!$AM$2:$AM$1501,1,'Per Line'!$AN$2:$AN$1501,0))</f>
        <v/>
      </c>
      <c r="S481" s="7">
        <f>IF($X481="","",R481*Q481)</f>
        <v/>
      </c>
      <c r="T481" s="7">
        <f>IF($X481="","",S481+P481)</f>
        <v/>
      </c>
      <c r="U481" s="7">
        <f>IF($X481="","",V481-T481)</f>
        <v/>
      </c>
      <c r="V481" s="7">
        <f>IF($X481="","",O481+R481+M481)</f>
        <v/>
      </c>
      <c r="W481" s="7">
        <f>IF($X481="","",V481-T481-K481)</f>
        <v/>
      </c>
      <c r="X481" s="13">
        <f>IF(ROWS($X$2:$X481)&lt;=MAX('Per Line'!$AL$2:$AL$1501),MATCH(ROWS($X$2:$X481),'Per Line'!$AL$2:$AL$1501,0),"")</f>
        <v/>
      </c>
    </row>
    <row r="482">
      <c r="A482">
        <f>IF($X482="","",INDEX('Per Line'!$C$2:$C$1501,$X482)&amp;"")</f>
        <v/>
      </c>
      <c r="B482" s="12" t="n"/>
      <c r="C482">
        <f>IF($X482="","",INDEX('Per Line'!$D$2:$D$1501,$X482)&amp;"")</f>
        <v/>
      </c>
      <c r="D482">
        <f>IF($X482="","",INDEX('Per Line'!$A$2:$A$1501,$X482))</f>
        <v/>
      </c>
      <c r="E482">
        <f>IF($X482="","",INDEX('Per Line'!$G$2:$G$1501,$X482)&amp;"")</f>
        <v/>
      </c>
      <c r="F482" s="11">
        <f>IF($X482="","",INDEX('Per Line'!$F$2:$F$1501,$X482))</f>
        <v/>
      </c>
      <c r="G482">
        <f>IF($X482="","",INDEX('Per Line'!$I$2:$I$1501,$X482)&amp;"")</f>
        <v/>
      </c>
      <c r="H482">
        <f>IF($X482="","",INDEX('Per Line'!$J$2:$J$1501,$X482)&amp;"")</f>
        <v/>
      </c>
      <c r="I482">
        <f>IF($X482="","",INDEX('Per Line'!$K$2:$K$1501,$X482)&amp;"")</f>
        <v/>
      </c>
      <c r="J482">
        <f>IF($X482="","",INDEX('Per Line'!$M$2:$M$1501,$X482))</f>
        <v/>
      </c>
      <c r="K482" s="7">
        <f>IF($X482="","",J482*V482/100)</f>
        <v/>
      </c>
      <c r="L482">
        <f>IF($X482="","",INDEX('Per Line'!$Y$2:$Y$1501,$X482)&amp;"")</f>
        <v/>
      </c>
      <c r="M482" s="7">
        <f>IF($X482="","",SUMIFS('Per Line'!$U$2:$U$1501,'Per Line'!$AJ$2:$AJ$1501,$A482&amp;"|"&amp;$C482,'Per Line'!$AN$2:$AN$1501,1))</f>
        <v/>
      </c>
      <c r="N482">
        <f>IF($X482="","",Settings!$C$7)</f>
        <v/>
      </c>
      <c r="O482" s="7">
        <f>IF($X482="","",SUMIFS('Per Line'!$U$2:$U$1501,'Per Line'!$AJ$2:$AJ$1501,$A482&amp;"|"&amp;$C482,'Per Line'!$AM$2:$AM$1501,0,'Per Line'!$AN$2:$AN$1501,0))</f>
        <v/>
      </c>
      <c r="P482" s="7">
        <f>IF($X482="","",O482*N482)</f>
        <v/>
      </c>
      <c r="Q482">
        <f>IF($X482="","",Settings!$C$6)</f>
        <v/>
      </c>
      <c r="R482" s="7">
        <f>IF($X482="","",SUMIFS('Per Line'!$U$2:$U$1501,'Per Line'!$AJ$2:$AJ$1501,$A482&amp;"|"&amp;$C482,'Per Line'!$AM$2:$AM$1501,1,'Per Line'!$AN$2:$AN$1501,0))</f>
        <v/>
      </c>
      <c r="S482" s="7">
        <f>IF($X482="","",R482*Q482)</f>
        <v/>
      </c>
      <c r="T482" s="7">
        <f>IF($X482="","",S482+P482)</f>
        <v/>
      </c>
      <c r="U482" s="7">
        <f>IF($X482="","",V482-T482)</f>
        <v/>
      </c>
      <c r="V482" s="7">
        <f>IF($X482="","",O482+R482+M482)</f>
        <v/>
      </c>
      <c r="W482" s="7">
        <f>IF($X482="","",V482-T482-K482)</f>
        <v/>
      </c>
      <c r="X482" s="13">
        <f>IF(ROWS($X$2:$X482)&lt;=MAX('Per Line'!$AL$2:$AL$1501),MATCH(ROWS($X$2:$X482),'Per Line'!$AL$2:$AL$1501,0),"")</f>
        <v/>
      </c>
    </row>
    <row r="483">
      <c r="A483">
        <f>IF($X483="","",INDEX('Per Line'!$C$2:$C$1501,$X483)&amp;"")</f>
        <v/>
      </c>
      <c r="B483" s="12" t="n"/>
      <c r="C483">
        <f>IF($X483="","",INDEX('Per Line'!$D$2:$D$1501,$X483)&amp;"")</f>
        <v/>
      </c>
      <c r="D483">
        <f>IF($X483="","",INDEX('Per Line'!$A$2:$A$1501,$X483))</f>
        <v/>
      </c>
      <c r="E483">
        <f>IF($X483="","",INDEX('Per Line'!$G$2:$G$1501,$X483)&amp;"")</f>
        <v/>
      </c>
      <c r="F483" s="11">
        <f>IF($X483="","",INDEX('Per Line'!$F$2:$F$1501,$X483))</f>
        <v/>
      </c>
      <c r="G483">
        <f>IF($X483="","",INDEX('Per Line'!$I$2:$I$1501,$X483)&amp;"")</f>
        <v/>
      </c>
      <c r="H483">
        <f>IF($X483="","",INDEX('Per Line'!$J$2:$J$1501,$X483)&amp;"")</f>
        <v/>
      </c>
      <c r="I483">
        <f>IF($X483="","",INDEX('Per Line'!$K$2:$K$1501,$X483)&amp;"")</f>
        <v/>
      </c>
      <c r="J483">
        <f>IF($X483="","",INDEX('Per Line'!$M$2:$M$1501,$X483))</f>
        <v/>
      </c>
      <c r="K483" s="7">
        <f>IF($X483="","",J483*V483/100)</f>
        <v/>
      </c>
      <c r="L483">
        <f>IF($X483="","",INDEX('Per Line'!$Y$2:$Y$1501,$X483)&amp;"")</f>
        <v/>
      </c>
      <c r="M483" s="7">
        <f>IF($X483="","",SUMIFS('Per Line'!$U$2:$U$1501,'Per Line'!$AJ$2:$AJ$1501,$A483&amp;"|"&amp;$C483,'Per Line'!$AN$2:$AN$1501,1))</f>
        <v/>
      </c>
      <c r="N483">
        <f>IF($X483="","",Settings!$C$7)</f>
        <v/>
      </c>
      <c r="O483" s="7">
        <f>IF($X483="","",SUMIFS('Per Line'!$U$2:$U$1501,'Per Line'!$AJ$2:$AJ$1501,$A483&amp;"|"&amp;$C483,'Per Line'!$AM$2:$AM$1501,0,'Per Line'!$AN$2:$AN$1501,0))</f>
        <v/>
      </c>
      <c r="P483" s="7">
        <f>IF($X483="","",O483*N483)</f>
        <v/>
      </c>
      <c r="Q483">
        <f>IF($X483="","",Settings!$C$6)</f>
        <v/>
      </c>
      <c r="R483" s="7">
        <f>IF($X483="","",SUMIFS('Per Line'!$U$2:$U$1501,'Per Line'!$AJ$2:$AJ$1501,$A483&amp;"|"&amp;$C483,'Per Line'!$AM$2:$AM$1501,1,'Per Line'!$AN$2:$AN$1501,0))</f>
        <v/>
      </c>
      <c r="S483" s="7">
        <f>IF($X483="","",R483*Q483)</f>
        <v/>
      </c>
      <c r="T483" s="7">
        <f>IF($X483="","",S483+P483)</f>
        <v/>
      </c>
      <c r="U483" s="7">
        <f>IF($X483="","",V483-T483)</f>
        <v/>
      </c>
      <c r="V483" s="7">
        <f>IF($X483="","",O483+R483+M483)</f>
        <v/>
      </c>
      <c r="W483" s="7">
        <f>IF($X483="","",V483-T483-K483)</f>
        <v/>
      </c>
      <c r="X483" s="13">
        <f>IF(ROWS($X$2:$X483)&lt;=MAX('Per Line'!$AL$2:$AL$1501),MATCH(ROWS($X$2:$X483),'Per Line'!$AL$2:$AL$1501,0),"")</f>
        <v/>
      </c>
    </row>
    <row r="484">
      <c r="A484">
        <f>IF($X484="","",INDEX('Per Line'!$C$2:$C$1501,$X484)&amp;"")</f>
        <v/>
      </c>
      <c r="B484" s="12" t="n"/>
      <c r="C484">
        <f>IF($X484="","",INDEX('Per Line'!$D$2:$D$1501,$X484)&amp;"")</f>
        <v/>
      </c>
      <c r="D484">
        <f>IF($X484="","",INDEX('Per Line'!$A$2:$A$1501,$X484))</f>
        <v/>
      </c>
      <c r="E484">
        <f>IF($X484="","",INDEX('Per Line'!$G$2:$G$1501,$X484)&amp;"")</f>
        <v/>
      </c>
      <c r="F484" s="11">
        <f>IF($X484="","",INDEX('Per Line'!$F$2:$F$1501,$X484))</f>
        <v/>
      </c>
      <c r="G484">
        <f>IF($X484="","",INDEX('Per Line'!$I$2:$I$1501,$X484)&amp;"")</f>
        <v/>
      </c>
      <c r="H484">
        <f>IF($X484="","",INDEX('Per Line'!$J$2:$J$1501,$X484)&amp;"")</f>
        <v/>
      </c>
      <c r="I484">
        <f>IF($X484="","",INDEX('Per Line'!$K$2:$K$1501,$X484)&amp;"")</f>
        <v/>
      </c>
      <c r="J484">
        <f>IF($X484="","",INDEX('Per Line'!$M$2:$M$1501,$X484))</f>
        <v/>
      </c>
      <c r="K484" s="7">
        <f>IF($X484="","",J484*V484/100)</f>
        <v/>
      </c>
      <c r="L484">
        <f>IF($X484="","",INDEX('Per Line'!$Y$2:$Y$1501,$X484)&amp;"")</f>
        <v/>
      </c>
      <c r="M484" s="7">
        <f>IF($X484="","",SUMIFS('Per Line'!$U$2:$U$1501,'Per Line'!$AJ$2:$AJ$1501,$A484&amp;"|"&amp;$C484,'Per Line'!$AN$2:$AN$1501,1))</f>
        <v/>
      </c>
      <c r="N484">
        <f>IF($X484="","",Settings!$C$7)</f>
        <v/>
      </c>
      <c r="O484" s="7">
        <f>IF($X484="","",SUMIFS('Per Line'!$U$2:$U$1501,'Per Line'!$AJ$2:$AJ$1501,$A484&amp;"|"&amp;$C484,'Per Line'!$AM$2:$AM$1501,0,'Per Line'!$AN$2:$AN$1501,0))</f>
        <v/>
      </c>
      <c r="P484" s="7">
        <f>IF($X484="","",O484*N484)</f>
        <v/>
      </c>
      <c r="Q484">
        <f>IF($X484="","",Settings!$C$6)</f>
        <v/>
      </c>
      <c r="R484" s="7">
        <f>IF($X484="","",SUMIFS('Per Line'!$U$2:$U$1501,'Per Line'!$AJ$2:$AJ$1501,$A484&amp;"|"&amp;$C484,'Per Line'!$AM$2:$AM$1501,1,'Per Line'!$AN$2:$AN$1501,0))</f>
        <v/>
      </c>
      <c r="S484" s="7">
        <f>IF($X484="","",R484*Q484)</f>
        <v/>
      </c>
      <c r="T484" s="7">
        <f>IF($X484="","",S484+P484)</f>
        <v/>
      </c>
      <c r="U484" s="7">
        <f>IF($X484="","",V484-T484)</f>
        <v/>
      </c>
      <c r="V484" s="7">
        <f>IF($X484="","",O484+R484+M484)</f>
        <v/>
      </c>
      <c r="W484" s="7">
        <f>IF($X484="","",V484-T484-K484)</f>
        <v/>
      </c>
      <c r="X484" s="13">
        <f>IF(ROWS($X$2:$X484)&lt;=MAX('Per Line'!$AL$2:$AL$1501),MATCH(ROWS($X$2:$X484),'Per Line'!$AL$2:$AL$1501,0),"")</f>
        <v/>
      </c>
    </row>
    <row r="485">
      <c r="A485">
        <f>IF($X485="","",INDEX('Per Line'!$C$2:$C$1501,$X485)&amp;"")</f>
        <v/>
      </c>
      <c r="B485" s="12" t="n"/>
      <c r="C485">
        <f>IF($X485="","",INDEX('Per Line'!$D$2:$D$1501,$X485)&amp;"")</f>
        <v/>
      </c>
      <c r="D485">
        <f>IF($X485="","",INDEX('Per Line'!$A$2:$A$1501,$X485))</f>
        <v/>
      </c>
      <c r="E485">
        <f>IF($X485="","",INDEX('Per Line'!$G$2:$G$1501,$X485)&amp;"")</f>
        <v/>
      </c>
      <c r="F485" s="11">
        <f>IF($X485="","",INDEX('Per Line'!$F$2:$F$1501,$X485))</f>
        <v/>
      </c>
      <c r="G485">
        <f>IF($X485="","",INDEX('Per Line'!$I$2:$I$1501,$X485)&amp;"")</f>
        <v/>
      </c>
      <c r="H485">
        <f>IF($X485="","",INDEX('Per Line'!$J$2:$J$1501,$X485)&amp;"")</f>
        <v/>
      </c>
      <c r="I485">
        <f>IF($X485="","",INDEX('Per Line'!$K$2:$K$1501,$X485)&amp;"")</f>
        <v/>
      </c>
      <c r="J485">
        <f>IF($X485="","",INDEX('Per Line'!$M$2:$M$1501,$X485))</f>
        <v/>
      </c>
      <c r="K485" s="7">
        <f>IF($X485="","",J485*V485/100)</f>
        <v/>
      </c>
      <c r="L485">
        <f>IF($X485="","",INDEX('Per Line'!$Y$2:$Y$1501,$X485)&amp;"")</f>
        <v/>
      </c>
      <c r="M485" s="7">
        <f>IF($X485="","",SUMIFS('Per Line'!$U$2:$U$1501,'Per Line'!$AJ$2:$AJ$1501,$A485&amp;"|"&amp;$C485,'Per Line'!$AN$2:$AN$1501,1))</f>
        <v/>
      </c>
      <c r="N485">
        <f>IF($X485="","",Settings!$C$7)</f>
        <v/>
      </c>
      <c r="O485" s="7">
        <f>IF($X485="","",SUMIFS('Per Line'!$U$2:$U$1501,'Per Line'!$AJ$2:$AJ$1501,$A485&amp;"|"&amp;$C485,'Per Line'!$AM$2:$AM$1501,0,'Per Line'!$AN$2:$AN$1501,0))</f>
        <v/>
      </c>
      <c r="P485" s="7">
        <f>IF($X485="","",O485*N485)</f>
        <v/>
      </c>
      <c r="Q485">
        <f>IF($X485="","",Settings!$C$6)</f>
        <v/>
      </c>
      <c r="R485" s="7">
        <f>IF($X485="","",SUMIFS('Per Line'!$U$2:$U$1501,'Per Line'!$AJ$2:$AJ$1501,$A485&amp;"|"&amp;$C485,'Per Line'!$AM$2:$AM$1501,1,'Per Line'!$AN$2:$AN$1501,0))</f>
        <v/>
      </c>
      <c r="S485" s="7">
        <f>IF($X485="","",R485*Q485)</f>
        <v/>
      </c>
      <c r="T485" s="7">
        <f>IF($X485="","",S485+P485)</f>
        <v/>
      </c>
      <c r="U485" s="7">
        <f>IF($X485="","",V485-T485)</f>
        <v/>
      </c>
      <c r="V485" s="7">
        <f>IF($X485="","",O485+R485+M485)</f>
        <v/>
      </c>
      <c r="W485" s="7">
        <f>IF($X485="","",V485-T485-K485)</f>
        <v/>
      </c>
      <c r="X485" s="13">
        <f>IF(ROWS($X$2:$X485)&lt;=MAX('Per Line'!$AL$2:$AL$1501),MATCH(ROWS($X$2:$X485),'Per Line'!$AL$2:$AL$1501,0),"")</f>
        <v/>
      </c>
    </row>
    <row r="486">
      <c r="A486">
        <f>IF($X486="","",INDEX('Per Line'!$C$2:$C$1501,$X486)&amp;"")</f>
        <v/>
      </c>
      <c r="B486" s="12" t="n"/>
      <c r="C486">
        <f>IF($X486="","",INDEX('Per Line'!$D$2:$D$1501,$X486)&amp;"")</f>
        <v/>
      </c>
      <c r="D486">
        <f>IF($X486="","",INDEX('Per Line'!$A$2:$A$1501,$X486))</f>
        <v/>
      </c>
      <c r="E486">
        <f>IF($X486="","",INDEX('Per Line'!$G$2:$G$1501,$X486)&amp;"")</f>
        <v/>
      </c>
      <c r="F486" s="11">
        <f>IF($X486="","",INDEX('Per Line'!$F$2:$F$1501,$X486))</f>
        <v/>
      </c>
      <c r="G486">
        <f>IF($X486="","",INDEX('Per Line'!$I$2:$I$1501,$X486)&amp;"")</f>
        <v/>
      </c>
      <c r="H486">
        <f>IF($X486="","",INDEX('Per Line'!$J$2:$J$1501,$X486)&amp;"")</f>
        <v/>
      </c>
      <c r="I486">
        <f>IF($X486="","",INDEX('Per Line'!$K$2:$K$1501,$X486)&amp;"")</f>
        <v/>
      </c>
      <c r="J486">
        <f>IF($X486="","",INDEX('Per Line'!$M$2:$M$1501,$X486))</f>
        <v/>
      </c>
      <c r="K486" s="7">
        <f>IF($X486="","",J486*V486/100)</f>
        <v/>
      </c>
      <c r="L486">
        <f>IF($X486="","",INDEX('Per Line'!$Y$2:$Y$1501,$X486)&amp;"")</f>
        <v/>
      </c>
      <c r="M486" s="7">
        <f>IF($X486="","",SUMIFS('Per Line'!$U$2:$U$1501,'Per Line'!$AJ$2:$AJ$1501,$A486&amp;"|"&amp;$C486,'Per Line'!$AN$2:$AN$1501,1))</f>
        <v/>
      </c>
      <c r="N486">
        <f>IF($X486="","",Settings!$C$7)</f>
        <v/>
      </c>
      <c r="O486" s="7">
        <f>IF($X486="","",SUMIFS('Per Line'!$U$2:$U$1501,'Per Line'!$AJ$2:$AJ$1501,$A486&amp;"|"&amp;$C486,'Per Line'!$AM$2:$AM$1501,0,'Per Line'!$AN$2:$AN$1501,0))</f>
        <v/>
      </c>
      <c r="P486" s="7">
        <f>IF($X486="","",O486*N486)</f>
        <v/>
      </c>
      <c r="Q486">
        <f>IF($X486="","",Settings!$C$6)</f>
        <v/>
      </c>
      <c r="R486" s="7">
        <f>IF($X486="","",SUMIFS('Per Line'!$U$2:$U$1501,'Per Line'!$AJ$2:$AJ$1501,$A486&amp;"|"&amp;$C486,'Per Line'!$AM$2:$AM$1501,1,'Per Line'!$AN$2:$AN$1501,0))</f>
        <v/>
      </c>
      <c r="S486" s="7">
        <f>IF($X486="","",R486*Q486)</f>
        <v/>
      </c>
      <c r="T486" s="7">
        <f>IF($X486="","",S486+P486)</f>
        <v/>
      </c>
      <c r="U486" s="7">
        <f>IF($X486="","",V486-T486)</f>
        <v/>
      </c>
      <c r="V486" s="7">
        <f>IF($X486="","",O486+R486+M486)</f>
        <v/>
      </c>
      <c r="W486" s="7">
        <f>IF($X486="","",V486-T486-K486)</f>
        <v/>
      </c>
      <c r="X486" s="13">
        <f>IF(ROWS($X$2:$X486)&lt;=MAX('Per Line'!$AL$2:$AL$1501),MATCH(ROWS($X$2:$X486),'Per Line'!$AL$2:$AL$1501,0),"")</f>
        <v/>
      </c>
    </row>
    <row r="487">
      <c r="A487">
        <f>IF($X487="","",INDEX('Per Line'!$C$2:$C$1501,$X487)&amp;"")</f>
        <v/>
      </c>
      <c r="B487" s="12" t="n"/>
      <c r="C487">
        <f>IF($X487="","",INDEX('Per Line'!$D$2:$D$1501,$X487)&amp;"")</f>
        <v/>
      </c>
      <c r="D487">
        <f>IF($X487="","",INDEX('Per Line'!$A$2:$A$1501,$X487))</f>
        <v/>
      </c>
      <c r="E487">
        <f>IF($X487="","",INDEX('Per Line'!$G$2:$G$1501,$X487)&amp;"")</f>
        <v/>
      </c>
      <c r="F487" s="11">
        <f>IF($X487="","",INDEX('Per Line'!$F$2:$F$1501,$X487))</f>
        <v/>
      </c>
      <c r="G487">
        <f>IF($X487="","",INDEX('Per Line'!$I$2:$I$1501,$X487)&amp;"")</f>
        <v/>
      </c>
      <c r="H487">
        <f>IF($X487="","",INDEX('Per Line'!$J$2:$J$1501,$X487)&amp;"")</f>
        <v/>
      </c>
      <c r="I487">
        <f>IF($X487="","",INDEX('Per Line'!$K$2:$K$1501,$X487)&amp;"")</f>
        <v/>
      </c>
      <c r="J487">
        <f>IF($X487="","",INDEX('Per Line'!$M$2:$M$1501,$X487))</f>
        <v/>
      </c>
      <c r="K487" s="7">
        <f>IF($X487="","",J487*V487/100)</f>
        <v/>
      </c>
      <c r="L487">
        <f>IF($X487="","",INDEX('Per Line'!$Y$2:$Y$1501,$X487)&amp;"")</f>
        <v/>
      </c>
      <c r="M487" s="7">
        <f>IF($X487="","",SUMIFS('Per Line'!$U$2:$U$1501,'Per Line'!$AJ$2:$AJ$1501,$A487&amp;"|"&amp;$C487,'Per Line'!$AN$2:$AN$1501,1))</f>
        <v/>
      </c>
      <c r="N487">
        <f>IF($X487="","",Settings!$C$7)</f>
        <v/>
      </c>
      <c r="O487" s="7">
        <f>IF($X487="","",SUMIFS('Per Line'!$U$2:$U$1501,'Per Line'!$AJ$2:$AJ$1501,$A487&amp;"|"&amp;$C487,'Per Line'!$AM$2:$AM$1501,0,'Per Line'!$AN$2:$AN$1501,0))</f>
        <v/>
      </c>
      <c r="P487" s="7">
        <f>IF($X487="","",O487*N487)</f>
        <v/>
      </c>
      <c r="Q487">
        <f>IF($X487="","",Settings!$C$6)</f>
        <v/>
      </c>
      <c r="R487" s="7">
        <f>IF($X487="","",SUMIFS('Per Line'!$U$2:$U$1501,'Per Line'!$AJ$2:$AJ$1501,$A487&amp;"|"&amp;$C487,'Per Line'!$AM$2:$AM$1501,1,'Per Line'!$AN$2:$AN$1501,0))</f>
        <v/>
      </c>
      <c r="S487" s="7">
        <f>IF($X487="","",R487*Q487)</f>
        <v/>
      </c>
      <c r="T487" s="7">
        <f>IF($X487="","",S487+P487)</f>
        <v/>
      </c>
      <c r="U487" s="7">
        <f>IF($X487="","",V487-T487)</f>
        <v/>
      </c>
      <c r="V487" s="7">
        <f>IF($X487="","",O487+R487+M487)</f>
        <v/>
      </c>
      <c r="W487" s="7">
        <f>IF($X487="","",V487-T487-K487)</f>
        <v/>
      </c>
      <c r="X487" s="13">
        <f>IF(ROWS($X$2:$X487)&lt;=MAX('Per Line'!$AL$2:$AL$1501),MATCH(ROWS($X$2:$X487),'Per Line'!$AL$2:$AL$1501,0),"")</f>
        <v/>
      </c>
    </row>
    <row r="488">
      <c r="A488">
        <f>IF($X488="","",INDEX('Per Line'!$C$2:$C$1501,$X488)&amp;"")</f>
        <v/>
      </c>
      <c r="B488" s="12" t="n"/>
      <c r="C488">
        <f>IF($X488="","",INDEX('Per Line'!$D$2:$D$1501,$X488)&amp;"")</f>
        <v/>
      </c>
      <c r="D488">
        <f>IF($X488="","",INDEX('Per Line'!$A$2:$A$1501,$X488))</f>
        <v/>
      </c>
      <c r="E488">
        <f>IF($X488="","",INDEX('Per Line'!$G$2:$G$1501,$X488)&amp;"")</f>
        <v/>
      </c>
      <c r="F488" s="11">
        <f>IF($X488="","",INDEX('Per Line'!$F$2:$F$1501,$X488))</f>
        <v/>
      </c>
      <c r="G488">
        <f>IF($X488="","",INDEX('Per Line'!$I$2:$I$1501,$X488)&amp;"")</f>
        <v/>
      </c>
      <c r="H488">
        <f>IF($X488="","",INDEX('Per Line'!$J$2:$J$1501,$X488)&amp;"")</f>
        <v/>
      </c>
      <c r="I488">
        <f>IF($X488="","",INDEX('Per Line'!$K$2:$K$1501,$X488)&amp;"")</f>
        <v/>
      </c>
      <c r="J488">
        <f>IF($X488="","",INDEX('Per Line'!$M$2:$M$1501,$X488))</f>
        <v/>
      </c>
      <c r="K488" s="7">
        <f>IF($X488="","",J488*V488/100)</f>
        <v/>
      </c>
      <c r="L488">
        <f>IF($X488="","",INDEX('Per Line'!$Y$2:$Y$1501,$X488)&amp;"")</f>
        <v/>
      </c>
      <c r="M488" s="7">
        <f>IF($X488="","",SUMIFS('Per Line'!$U$2:$U$1501,'Per Line'!$AJ$2:$AJ$1501,$A488&amp;"|"&amp;$C488,'Per Line'!$AN$2:$AN$1501,1))</f>
        <v/>
      </c>
      <c r="N488">
        <f>IF($X488="","",Settings!$C$7)</f>
        <v/>
      </c>
      <c r="O488" s="7">
        <f>IF($X488="","",SUMIFS('Per Line'!$U$2:$U$1501,'Per Line'!$AJ$2:$AJ$1501,$A488&amp;"|"&amp;$C488,'Per Line'!$AM$2:$AM$1501,0,'Per Line'!$AN$2:$AN$1501,0))</f>
        <v/>
      </c>
      <c r="P488" s="7">
        <f>IF($X488="","",O488*N488)</f>
        <v/>
      </c>
      <c r="Q488">
        <f>IF($X488="","",Settings!$C$6)</f>
        <v/>
      </c>
      <c r="R488" s="7">
        <f>IF($X488="","",SUMIFS('Per Line'!$U$2:$U$1501,'Per Line'!$AJ$2:$AJ$1501,$A488&amp;"|"&amp;$C488,'Per Line'!$AM$2:$AM$1501,1,'Per Line'!$AN$2:$AN$1501,0))</f>
        <v/>
      </c>
      <c r="S488" s="7">
        <f>IF($X488="","",R488*Q488)</f>
        <v/>
      </c>
      <c r="T488" s="7">
        <f>IF($X488="","",S488+P488)</f>
        <v/>
      </c>
      <c r="U488" s="7">
        <f>IF($X488="","",V488-T488)</f>
        <v/>
      </c>
      <c r="V488" s="7">
        <f>IF($X488="","",O488+R488+M488)</f>
        <v/>
      </c>
      <c r="W488" s="7">
        <f>IF($X488="","",V488-T488-K488)</f>
        <v/>
      </c>
      <c r="X488" s="13">
        <f>IF(ROWS($X$2:$X488)&lt;=MAX('Per Line'!$AL$2:$AL$1501),MATCH(ROWS($X$2:$X488),'Per Line'!$AL$2:$AL$1501,0),"")</f>
        <v/>
      </c>
    </row>
    <row r="489">
      <c r="A489">
        <f>IF($X489="","",INDEX('Per Line'!$C$2:$C$1501,$X489)&amp;"")</f>
        <v/>
      </c>
      <c r="B489" s="12" t="n"/>
      <c r="C489">
        <f>IF($X489="","",INDEX('Per Line'!$D$2:$D$1501,$X489)&amp;"")</f>
        <v/>
      </c>
      <c r="D489">
        <f>IF($X489="","",INDEX('Per Line'!$A$2:$A$1501,$X489))</f>
        <v/>
      </c>
      <c r="E489">
        <f>IF($X489="","",INDEX('Per Line'!$G$2:$G$1501,$X489)&amp;"")</f>
        <v/>
      </c>
      <c r="F489" s="11">
        <f>IF($X489="","",INDEX('Per Line'!$F$2:$F$1501,$X489))</f>
        <v/>
      </c>
      <c r="G489">
        <f>IF($X489="","",INDEX('Per Line'!$I$2:$I$1501,$X489)&amp;"")</f>
        <v/>
      </c>
      <c r="H489">
        <f>IF($X489="","",INDEX('Per Line'!$J$2:$J$1501,$X489)&amp;"")</f>
        <v/>
      </c>
      <c r="I489">
        <f>IF($X489="","",INDEX('Per Line'!$K$2:$K$1501,$X489)&amp;"")</f>
        <v/>
      </c>
      <c r="J489">
        <f>IF($X489="","",INDEX('Per Line'!$M$2:$M$1501,$X489))</f>
        <v/>
      </c>
      <c r="K489" s="7">
        <f>IF($X489="","",J489*V489/100)</f>
        <v/>
      </c>
      <c r="L489">
        <f>IF($X489="","",INDEX('Per Line'!$Y$2:$Y$1501,$X489)&amp;"")</f>
        <v/>
      </c>
      <c r="M489" s="7">
        <f>IF($X489="","",SUMIFS('Per Line'!$U$2:$U$1501,'Per Line'!$AJ$2:$AJ$1501,$A489&amp;"|"&amp;$C489,'Per Line'!$AN$2:$AN$1501,1))</f>
        <v/>
      </c>
      <c r="N489">
        <f>IF($X489="","",Settings!$C$7)</f>
        <v/>
      </c>
      <c r="O489" s="7">
        <f>IF($X489="","",SUMIFS('Per Line'!$U$2:$U$1501,'Per Line'!$AJ$2:$AJ$1501,$A489&amp;"|"&amp;$C489,'Per Line'!$AM$2:$AM$1501,0,'Per Line'!$AN$2:$AN$1501,0))</f>
        <v/>
      </c>
      <c r="P489" s="7">
        <f>IF($X489="","",O489*N489)</f>
        <v/>
      </c>
      <c r="Q489">
        <f>IF($X489="","",Settings!$C$6)</f>
        <v/>
      </c>
      <c r="R489" s="7">
        <f>IF($X489="","",SUMIFS('Per Line'!$U$2:$U$1501,'Per Line'!$AJ$2:$AJ$1501,$A489&amp;"|"&amp;$C489,'Per Line'!$AM$2:$AM$1501,1,'Per Line'!$AN$2:$AN$1501,0))</f>
        <v/>
      </c>
      <c r="S489" s="7">
        <f>IF($X489="","",R489*Q489)</f>
        <v/>
      </c>
      <c r="T489" s="7">
        <f>IF($X489="","",S489+P489)</f>
        <v/>
      </c>
      <c r="U489" s="7">
        <f>IF($X489="","",V489-T489)</f>
        <v/>
      </c>
      <c r="V489" s="7">
        <f>IF($X489="","",O489+R489+M489)</f>
        <v/>
      </c>
      <c r="W489" s="7">
        <f>IF($X489="","",V489-T489-K489)</f>
        <v/>
      </c>
      <c r="X489" s="13">
        <f>IF(ROWS($X$2:$X489)&lt;=MAX('Per Line'!$AL$2:$AL$1501),MATCH(ROWS($X$2:$X489),'Per Line'!$AL$2:$AL$1501,0),"")</f>
        <v/>
      </c>
    </row>
    <row r="490">
      <c r="A490">
        <f>IF($X490="","",INDEX('Per Line'!$C$2:$C$1501,$X490)&amp;"")</f>
        <v/>
      </c>
      <c r="B490" s="12" t="n"/>
      <c r="C490">
        <f>IF($X490="","",INDEX('Per Line'!$D$2:$D$1501,$X490)&amp;"")</f>
        <v/>
      </c>
      <c r="D490">
        <f>IF($X490="","",INDEX('Per Line'!$A$2:$A$1501,$X490))</f>
        <v/>
      </c>
      <c r="E490">
        <f>IF($X490="","",INDEX('Per Line'!$G$2:$G$1501,$X490)&amp;"")</f>
        <v/>
      </c>
      <c r="F490" s="11">
        <f>IF($X490="","",INDEX('Per Line'!$F$2:$F$1501,$X490))</f>
        <v/>
      </c>
      <c r="G490">
        <f>IF($X490="","",INDEX('Per Line'!$I$2:$I$1501,$X490)&amp;"")</f>
        <v/>
      </c>
      <c r="H490">
        <f>IF($X490="","",INDEX('Per Line'!$J$2:$J$1501,$X490)&amp;"")</f>
        <v/>
      </c>
      <c r="I490">
        <f>IF($X490="","",INDEX('Per Line'!$K$2:$K$1501,$X490)&amp;"")</f>
        <v/>
      </c>
      <c r="J490">
        <f>IF($X490="","",INDEX('Per Line'!$M$2:$M$1501,$X490))</f>
        <v/>
      </c>
      <c r="K490" s="7">
        <f>IF($X490="","",J490*V490/100)</f>
        <v/>
      </c>
      <c r="L490">
        <f>IF($X490="","",INDEX('Per Line'!$Y$2:$Y$1501,$X490)&amp;"")</f>
        <v/>
      </c>
      <c r="M490" s="7">
        <f>IF($X490="","",SUMIFS('Per Line'!$U$2:$U$1501,'Per Line'!$AJ$2:$AJ$1501,$A490&amp;"|"&amp;$C490,'Per Line'!$AN$2:$AN$1501,1))</f>
        <v/>
      </c>
      <c r="N490">
        <f>IF($X490="","",Settings!$C$7)</f>
        <v/>
      </c>
      <c r="O490" s="7">
        <f>IF($X490="","",SUMIFS('Per Line'!$U$2:$U$1501,'Per Line'!$AJ$2:$AJ$1501,$A490&amp;"|"&amp;$C490,'Per Line'!$AM$2:$AM$1501,0,'Per Line'!$AN$2:$AN$1501,0))</f>
        <v/>
      </c>
      <c r="P490" s="7">
        <f>IF($X490="","",O490*N490)</f>
        <v/>
      </c>
      <c r="Q490">
        <f>IF($X490="","",Settings!$C$6)</f>
        <v/>
      </c>
      <c r="R490" s="7">
        <f>IF($X490="","",SUMIFS('Per Line'!$U$2:$U$1501,'Per Line'!$AJ$2:$AJ$1501,$A490&amp;"|"&amp;$C490,'Per Line'!$AM$2:$AM$1501,1,'Per Line'!$AN$2:$AN$1501,0))</f>
        <v/>
      </c>
      <c r="S490" s="7">
        <f>IF($X490="","",R490*Q490)</f>
        <v/>
      </c>
      <c r="T490" s="7">
        <f>IF($X490="","",S490+P490)</f>
        <v/>
      </c>
      <c r="U490" s="7">
        <f>IF($X490="","",V490-T490)</f>
        <v/>
      </c>
      <c r="V490" s="7">
        <f>IF($X490="","",O490+R490+M490)</f>
        <v/>
      </c>
      <c r="W490" s="7">
        <f>IF($X490="","",V490-T490-K490)</f>
        <v/>
      </c>
      <c r="X490" s="13">
        <f>IF(ROWS($X$2:$X490)&lt;=MAX('Per Line'!$AL$2:$AL$1501),MATCH(ROWS($X$2:$X490),'Per Line'!$AL$2:$AL$1501,0),"")</f>
        <v/>
      </c>
    </row>
    <row r="491">
      <c r="A491">
        <f>IF($X491="","",INDEX('Per Line'!$C$2:$C$1501,$X491)&amp;"")</f>
        <v/>
      </c>
      <c r="B491" s="12" t="n"/>
      <c r="C491">
        <f>IF($X491="","",INDEX('Per Line'!$D$2:$D$1501,$X491)&amp;"")</f>
        <v/>
      </c>
      <c r="D491">
        <f>IF($X491="","",INDEX('Per Line'!$A$2:$A$1501,$X491))</f>
        <v/>
      </c>
      <c r="E491">
        <f>IF($X491="","",INDEX('Per Line'!$G$2:$G$1501,$X491)&amp;"")</f>
        <v/>
      </c>
      <c r="F491" s="11">
        <f>IF($X491="","",INDEX('Per Line'!$F$2:$F$1501,$X491))</f>
        <v/>
      </c>
      <c r="G491">
        <f>IF($X491="","",INDEX('Per Line'!$I$2:$I$1501,$X491)&amp;"")</f>
        <v/>
      </c>
      <c r="H491">
        <f>IF($X491="","",INDEX('Per Line'!$J$2:$J$1501,$X491)&amp;"")</f>
        <v/>
      </c>
      <c r="I491">
        <f>IF($X491="","",INDEX('Per Line'!$K$2:$K$1501,$X491)&amp;"")</f>
        <v/>
      </c>
      <c r="J491">
        <f>IF($X491="","",INDEX('Per Line'!$M$2:$M$1501,$X491))</f>
        <v/>
      </c>
      <c r="K491" s="7">
        <f>IF($X491="","",J491*V491/100)</f>
        <v/>
      </c>
      <c r="L491">
        <f>IF($X491="","",INDEX('Per Line'!$Y$2:$Y$1501,$X491)&amp;"")</f>
        <v/>
      </c>
      <c r="M491" s="7">
        <f>IF($X491="","",SUMIFS('Per Line'!$U$2:$U$1501,'Per Line'!$AJ$2:$AJ$1501,$A491&amp;"|"&amp;$C491,'Per Line'!$AN$2:$AN$1501,1))</f>
        <v/>
      </c>
      <c r="N491">
        <f>IF($X491="","",Settings!$C$7)</f>
        <v/>
      </c>
      <c r="O491" s="7">
        <f>IF($X491="","",SUMIFS('Per Line'!$U$2:$U$1501,'Per Line'!$AJ$2:$AJ$1501,$A491&amp;"|"&amp;$C491,'Per Line'!$AM$2:$AM$1501,0,'Per Line'!$AN$2:$AN$1501,0))</f>
        <v/>
      </c>
      <c r="P491" s="7">
        <f>IF($X491="","",O491*N491)</f>
        <v/>
      </c>
      <c r="Q491">
        <f>IF($X491="","",Settings!$C$6)</f>
        <v/>
      </c>
      <c r="R491" s="7">
        <f>IF($X491="","",SUMIFS('Per Line'!$U$2:$U$1501,'Per Line'!$AJ$2:$AJ$1501,$A491&amp;"|"&amp;$C491,'Per Line'!$AM$2:$AM$1501,1,'Per Line'!$AN$2:$AN$1501,0))</f>
        <v/>
      </c>
      <c r="S491" s="7">
        <f>IF($X491="","",R491*Q491)</f>
        <v/>
      </c>
      <c r="T491" s="7">
        <f>IF($X491="","",S491+P491)</f>
        <v/>
      </c>
      <c r="U491" s="7">
        <f>IF($X491="","",V491-T491)</f>
        <v/>
      </c>
      <c r="V491" s="7">
        <f>IF($X491="","",O491+R491+M491)</f>
        <v/>
      </c>
      <c r="W491" s="7">
        <f>IF($X491="","",V491-T491-K491)</f>
        <v/>
      </c>
      <c r="X491" s="13">
        <f>IF(ROWS($X$2:$X491)&lt;=MAX('Per Line'!$AL$2:$AL$1501),MATCH(ROWS($X$2:$X491),'Per Line'!$AL$2:$AL$1501,0),"")</f>
        <v/>
      </c>
    </row>
    <row r="492">
      <c r="A492">
        <f>IF($X492="","",INDEX('Per Line'!$C$2:$C$1501,$X492)&amp;"")</f>
        <v/>
      </c>
      <c r="B492" s="12" t="n"/>
      <c r="C492">
        <f>IF($X492="","",INDEX('Per Line'!$D$2:$D$1501,$X492)&amp;"")</f>
        <v/>
      </c>
      <c r="D492">
        <f>IF($X492="","",INDEX('Per Line'!$A$2:$A$1501,$X492))</f>
        <v/>
      </c>
      <c r="E492">
        <f>IF($X492="","",INDEX('Per Line'!$G$2:$G$1501,$X492)&amp;"")</f>
        <v/>
      </c>
      <c r="F492" s="11">
        <f>IF($X492="","",INDEX('Per Line'!$F$2:$F$1501,$X492))</f>
        <v/>
      </c>
      <c r="G492">
        <f>IF($X492="","",INDEX('Per Line'!$I$2:$I$1501,$X492)&amp;"")</f>
        <v/>
      </c>
      <c r="H492">
        <f>IF($X492="","",INDEX('Per Line'!$J$2:$J$1501,$X492)&amp;"")</f>
        <v/>
      </c>
      <c r="I492">
        <f>IF($X492="","",INDEX('Per Line'!$K$2:$K$1501,$X492)&amp;"")</f>
        <v/>
      </c>
      <c r="J492">
        <f>IF($X492="","",INDEX('Per Line'!$M$2:$M$1501,$X492))</f>
        <v/>
      </c>
      <c r="K492" s="7">
        <f>IF($X492="","",J492*V492/100)</f>
        <v/>
      </c>
      <c r="L492">
        <f>IF($X492="","",INDEX('Per Line'!$Y$2:$Y$1501,$X492)&amp;"")</f>
        <v/>
      </c>
      <c r="M492" s="7">
        <f>IF($X492="","",SUMIFS('Per Line'!$U$2:$U$1501,'Per Line'!$AJ$2:$AJ$1501,$A492&amp;"|"&amp;$C492,'Per Line'!$AN$2:$AN$1501,1))</f>
        <v/>
      </c>
      <c r="N492">
        <f>IF($X492="","",Settings!$C$7)</f>
        <v/>
      </c>
      <c r="O492" s="7">
        <f>IF($X492="","",SUMIFS('Per Line'!$U$2:$U$1501,'Per Line'!$AJ$2:$AJ$1501,$A492&amp;"|"&amp;$C492,'Per Line'!$AM$2:$AM$1501,0,'Per Line'!$AN$2:$AN$1501,0))</f>
        <v/>
      </c>
      <c r="P492" s="7">
        <f>IF($X492="","",O492*N492)</f>
        <v/>
      </c>
      <c r="Q492">
        <f>IF($X492="","",Settings!$C$6)</f>
        <v/>
      </c>
      <c r="R492" s="7">
        <f>IF($X492="","",SUMIFS('Per Line'!$U$2:$U$1501,'Per Line'!$AJ$2:$AJ$1501,$A492&amp;"|"&amp;$C492,'Per Line'!$AM$2:$AM$1501,1,'Per Line'!$AN$2:$AN$1501,0))</f>
        <v/>
      </c>
      <c r="S492" s="7">
        <f>IF($X492="","",R492*Q492)</f>
        <v/>
      </c>
      <c r="T492" s="7">
        <f>IF($X492="","",S492+P492)</f>
        <v/>
      </c>
      <c r="U492" s="7">
        <f>IF($X492="","",V492-T492)</f>
        <v/>
      </c>
      <c r="V492" s="7">
        <f>IF($X492="","",O492+R492+M492)</f>
        <v/>
      </c>
      <c r="W492" s="7">
        <f>IF($X492="","",V492-T492-K492)</f>
        <v/>
      </c>
      <c r="X492" s="13">
        <f>IF(ROWS($X$2:$X492)&lt;=MAX('Per Line'!$AL$2:$AL$1501),MATCH(ROWS($X$2:$X492),'Per Line'!$AL$2:$AL$1501,0),"")</f>
        <v/>
      </c>
    </row>
    <row r="493">
      <c r="A493">
        <f>IF($X493="","",INDEX('Per Line'!$C$2:$C$1501,$X493)&amp;"")</f>
        <v/>
      </c>
      <c r="B493" s="12" t="n"/>
      <c r="C493">
        <f>IF($X493="","",INDEX('Per Line'!$D$2:$D$1501,$X493)&amp;"")</f>
        <v/>
      </c>
      <c r="D493">
        <f>IF($X493="","",INDEX('Per Line'!$A$2:$A$1501,$X493))</f>
        <v/>
      </c>
      <c r="E493">
        <f>IF($X493="","",INDEX('Per Line'!$G$2:$G$1501,$X493)&amp;"")</f>
        <v/>
      </c>
      <c r="F493" s="11">
        <f>IF($X493="","",INDEX('Per Line'!$F$2:$F$1501,$X493))</f>
        <v/>
      </c>
      <c r="G493">
        <f>IF($X493="","",INDEX('Per Line'!$I$2:$I$1501,$X493)&amp;"")</f>
        <v/>
      </c>
      <c r="H493">
        <f>IF($X493="","",INDEX('Per Line'!$J$2:$J$1501,$X493)&amp;"")</f>
        <v/>
      </c>
      <c r="I493">
        <f>IF($X493="","",INDEX('Per Line'!$K$2:$K$1501,$X493)&amp;"")</f>
        <v/>
      </c>
      <c r="J493">
        <f>IF($X493="","",INDEX('Per Line'!$M$2:$M$1501,$X493))</f>
        <v/>
      </c>
      <c r="K493" s="7">
        <f>IF($X493="","",J493*V493/100)</f>
        <v/>
      </c>
      <c r="L493">
        <f>IF($X493="","",INDEX('Per Line'!$Y$2:$Y$1501,$X493)&amp;"")</f>
        <v/>
      </c>
      <c r="M493" s="7">
        <f>IF($X493="","",SUMIFS('Per Line'!$U$2:$U$1501,'Per Line'!$AJ$2:$AJ$1501,$A493&amp;"|"&amp;$C493,'Per Line'!$AN$2:$AN$1501,1))</f>
        <v/>
      </c>
      <c r="N493">
        <f>IF($X493="","",Settings!$C$7)</f>
        <v/>
      </c>
      <c r="O493" s="7">
        <f>IF($X493="","",SUMIFS('Per Line'!$U$2:$U$1501,'Per Line'!$AJ$2:$AJ$1501,$A493&amp;"|"&amp;$C493,'Per Line'!$AM$2:$AM$1501,0,'Per Line'!$AN$2:$AN$1501,0))</f>
        <v/>
      </c>
      <c r="P493" s="7">
        <f>IF($X493="","",O493*N493)</f>
        <v/>
      </c>
      <c r="Q493">
        <f>IF($X493="","",Settings!$C$6)</f>
        <v/>
      </c>
      <c r="R493" s="7">
        <f>IF($X493="","",SUMIFS('Per Line'!$U$2:$U$1501,'Per Line'!$AJ$2:$AJ$1501,$A493&amp;"|"&amp;$C493,'Per Line'!$AM$2:$AM$1501,1,'Per Line'!$AN$2:$AN$1501,0))</f>
        <v/>
      </c>
      <c r="S493" s="7">
        <f>IF($X493="","",R493*Q493)</f>
        <v/>
      </c>
      <c r="T493" s="7">
        <f>IF($X493="","",S493+P493)</f>
        <v/>
      </c>
      <c r="U493" s="7">
        <f>IF($X493="","",V493-T493)</f>
        <v/>
      </c>
      <c r="V493" s="7">
        <f>IF($X493="","",O493+R493+M493)</f>
        <v/>
      </c>
      <c r="W493" s="7">
        <f>IF($X493="","",V493-T493-K493)</f>
        <v/>
      </c>
      <c r="X493" s="13">
        <f>IF(ROWS($X$2:$X493)&lt;=MAX('Per Line'!$AL$2:$AL$1501),MATCH(ROWS($X$2:$X493),'Per Line'!$AL$2:$AL$1501,0),"")</f>
        <v/>
      </c>
    </row>
    <row r="494">
      <c r="A494">
        <f>IF($X494="","",INDEX('Per Line'!$C$2:$C$1501,$X494)&amp;"")</f>
        <v/>
      </c>
      <c r="B494" s="12" t="n"/>
      <c r="C494">
        <f>IF($X494="","",INDEX('Per Line'!$D$2:$D$1501,$X494)&amp;"")</f>
        <v/>
      </c>
      <c r="D494">
        <f>IF($X494="","",INDEX('Per Line'!$A$2:$A$1501,$X494))</f>
        <v/>
      </c>
      <c r="E494">
        <f>IF($X494="","",INDEX('Per Line'!$G$2:$G$1501,$X494)&amp;"")</f>
        <v/>
      </c>
      <c r="F494" s="11">
        <f>IF($X494="","",INDEX('Per Line'!$F$2:$F$1501,$X494))</f>
        <v/>
      </c>
      <c r="G494">
        <f>IF($X494="","",INDEX('Per Line'!$I$2:$I$1501,$X494)&amp;"")</f>
        <v/>
      </c>
      <c r="H494">
        <f>IF($X494="","",INDEX('Per Line'!$J$2:$J$1501,$X494)&amp;"")</f>
        <v/>
      </c>
      <c r="I494">
        <f>IF($X494="","",INDEX('Per Line'!$K$2:$K$1501,$X494)&amp;"")</f>
        <v/>
      </c>
      <c r="J494">
        <f>IF($X494="","",INDEX('Per Line'!$M$2:$M$1501,$X494))</f>
        <v/>
      </c>
      <c r="K494" s="7">
        <f>IF($X494="","",J494*V494/100)</f>
        <v/>
      </c>
      <c r="L494">
        <f>IF($X494="","",INDEX('Per Line'!$Y$2:$Y$1501,$X494)&amp;"")</f>
        <v/>
      </c>
      <c r="M494" s="7">
        <f>IF($X494="","",SUMIFS('Per Line'!$U$2:$U$1501,'Per Line'!$AJ$2:$AJ$1501,$A494&amp;"|"&amp;$C494,'Per Line'!$AN$2:$AN$1501,1))</f>
        <v/>
      </c>
      <c r="N494">
        <f>IF($X494="","",Settings!$C$7)</f>
        <v/>
      </c>
      <c r="O494" s="7">
        <f>IF($X494="","",SUMIFS('Per Line'!$U$2:$U$1501,'Per Line'!$AJ$2:$AJ$1501,$A494&amp;"|"&amp;$C494,'Per Line'!$AM$2:$AM$1501,0,'Per Line'!$AN$2:$AN$1501,0))</f>
        <v/>
      </c>
      <c r="P494" s="7">
        <f>IF($X494="","",O494*N494)</f>
        <v/>
      </c>
      <c r="Q494">
        <f>IF($X494="","",Settings!$C$6)</f>
        <v/>
      </c>
      <c r="R494" s="7">
        <f>IF($X494="","",SUMIFS('Per Line'!$U$2:$U$1501,'Per Line'!$AJ$2:$AJ$1501,$A494&amp;"|"&amp;$C494,'Per Line'!$AM$2:$AM$1501,1,'Per Line'!$AN$2:$AN$1501,0))</f>
        <v/>
      </c>
      <c r="S494" s="7">
        <f>IF($X494="","",R494*Q494)</f>
        <v/>
      </c>
      <c r="T494" s="7">
        <f>IF($X494="","",S494+P494)</f>
        <v/>
      </c>
      <c r="U494" s="7">
        <f>IF($X494="","",V494-T494)</f>
        <v/>
      </c>
      <c r="V494" s="7">
        <f>IF($X494="","",O494+R494+M494)</f>
        <v/>
      </c>
      <c r="W494" s="7">
        <f>IF($X494="","",V494-T494-K494)</f>
        <v/>
      </c>
      <c r="X494" s="13">
        <f>IF(ROWS($X$2:$X494)&lt;=MAX('Per Line'!$AL$2:$AL$1501),MATCH(ROWS($X$2:$X494),'Per Line'!$AL$2:$AL$1501,0),"")</f>
        <v/>
      </c>
    </row>
    <row r="495">
      <c r="A495">
        <f>IF($X495="","",INDEX('Per Line'!$C$2:$C$1501,$X495)&amp;"")</f>
        <v/>
      </c>
      <c r="B495" s="12" t="n"/>
      <c r="C495">
        <f>IF($X495="","",INDEX('Per Line'!$D$2:$D$1501,$X495)&amp;"")</f>
        <v/>
      </c>
      <c r="D495">
        <f>IF($X495="","",INDEX('Per Line'!$A$2:$A$1501,$X495))</f>
        <v/>
      </c>
      <c r="E495">
        <f>IF($X495="","",INDEX('Per Line'!$G$2:$G$1501,$X495)&amp;"")</f>
        <v/>
      </c>
      <c r="F495" s="11">
        <f>IF($X495="","",INDEX('Per Line'!$F$2:$F$1501,$X495))</f>
        <v/>
      </c>
      <c r="G495">
        <f>IF($X495="","",INDEX('Per Line'!$I$2:$I$1501,$X495)&amp;"")</f>
        <v/>
      </c>
      <c r="H495">
        <f>IF($X495="","",INDEX('Per Line'!$J$2:$J$1501,$X495)&amp;"")</f>
        <v/>
      </c>
      <c r="I495">
        <f>IF($X495="","",INDEX('Per Line'!$K$2:$K$1501,$X495)&amp;"")</f>
        <v/>
      </c>
      <c r="J495">
        <f>IF($X495="","",INDEX('Per Line'!$M$2:$M$1501,$X495))</f>
        <v/>
      </c>
      <c r="K495" s="7">
        <f>IF($X495="","",J495*V495/100)</f>
        <v/>
      </c>
      <c r="L495">
        <f>IF($X495="","",INDEX('Per Line'!$Y$2:$Y$1501,$X495)&amp;"")</f>
        <v/>
      </c>
      <c r="M495" s="7">
        <f>IF($X495="","",SUMIFS('Per Line'!$U$2:$U$1501,'Per Line'!$AJ$2:$AJ$1501,$A495&amp;"|"&amp;$C495,'Per Line'!$AN$2:$AN$1501,1))</f>
        <v/>
      </c>
      <c r="N495">
        <f>IF($X495="","",Settings!$C$7)</f>
        <v/>
      </c>
      <c r="O495" s="7">
        <f>IF($X495="","",SUMIFS('Per Line'!$U$2:$U$1501,'Per Line'!$AJ$2:$AJ$1501,$A495&amp;"|"&amp;$C495,'Per Line'!$AM$2:$AM$1501,0,'Per Line'!$AN$2:$AN$1501,0))</f>
        <v/>
      </c>
      <c r="P495" s="7">
        <f>IF($X495="","",O495*N495)</f>
        <v/>
      </c>
      <c r="Q495">
        <f>IF($X495="","",Settings!$C$6)</f>
        <v/>
      </c>
      <c r="R495" s="7">
        <f>IF($X495="","",SUMIFS('Per Line'!$U$2:$U$1501,'Per Line'!$AJ$2:$AJ$1501,$A495&amp;"|"&amp;$C495,'Per Line'!$AM$2:$AM$1501,1,'Per Line'!$AN$2:$AN$1501,0))</f>
        <v/>
      </c>
      <c r="S495" s="7">
        <f>IF($X495="","",R495*Q495)</f>
        <v/>
      </c>
      <c r="T495" s="7">
        <f>IF($X495="","",S495+P495)</f>
        <v/>
      </c>
      <c r="U495" s="7">
        <f>IF($X495="","",V495-T495)</f>
        <v/>
      </c>
      <c r="V495" s="7">
        <f>IF($X495="","",O495+R495+M495)</f>
        <v/>
      </c>
      <c r="W495" s="7">
        <f>IF($X495="","",V495-T495-K495)</f>
        <v/>
      </c>
      <c r="X495" s="13">
        <f>IF(ROWS($X$2:$X495)&lt;=MAX('Per Line'!$AL$2:$AL$1501),MATCH(ROWS($X$2:$X495),'Per Line'!$AL$2:$AL$1501,0),"")</f>
        <v/>
      </c>
    </row>
    <row r="496">
      <c r="A496">
        <f>IF($X496="","",INDEX('Per Line'!$C$2:$C$1501,$X496)&amp;"")</f>
        <v/>
      </c>
      <c r="B496" s="12" t="n"/>
      <c r="C496">
        <f>IF($X496="","",INDEX('Per Line'!$D$2:$D$1501,$X496)&amp;"")</f>
        <v/>
      </c>
      <c r="D496">
        <f>IF($X496="","",INDEX('Per Line'!$A$2:$A$1501,$X496))</f>
        <v/>
      </c>
      <c r="E496">
        <f>IF($X496="","",INDEX('Per Line'!$G$2:$G$1501,$X496)&amp;"")</f>
        <v/>
      </c>
      <c r="F496" s="11">
        <f>IF($X496="","",INDEX('Per Line'!$F$2:$F$1501,$X496))</f>
        <v/>
      </c>
      <c r="G496">
        <f>IF($X496="","",INDEX('Per Line'!$I$2:$I$1501,$X496)&amp;"")</f>
        <v/>
      </c>
      <c r="H496">
        <f>IF($X496="","",INDEX('Per Line'!$J$2:$J$1501,$X496)&amp;"")</f>
        <v/>
      </c>
      <c r="I496">
        <f>IF($X496="","",INDEX('Per Line'!$K$2:$K$1501,$X496)&amp;"")</f>
        <v/>
      </c>
      <c r="J496">
        <f>IF($X496="","",INDEX('Per Line'!$M$2:$M$1501,$X496))</f>
        <v/>
      </c>
      <c r="K496" s="7">
        <f>IF($X496="","",J496*V496/100)</f>
        <v/>
      </c>
      <c r="L496">
        <f>IF($X496="","",INDEX('Per Line'!$Y$2:$Y$1501,$X496)&amp;"")</f>
        <v/>
      </c>
      <c r="M496" s="7">
        <f>IF($X496="","",SUMIFS('Per Line'!$U$2:$U$1501,'Per Line'!$AJ$2:$AJ$1501,$A496&amp;"|"&amp;$C496,'Per Line'!$AN$2:$AN$1501,1))</f>
        <v/>
      </c>
      <c r="N496">
        <f>IF($X496="","",Settings!$C$7)</f>
        <v/>
      </c>
      <c r="O496" s="7">
        <f>IF($X496="","",SUMIFS('Per Line'!$U$2:$U$1501,'Per Line'!$AJ$2:$AJ$1501,$A496&amp;"|"&amp;$C496,'Per Line'!$AM$2:$AM$1501,0,'Per Line'!$AN$2:$AN$1501,0))</f>
        <v/>
      </c>
      <c r="P496" s="7">
        <f>IF($X496="","",O496*N496)</f>
        <v/>
      </c>
      <c r="Q496">
        <f>IF($X496="","",Settings!$C$6)</f>
        <v/>
      </c>
      <c r="R496" s="7">
        <f>IF($X496="","",SUMIFS('Per Line'!$U$2:$U$1501,'Per Line'!$AJ$2:$AJ$1501,$A496&amp;"|"&amp;$C496,'Per Line'!$AM$2:$AM$1501,1,'Per Line'!$AN$2:$AN$1501,0))</f>
        <v/>
      </c>
      <c r="S496" s="7">
        <f>IF($X496="","",R496*Q496)</f>
        <v/>
      </c>
      <c r="T496" s="7">
        <f>IF($X496="","",S496+P496)</f>
        <v/>
      </c>
      <c r="U496" s="7">
        <f>IF($X496="","",V496-T496)</f>
        <v/>
      </c>
      <c r="V496" s="7">
        <f>IF($X496="","",O496+R496+M496)</f>
        <v/>
      </c>
      <c r="W496" s="7">
        <f>IF($X496="","",V496-T496-K496)</f>
        <v/>
      </c>
      <c r="X496" s="13">
        <f>IF(ROWS($X$2:$X496)&lt;=MAX('Per Line'!$AL$2:$AL$1501),MATCH(ROWS($X$2:$X496),'Per Line'!$AL$2:$AL$1501,0),"")</f>
        <v/>
      </c>
    </row>
    <row r="497">
      <c r="A497">
        <f>IF($X497="","",INDEX('Per Line'!$C$2:$C$1501,$X497)&amp;"")</f>
        <v/>
      </c>
      <c r="B497" s="12" t="n"/>
      <c r="C497">
        <f>IF($X497="","",INDEX('Per Line'!$D$2:$D$1501,$X497)&amp;"")</f>
        <v/>
      </c>
      <c r="D497">
        <f>IF($X497="","",INDEX('Per Line'!$A$2:$A$1501,$X497))</f>
        <v/>
      </c>
      <c r="E497">
        <f>IF($X497="","",INDEX('Per Line'!$G$2:$G$1501,$X497)&amp;"")</f>
        <v/>
      </c>
      <c r="F497" s="11">
        <f>IF($X497="","",INDEX('Per Line'!$F$2:$F$1501,$X497))</f>
        <v/>
      </c>
      <c r="G497">
        <f>IF($X497="","",INDEX('Per Line'!$I$2:$I$1501,$X497)&amp;"")</f>
        <v/>
      </c>
      <c r="H497">
        <f>IF($X497="","",INDEX('Per Line'!$J$2:$J$1501,$X497)&amp;"")</f>
        <v/>
      </c>
      <c r="I497">
        <f>IF($X497="","",INDEX('Per Line'!$K$2:$K$1501,$X497)&amp;"")</f>
        <v/>
      </c>
      <c r="J497">
        <f>IF($X497="","",INDEX('Per Line'!$M$2:$M$1501,$X497))</f>
        <v/>
      </c>
      <c r="K497" s="7">
        <f>IF($X497="","",J497*V497/100)</f>
        <v/>
      </c>
      <c r="L497">
        <f>IF($X497="","",INDEX('Per Line'!$Y$2:$Y$1501,$X497)&amp;"")</f>
        <v/>
      </c>
      <c r="M497" s="7">
        <f>IF($X497="","",SUMIFS('Per Line'!$U$2:$U$1501,'Per Line'!$AJ$2:$AJ$1501,$A497&amp;"|"&amp;$C497,'Per Line'!$AN$2:$AN$1501,1))</f>
        <v/>
      </c>
      <c r="N497">
        <f>IF($X497="","",Settings!$C$7)</f>
        <v/>
      </c>
      <c r="O497" s="7">
        <f>IF($X497="","",SUMIFS('Per Line'!$U$2:$U$1501,'Per Line'!$AJ$2:$AJ$1501,$A497&amp;"|"&amp;$C497,'Per Line'!$AM$2:$AM$1501,0,'Per Line'!$AN$2:$AN$1501,0))</f>
        <v/>
      </c>
      <c r="P497" s="7">
        <f>IF($X497="","",O497*N497)</f>
        <v/>
      </c>
      <c r="Q497">
        <f>IF($X497="","",Settings!$C$6)</f>
        <v/>
      </c>
      <c r="R497" s="7">
        <f>IF($X497="","",SUMIFS('Per Line'!$U$2:$U$1501,'Per Line'!$AJ$2:$AJ$1501,$A497&amp;"|"&amp;$C497,'Per Line'!$AM$2:$AM$1501,1,'Per Line'!$AN$2:$AN$1501,0))</f>
        <v/>
      </c>
      <c r="S497" s="7">
        <f>IF($X497="","",R497*Q497)</f>
        <v/>
      </c>
      <c r="T497" s="7">
        <f>IF($X497="","",S497+P497)</f>
        <v/>
      </c>
      <c r="U497" s="7">
        <f>IF($X497="","",V497-T497)</f>
        <v/>
      </c>
      <c r="V497" s="7">
        <f>IF($X497="","",O497+R497+M497)</f>
        <v/>
      </c>
      <c r="W497" s="7">
        <f>IF($X497="","",V497-T497-K497)</f>
        <v/>
      </c>
      <c r="X497" s="13">
        <f>IF(ROWS($X$2:$X497)&lt;=MAX('Per Line'!$AL$2:$AL$1501),MATCH(ROWS($X$2:$X497),'Per Line'!$AL$2:$AL$1501,0),"")</f>
        <v/>
      </c>
    </row>
    <row r="498">
      <c r="A498">
        <f>IF($X498="","",INDEX('Per Line'!$C$2:$C$1501,$X498)&amp;"")</f>
        <v/>
      </c>
      <c r="B498" s="12" t="n"/>
      <c r="C498">
        <f>IF($X498="","",INDEX('Per Line'!$D$2:$D$1501,$X498)&amp;"")</f>
        <v/>
      </c>
      <c r="D498">
        <f>IF($X498="","",INDEX('Per Line'!$A$2:$A$1501,$X498))</f>
        <v/>
      </c>
      <c r="E498">
        <f>IF($X498="","",INDEX('Per Line'!$G$2:$G$1501,$X498)&amp;"")</f>
        <v/>
      </c>
      <c r="F498" s="11">
        <f>IF($X498="","",INDEX('Per Line'!$F$2:$F$1501,$X498))</f>
        <v/>
      </c>
      <c r="G498">
        <f>IF($X498="","",INDEX('Per Line'!$I$2:$I$1501,$X498)&amp;"")</f>
        <v/>
      </c>
      <c r="H498">
        <f>IF($X498="","",INDEX('Per Line'!$J$2:$J$1501,$X498)&amp;"")</f>
        <v/>
      </c>
      <c r="I498">
        <f>IF($X498="","",INDEX('Per Line'!$K$2:$K$1501,$X498)&amp;"")</f>
        <v/>
      </c>
      <c r="J498">
        <f>IF($X498="","",INDEX('Per Line'!$M$2:$M$1501,$X498))</f>
        <v/>
      </c>
      <c r="K498" s="7">
        <f>IF($X498="","",J498*V498/100)</f>
        <v/>
      </c>
      <c r="L498">
        <f>IF($X498="","",INDEX('Per Line'!$Y$2:$Y$1501,$X498)&amp;"")</f>
        <v/>
      </c>
      <c r="M498" s="7">
        <f>IF($X498="","",SUMIFS('Per Line'!$U$2:$U$1501,'Per Line'!$AJ$2:$AJ$1501,$A498&amp;"|"&amp;$C498,'Per Line'!$AN$2:$AN$1501,1))</f>
        <v/>
      </c>
      <c r="N498">
        <f>IF($X498="","",Settings!$C$7)</f>
        <v/>
      </c>
      <c r="O498" s="7">
        <f>IF($X498="","",SUMIFS('Per Line'!$U$2:$U$1501,'Per Line'!$AJ$2:$AJ$1501,$A498&amp;"|"&amp;$C498,'Per Line'!$AM$2:$AM$1501,0,'Per Line'!$AN$2:$AN$1501,0))</f>
        <v/>
      </c>
      <c r="P498" s="7">
        <f>IF($X498="","",O498*N498)</f>
        <v/>
      </c>
      <c r="Q498">
        <f>IF($X498="","",Settings!$C$6)</f>
        <v/>
      </c>
      <c r="R498" s="7">
        <f>IF($X498="","",SUMIFS('Per Line'!$U$2:$U$1501,'Per Line'!$AJ$2:$AJ$1501,$A498&amp;"|"&amp;$C498,'Per Line'!$AM$2:$AM$1501,1,'Per Line'!$AN$2:$AN$1501,0))</f>
        <v/>
      </c>
      <c r="S498" s="7">
        <f>IF($X498="","",R498*Q498)</f>
        <v/>
      </c>
      <c r="T498" s="7">
        <f>IF($X498="","",S498+P498)</f>
        <v/>
      </c>
      <c r="U498" s="7">
        <f>IF($X498="","",V498-T498)</f>
        <v/>
      </c>
      <c r="V498" s="7">
        <f>IF($X498="","",O498+R498+M498)</f>
        <v/>
      </c>
      <c r="W498" s="7">
        <f>IF($X498="","",V498-T498-K498)</f>
        <v/>
      </c>
      <c r="X498" s="13">
        <f>IF(ROWS($X$2:$X498)&lt;=MAX('Per Line'!$AL$2:$AL$1501),MATCH(ROWS($X$2:$X498),'Per Line'!$AL$2:$AL$1501,0),"")</f>
        <v/>
      </c>
    </row>
    <row r="499">
      <c r="A499">
        <f>IF($X499="","",INDEX('Per Line'!$C$2:$C$1501,$X499)&amp;"")</f>
        <v/>
      </c>
      <c r="B499" s="12" t="n"/>
      <c r="C499">
        <f>IF($X499="","",INDEX('Per Line'!$D$2:$D$1501,$X499)&amp;"")</f>
        <v/>
      </c>
      <c r="D499">
        <f>IF($X499="","",INDEX('Per Line'!$A$2:$A$1501,$X499))</f>
        <v/>
      </c>
      <c r="E499">
        <f>IF($X499="","",INDEX('Per Line'!$G$2:$G$1501,$X499)&amp;"")</f>
        <v/>
      </c>
      <c r="F499" s="11">
        <f>IF($X499="","",INDEX('Per Line'!$F$2:$F$1501,$X499))</f>
        <v/>
      </c>
      <c r="G499">
        <f>IF($X499="","",INDEX('Per Line'!$I$2:$I$1501,$X499)&amp;"")</f>
        <v/>
      </c>
      <c r="H499">
        <f>IF($X499="","",INDEX('Per Line'!$J$2:$J$1501,$X499)&amp;"")</f>
        <v/>
      </c>
      <c r="I499">
        <f>IF($X499="","",INDEX('Per Line'!$K$2:$K$1501,$X499)&amp;"")</f>
        <v/>
      </c>
      <c r="J499">
        <f>IF($X499="","",INDEX('Per Line'!$M$2:$M$1501,$X499))</f>
        <v/>
      </c>
      <c r="K499" s="7">
        <f>IF($X499="","",J499*V499/100)</f>
        <v/>
      </c>
      <c r="L499">
        <f>IF($X499="","",INDEX('Per Line'!$Y$2:$Y$1501,$X499)&amp;"")</f>
        <v/>
      </c>
      <c r="M499" s="7">
        <f>IF($X499="","",SUMIFS('Per Line'!$U$2:$U$1501,'Per Line'!$AJ$2:$AJ$1501,$A499&amp;"|"&amp;$C499,'Per Line'!$AN$2:$AN$1501,1))</f>
        <v/>
      </c>
      <c r="N499">
        <f>IF($X499="","",Settings!$C$7)</f>
        <v/>
      </c>
      <c r="O499" s="7">
        <f>IF($X499="","",SUMIFS('Per Line'!$U$2:$U$1501,'Per Line'!$AJ$2:$AJ$1501,$A499&amp;"|"&amp;$C499,'Per Line'!$AM$2:$AM$1501,0,'Per Line'!$AN$2:$AN$1501,0))</f>
        <v/>
      </c>
      <c r="P499" s="7">
        <f>IF($X499="","",O499*N499)</f>
        <v/>
      </c>
      <c r="Q499">
        <f>IF($X499="","",Settings!$C$6)</f>
        <v/>
      </c>
      <c r="R499" s="7">
        <f>IF($X499="","",SUMIFS('Per Line'!$U$2:$U$1501,'Per Line'!$AJ$2:$AJ$1501,$A499&amp;"|"&amp;$C499,'Per Line'!$AM$2:$AM$1501,1,'Per Line'!$AN$2:$AN$1501,0))</f>
        <v/>
      </c>
      <c r="S499" s="7">
        <f>IF($X499="","",R499*Q499)</f>
        <v/>
      </c>
      <c r="T499" s="7">
        <f>IF($X499="","",S499+P499)</f>
        <v/>
      </c>
      <c r="U499" s="7">
        <f>IF($X499="","",V499-T499)</f>
        <v/>
      </c>
      <c r="V499" s="7">
        <f>IF($X499="","",O499+R499+M499)</f>
        <v/>
      </c>
      <c r="W499" s="7">
        <f>IF($X499="","",V499-T499-K499)</f>
        <v/>
      </c>
      <c r="X499" s="13">
        <f>IF(ROWS($X$2:$X499)&lt;=MAX('Per Line'!$AL$2:$AL$1501),MATCH(ROWS($X$2:$X499),'Per Line'!$AL$2:$AL$1501,0),"")</f>
        <v/>
      </c>
    </row>
    <row r="500">
      <c r="A500">
        <f>IF($X500="","",INDEX('Per Line'!$C$2:$C$1501,$X500)&amp;"")</f>
        <v/>
      </c>
      <c r="B500" s="12" t="n"/>
      <c r="C500">
        <f>IF($X500="","",INDEX('Per Line'!$D$2:$D$1501,$X500)&amp;"")</f>
        <v/>
      </c>
      <c r="D500">
        <f>IF($X500="","",INDEX('Per Line'!$A$2:$A$1501,$X500))</f>
        <v/>
      </c>
      <c r="E500">
        <f>IF($X500="","",INDEX('Per Line'!$G$2:$G$1501,$X500)&amp;"")</f>
        <v/>
      </c>
      <c r="F500" s="11">
        <f>IF($X500="","",INDEX('Per Line'!$F$2:$F$1501,$X500))</f>
        <v/>
      </c>
      <c r="G500">
        <f>IF($X500="","",INDEX('Per Line'!$I$2:$I$1501,$X500)&amp;"")</f>
        <v/>
      </c>
      <c r="H500">
        <f>IF($X500="","",INDEX('Per Line'!$J$2:$J$1501,$X500)&amp;"")</f>
        <v/>
      </c>
      <c r="I500">
        <f>IF($X500="","",INDEX('Per Line'!$K$2:$K$1501,$X500)&amp;"")</f>
        <v/>
      </c>
      <c r="J500">
        <f>IF($X500="","",INDEX('Per Line'!$M$2:$M$1501,$X500))</f>
        <v/>
      </c>
      <c r="K500" s="7">
        <f>IF($X500="","",J500*V500/100)</f>
        <v/>
      </c>
      <c r="L500">
        <f>IF($X500="","",INDEX('Per Line'!$Y$2:$Y$1501,$X500)&amp;"")</f>
        <v/>
      </c>
      <c r="M500" s="7">
        <f>IF($X500="","",SUMIFS('Per Line'!$U$2:$U$1501,'Per Line'!$AJ$2:$AJ$1501,$A500&amp;"|"&amp;$C500,'Per Line'!$AN$2:$AN$1501,1))</f>
        <v/>
      </c>
      <c r="N500">
        <f>IF($X500="","",Settings!$C$7)</f>
        <v/>
      </c>
      <c r="O500" s="7">
        <f>IF($X500="","",SUMIFS('Per Line'!$U$2:$U$1501,'Per Line'!$AJ$2:$AJ$1501,$A500&amp;"|"&amp;$C500,'Per Line'!$AM$2:$AM$1501,0,'Per Line'!$AN$2:$AN$1501,0))</f>
        <v/>
      </c>
      <c r="P500" s="7">
        <f>IF($X500="","",O500*N500)</f>
        <v/>
      </c>
      <c r="Q500">
        <f>IF($X500="","",Settings!$C$6)</f>
        <v/>
      </c>
      <c r="R500" s="7">
        <f>IF($X500="","",SUMIFS('Per Line'!$U$2:$U$1501,'Per Line'!$AJ$2:$AJ$1501,$A500&amp;"|"&amp;$C500,'Per Line'!$AM$2:$AM$1501,1,'Per Line'!$AN$2:$AN$1501,0))</f>
        <v/>
      </c>
      <c r="S500" s="7">
        <f>IF($X500="","",R500*Q500)</f>
        <v/>
      </c>
      <c r="T500" s="7">
        <f>IF($X500="","",S500+P500)</f>
        <v/>
      </c>
      <c r="U500" s="7">
        <f>IF($X500="","",V500-T500)</f>
        <v/>
      </c>
      <c r="V500" s="7">
        <f>IF($X500="","",O500+R500+M500)</f>
        <v/>
      </c>
      <c r="W500" s="7">
        <f>IF($X500="","",V500-T500-K500)</f>
        <v/>
      </c>
      <c r="X500" s="13">
        <f>IF(ROWS($X$2:$X500)&lt;=MAX('Per Line'!$AL$2:$AL$1501),MATCH(ROWS($X$2:$X500),'Per Line'!$AL$2:$AL$1501,0),"")</f>
        <v/>
      </c>
    </row>
    <row r="501">
      <c r="A501">
        <f>IF($X501="","",INDEX('Per Line'!$C$2:$C$1501,$X501)&amp;"")</f>
        <v/>
      </c>
      <c r="B501" s="12" t="n"/>
      <c r="C501">
        <f>IF($X501="","",INDEX('Per Line'!$D$2:$D$1501,$X501)&amp;"")</f>
        <v/>
      </c>
      <c r="D501">
        <f>IF($X501="","",INDEX('Per Line'!$A$2:$A$1501,$X501))</f>
        <v/>
      </c>
      <c r="E501">
        <f>IF($X501="","",INDEX('Per Line'!$G$2:$G$1501,$X501)&amp;"")</f>
        <v/>
      </c>
      <c r="F501" s="11">
        <f>IF($X501="","",INDEX('Per Line'!$F$2:$F$1501,$X501))</f>
        <v/>
      </c>
      <c r="G501">
        <f>IF($X501="","",INDEX('Per Line'!$I$2:$I$1501,$X501)&amp;"")</f>
        <v/>
      </c>
      <c r="H501">
        <f>IF($X501="","",INDEX('Per Line'!$J$2:$J$1501,$X501)&amp;"")</f>
        <v/>
      </c>
      <c r="I501">
        <f>IF($X501="","",INDEX('Per Line'!$K$2:$K$1501,$X501)&amp;"")</f>
        <v/>
      </c>
      <c r="J501">
        <f>IF($X501="","",INDEX('Per Line'!$M$2:$M$1501,$X501))</f>
        <v/>
      </c>
      <c r="K501" s="7">
        <f>IF($X501="","",J501*V501/100)</f>
        <v/>
      </c>
      <c r="L501">
        <f>IF($X501="","",INDEX('Per Line'!$Y$2:$Y$1501,$X501)&amp;"")</f>
        <v/>
      </c>
      <c r="M501" s="7">
        <f>IF($X501="","",SUMIFS('Per Line'!$U$2:$U$1501,'Per Line'!$AJ$2:$AJ$1501,$A501&amp;"|"&amp;$C501,'Per Line'!$AN$2:$AN$1501,1))</f>
        <v/>
      </c>
      <c r="N501">
        <f>IF($X501="","",Settings!$C$7)</f>
        <v/>
      </c>
      <c r="O501" s="7">
        <f>IF($X501="","",SUMIFS('Per Line'!$U$2:$U$1501,'Per Line'!$AJ$2:$AJ$1501,$A501&amp;"|"&amp;$C501,'Per Line'!$AM$2:$AM$1501,0,'Per Line'!$AN$2:$AN$1501,0))</f>
        <v/>
      </c>
      <c r="P501" s="7">
        <f>IF($X501="","",O501*N501)</f>
        <v/>
      </c>
      <c r="Q501">
        <f>IF($X501="","",Settings!$C$6)</f>
        <v/>
      </c>
      <c r="R501" s="7">
        <f>IF($X501="","",SUMIFS('Per Line'!$U$2:$U$1501,'Per Line'!$AJ$2:$AJ$1501,$A501&amp;"|"&amp;$C501,'Per Line'!$AM$2:$AM$1501,1,'Per Line'!$AN$2:$AN$1501,0))</f>
        <v/>
      </c>
      <c r="S501" s="7">
        <f>IF($X501="","",R501*Q501)</f>
        <v/>
      </c>
      <c r="T501" s="7">
        <f>IF($X501="","",S501+P501)</f>
        <v/>
      </c>
      <c r="U501" s="7">
        <f>IF($X501="","",V501-T501)</f>
        <v/>
      </c>
      <c r="V501" s="7">
        <f>IF($X501="","",O501+R501+M501)</f>
        <v/>
      </c>
      <c r="W501" s="7">
        <f>IF($X501="","",V501-T501-K501)</f>
        <v/>
      </c>
      <c r="X501" s="13">
        <f>IF(ROWS($X$2:$X501)&lt;=MAX('Per Line'!$AL$2:$AL$1501),MATCH(ROWS($X$2:$X501),'Per Line'!$AL$2:$AL$1501,0),"")</f>
        <v/>
      </c>
    </row>
  </sheetData>
  <autoFilter ref="A1:X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2026-10-12T10:41:44Z</dcterms:created>
  <dcterms:modified xmlns:dcterms="http://purl.org/dc/terms/" xmlns:xsi="http://www.w3.org/2001/XMLSchema-instance" xsi:type="dcterms:W3CDTF">2026-10-12T10:41:44Z</dcterms:modified>
</cp:coreProperties>
</file>