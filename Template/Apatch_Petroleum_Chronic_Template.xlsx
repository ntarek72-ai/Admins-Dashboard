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Per Line" sheetId="3" state="visible" r:id="rId3"/>
    <sheet xmlns:r="http://schemas.openxmlformats.org/officeDocument/2006/relationships" name="Per Invoice" sheetId="4" state="visible" r:id="rId4"/>
  </sheets>
  <definedNames>
    <definedName name="_xlnm._FilterDatabase" localSheetId="2" hidden="1">'Per Line'!$A$1:$AB$301</definedName>
    <definedName name="_xlnm._FilterDatabase" localSheetId="3" hidden="1">'Per Invoice'!$A$1:$W$101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dd/mm/yyyy hh:mm"/>
    <numFmt numFmtId="165" formatCode="#,##0.00####"/>
    <numFmt numFmtId="166" formatCode="0.0%"/>
  </numFmts>
  <fonts count="6">
    <font>
      <name val="Calibri"/>
      <family val="2"/>
      <color theme="1"/>
      <sz val="11"/>
      <scheme val="minor"/>
    </font>
    <font>
      <b val="1"/>
    </font>
    <font>
      <color rgb="FF0000FF"/>
    </font>
    <font>
      <color rgb="FF808080"/>
    </font>
    <font>
      <b val="1"/>
      <sz val="14"/>
    </font>
    <font>
      <b val="1"/>
      <sz val="11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166" fontId="0" fillId="5" borderId="0" pivotButton="0" quotePrefix="0" xfId="0"/>
    <xf numFmtId="0" fontId="1" fillId="0" borderId="0" pivotButton="0" quotePrefix="0" xfId="0"/>
    <xf numFmtId="165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164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50" customWidth="1" min="1" max="1"/>
  </cols>
  <sheetData>
    <row r="1">
      <c r="A1" s="1" t="inlineStr">
        <is>
          <t>Claims Template - APATCH PETROLEUM (Chronic)</t>
        </is>
      </c>
    </row>
    <row r="3">
      <c r="A3" s="2" t="inlineStr">
        <is>
          <t>Monthly steps</t>
        </is>
      </c>
    </row>
    <row r="4">
      <c r="A4" s="3" t="inlineStr">
        <is>
          <t>1. Open the 'Per Line' tab. Delete the old data in the BLUE columns only (row 2 down). Never delete the green or grey columns.</t>
        </is>
      </c>
    </row>
    <row r="5">
      <c r="A5" s="3" t="inlineStr">
        <is>
          <t>2. Paste the new month's data as VALUES starting at A2, into the blue columns: A-I, K-S (same order as the system export).</t>
        </is>
      </c>
    </row>
    <row r="6">
      <c r="A6" s="3" t="inlineStr">
        <is>
          <t>3. Green columns (J, T, U, V, W) and the grey helper columns (X-AB) calculate automatically - do not paste over them.</t>
        </is>
      </c>
    </row>
    <row r="7">
      <c r="A7" s="3" t="inlineStr">
        <is>
          <t>4. 'Per Invoice' fills itself from 'Per Line' (one row per Order #, split into IMP / Local). No pivot table, no refresh.</t>
        </is>
      </c>
    </row>
    <row r="8">
      <c r="A8" s="3" t="inlineStr">
        <is>
          <t>5. The ONLY manual column in 'Per Invoice' is column A 'Invoice' (blue): type it yourself. Everything else is formula.</t>
        </is>
      </c>
    </row>
    <row r="9">
      <c r="A9" s="3" t="inlineStr">
        <is>
          <t>6. Open 'Settings' and check STATUS says OK (Per Line totals = Per Invoice totals).</t>
        </is>
      </c>
    </row>
    <row r="11">
      <c r="A11" s="2" t="inlineStr">
        <is>
          <t>Colour legend</t>
        </is>
      </c>
    </row>
    <row r="12">
      <c r="A12" s="3" t="inlineStr">
        <is>
          <t>Blue header = typed/pasted by you (raw data, and 'Invoice' in Per Invoice).   Green header = formula (do not paste over).   Grey header = helper formula (do not touch).   Yellow cell (Settings) = editable rate.</t>
        </is>
      </c>
    </row>
    <row r="14">
      <c r="A14" s="2" t="inlineStr">
        <is>
          <t>Calculation rules (taken from the July 2026 sheet)</t>
        </is>
      </c>
    </row>
    <row r="15">
      <c r="A15" s="3" t="inlineStr">
        <is>
          <t>Co val = Order Co Payment x Total / 100.   Discount = Total x Rebates / 100.   Subtotal = Total - Discount.   Net = Subtotal - Co val.   (Total = 'Product Total')</t>
        </is>
      </c>
    </row>
    <row r="16">
      <c r="A16" s="3" t="inlineStr">
        <is>
          <t>Rebates per line = Local rate (15%) if Local is TRUE, otherwise Imported rate (5%). Lines with 'Special Rebates?' = Yes get 0%. Rates are set in 'Settings'.</t>
        </is>
      </c>
    </row>
    <row r="18">
      <c r="A18" s="3" t="inlineStr">
        <is>
          <t>Per Invoice: IMP = sum of Total of non-local lines; Local = sum of Total of local lines; Special = sum of Total of special-rebate lines (no discount). Grand Total = Special + IMP + Local. Discount = IMP val + Local val. Subtotal = Grand Total - Discount. Co val = Co Payment x Grand Total / 100. Net = Subtotal - Co val.</t>
        </is>
      </c>
    </row>
    <row r="20">
      <c r="A20" s="3" t="inlineStr">
        <is>
          <t>Capacity: up to 300 lines and 100 invoices per month. A line with an empty Order # is ignored.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3"/>
  <sheetViews>
    <sheetView workbookViewId="0">
      <selection activeCell="A1" sqref="A1"/>
    </sheetView>
  </sheetViews>
  <sheetFormatPr baseColWidth="8" defaultRowHeight="15"/>
  <cols>
    <col width="3" customWidth="1" min="1" max="1"/>
    <col width="42" customWidth="1" min="2" max="2"/>
    <col width="26" customWidth="1" min="3" max="3"/>
    <col width="90" customWidth="1" min="4" max="4"/>
  </cols>
  <sheetData>
    <row r="1">
      <c r="B1" s="4" t="inlineStr">
        <is>
          <t>Company settings &amp; checks</t>
        </is>
      </c>
    </row>
    <row r="3">
      <c r="B3" t="inlineStr">
        <is>
          <t>Insurance Company</t>
        </is>
      </c>
      <c r="C3" t="inlineStr">
        <is>
          <t>APATCH PETROLEUM</t>
        </is>
      </c>
      <c r="D3" t="inlineStr">
        <is>
          <t>Informational only</t>
        </is>
      </c>
    </row>
    <row r="4">
      <c r="B4" t="inlineStr">
        <is>
          <t>Corporate</t>
        </is>
      </c>
      <c r="C4" t="inlineStr">
        <is>
          <t>Apache CFC; Apache IND; Apache Khalda</t>
        </is>
      </c>
      <c r="D4" t="inlineStr">
        <is>
          <t>Informational only</t>
        </is>
      </c>
    </row>
    <row r="5">
      <c r="B5" t="inlineStr">
        <is>
          <t>Sheet type</t>
        </is>
      </c>
      <c r="C5" t="inlineStr">
        <is>
          <t>Chronic</t>
        </is>
      </c>
      <c r="D5" t="inlineStr">
        <is>
          <t>Informational only</t>
        </is>
      </c>
    </row>
    <row r="6">
      <c r="B6" t="inlineStr">
        <is>
          <t>Local products rebate %</t>
        </is>
      </c>
      <c r="C6" s="5" t="n">
        <v>0.15</v>
      </c>
      <c r="D6" t="inlineStr">
        <is>
          <t>Source: July sheet (Rebates = 15 on Local lines).</t>
        </is>
      </c>
    </row>
    <row r="7">
      <c r="B7" t="inlineStr">
        <is>
          <t>Imported (IMP) products rebate %</t>
        </is>
      </c>
      <c r="C7" s="5" t="n">
        <v>0.05</v>
      </c>
      <c r="D7" t="inlineStr">
        <is>
          <t>Source: July sheet (Rebates = 5 on non-local lines; 0 on Special Rebates = Yes).</t>
        </is>
      </c>
    </row>
    <row r="9">
      <c r="B9" s="6" t="inlineStr">
        <is>
          <t>Month totals / reconciliation</t>
        </is>
      </c>
    </row>
    <row r="10">
      <c r="B10" t="inlineStr">
        <is>
          <t>Lines loaded</t>
        </is>
      </c>
      <c r="C10">
        <f>COUNTA('Per Line'!$B$2:$B$301)</f>
        <v/>
      </c>
    </row>
    <row r="11">
      <c r="B11" t="inlineStr">
        <is>
          <t>Invoices (unique Order #)</t>
        </is>
      </c>
      <c r="C11">
        <f>MAX('Per Line'!$Y$2:$Y$301)</f>
        <v/>
      </c>
    </row>
    <row r="12">
      <c r="B12" t="inlineStr">
        <is>
          <t>Invoices shown in Per Invoice</t>
        </is>
      </c>
      <c r="C12">
        <f>SUMPRODUCT(--('Per Invoice'!$C$2:$C$101&lt;&gt;""))</f>
        <v/>
      </c>
    </row>
    <row r="13">
      <c r="B13" t="inlineStr">
        <is>
          <t>Grand Total - Per Line (Product Total)</t>
        </is>
      </c>
      <c r="C13" s="7">
        <f>SUM('Per Line'!$Q$2:$Q$301)</f>
        <v/>
      </c>
    </row>
    <row r="14">
      <c r="B14" t="inlineStr">
        <is>
          <t>Grand Total - Per Invoice</t>
        </is>
      </c>
      <c r="C14" s="7">
        <f>SUM('Per Invoice'!$U$2:$U$101)</f>
        <v/>
      </c>
    </row>
    <row r="15">
      <c r="B15" t="inlineStr">
        <is>
          <t>Discount - Per Line</t>
        </is>
      </c>
      <c r="C15" s="7">
        <f>SUM('Per Line'!$U$2:$U$301)</f>
        <v/>
      </c>
    </row>
    <row r="16">
      <c r="B16" t="inlineStr">
        <is>
          <t>Discount - Per Invoice</t>
        </is>
      </c>
      <c r="C16" s="7">
        <f>SUM('Per Invoice'!$S$2:$S$101)</f>
        <v/>
      </c>
    </row>
    <row r="17">
      <c r="B17" t="inlineStr">
        <is>
          <t>Co val - Per Line</t>
        </is>
      </c>
      <c r="C17" s="7">
        <f>SUM('Per Line'!$J$2:$J$301)</f>
        <v/>
      </c>
    </row>
    <row r="18">
      <c r="B18" t="inlineStr">
        <is>
          <t>Co val - Per Invoice</t>
        </is>
      </c>
      <c r="C18" s="7">
        <f>SUM('Per Invoice'!$J$2:$J$101)</f>
        <v/>
      </c>
    </row>
    <row r="19">
      <c r="B19" t="inlineStr">
        <is>
          <t>Net - Per Line</t>
        </is>
      </c>
      <c r="C19" s="7">
        <f>SUM('Per Line'!$W$2:$W$301)</f>
        <v/>
      </c>
    </row>
    <row r="20">
      <c r="B20" t="inlineStr">
        <is>
          <t>Net - Per Invoice</t>
        </is>
      </c>
      <c r="C20" s="7">
        <f>SUM('Per Invoice'!$V$2:$V$101)</f>
        <v/>
      </c>
    </row>
    <row r="21">
      <c r="B21" t="inlineStr">
        <is>
          <t>Max Limit adjustment (Co val, Per Invoice only)</t>
        </is>
      </c>
      <c r="C21" s="7" t="n">
        <v>0</v>
      </c>
      <c r="D21" t="inlineStr">
        <is>
          <t>This company's Per Invoice has no Max Limit rule.</t>
        </is>
      </c>
    </row>
    <row r="23">
      <c r="B23" s="6" t="inlineStr">
        <is>
          <t>STATUS</t>
        </is>
      </c>
      <c r="C23" s="6">
        <f>IF(C10=0,"No data loaded",IF(COUNTA('Per Line'!$B:$B)-1&gt;300,"TOO MANY LINES - extend template",IF(C11&gt;100,"TOO MANY INVOICES - extend template",IF(AND(ROUND(C13-C14,2)=0,ROUND(C15-C16,2)=0,ROUND(C17+C21-C18,2)=0,ROUND(C19-C21-C20,2)=0,C11=C12),"OK","CHECK - Per Line and Per Invoice do not match"))))</f>
        <v/>
      </c>
      <c r="D23" t="inlineStr">
        <is>
          <t>Must say OK after you paste the month data.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18" customWidth="1" min="4" max="4"/>
    <col width="12" customWidth="1" min="5" max="5"/>
    <col width="24" customWidth="1" min="6" max="6"/>
    <col width="12" customWidth="1" min="7" max="7"/>
    <col width="26" customWidth="1" min="8" max="8"/>
    <col width="12" customWidth="1" min="9" max="9"/>
    <col width="11" customWidth="1" min="10" max="10"/>
    <col width="12" customWidth="1" min="11" max="11"/>
    <col width="44" customWidth="1" min="12" max="12"/>
    <col width="12" customWidth="1" min="13" max="13"/>
    <col width="20" customWidth="1" min="14" max="14"/>
    <col width="12" customWidth="1" min="15" max="15"/>
    <col width="12" customWidth="1" min="16" max="16"/>
    <col width="12" customWidth="1" min="17" max="17"/>
    <col width="36" customWidth="1" min="18" max="18"/>
    <col width="12" customWidth="1" min="19" max="19"/>
    <col width="11" customWidth="1" min="20" max="20"/>
    <col width="11" customWidth="1" min="21" max="21"/>
    <col width="11" customWidth="1" min="22" max="22"/>
    <col width="11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</cols>
  <sheetData>
    <row r="1" ht="32" customHeight="1">
      <c r="A1" s="8" t="inlineStr">
        <is>
          <t>Cycle</t>
        </is>
      </c>
      <c r="B1" s="8" t="inlineStr">
        <is>
          <t>Order #</t>
        </is>
      </c>
      <c r="C1" s="8" t="inlineStr">
        <is>
          <t>Create At</t>
        </is>
      </c>
      <c r="D1" s="8" t="inlineStr">
        <is>
          <t>Insurance Company</t>
        </is>
      </c>
      <c r="E1" s="8" t="inlineStr">
        <is>
          <t>Country Portal ID</t>
        </is>
      </c>
      <c r="F1" s="8" t="inlineStr">
        <is>
          <t>Corporate</t>
        </is>
      </c>
      <c r="G1" s="8" t="inlineStr">
        <is>
          <t>Card</t>
        </is>
      </c>
      <c r="H1" s="8" t="inlineStr">
        <is>
          <t>Name</t>
        </is>
      </c>
      <c r="I1" s="8" t="inlineStr">
        <is>
          <t>Order Co Payment</t>
        </is>
      </c>
      <c r="J1" s="9" t="inlineStr">
        <is>
          <t>Co val</t>
        </is>
      </c>
      <c r="K1" s="8" t="inlineStr">
        <is>
          <t>heisenberg id</t>
        </is>
      </c>
      <c r="L1" s="8" t="inlineStr">
        <is>
          <t>Product Name</t>
        </is>
      </c>
      <c r="M1" s="8" t="inlineStr">
        <is>
          <t>Local</t>
        </is>
      </c>
      <c r="N1" s="8" t="inlineStr">
        <is>
          <t>Unit</t>
        </is>
      </c>
      <c r="O1" s="8" t="inlineStr">
        <is>
          <t>Quantity</t>
        </is>
      </c>
      <c r="P1" s="8" t="inlineStr">
        <is>
          <t>Unit Price</t>
        </is>
      </c>
      <c r="Q1" s="8" t="inlineStr">
        <is>
          <t>Product Total</t>
        </is>
      </c>
      <c r="R1" s="8" t="inlineStr">
        <is>
          <t>ERX ID</t>
        </is>
      </c>
      <c r="S1" s="8" t="inlineStr">
        <is>
          <t>Special Rebates?</t>
        </is>
      </c>
      <c r="T1" s="9" t="inlineStr">
        <is>
          <t>Rebates</t>
        </is>
      </c>
      <c r="U1" s="9" t="inlineStr">
        <is>
          <t>Discount</t>
        </is>
      </c>
      <c r="V1" s="9" t="inlineStr">
        <is>
          <t>Subtotal</t>
        </is>
      </c>
      <c r="W1" s="9" t="inlineStr">
        <is>
          <t>Net</t>
        </is>
      </c>
      <c r="X1" s="10" t="inlineStr">
        <is>
          <t>Order 1st Row (helper)</t>
        </is>
      </c>
      <c r="Y1" s="10" t="inlineStr">
        <is>
          <t>Invoice # (helper)</t>
        </is>
      </c>
      <c r="Z1" s="10" t="inlineStr">
        <is>
          <t>Is Local (helper)</t>
        </is>
      </c>
      <c r="AA1" s="10" t="inlineStr">
        <is>
          <t>Is Special (helper)</t>
        </is>
      </c>
      <c r="AB1" s="10" t="inlineStr">
        <is>
          <t>Sort Key (helper)</t>
        </is>
      </c>
    </row>
    <row r="2">
      <c r="C2" s="11" t="n"/>
      <c r="J2" s="7">
        <f>IF($B2="","",I2*Q2/100)</f>
        <v/>
      </c>
      <c r="P2" s="7" t="n"/>
      <c r="Q2" s="7" t="n"/>
      <c r="T2">
        <f>IF($B2="","",IF($AA2=1,0,IF($Z2=1,Settings!$C$6,Settings!$C$7))*100)</f>
        <v/>
      </c>
      <c r="U2" s="7">
        <f>IF($B2="","",Q2*T2/100)</f>
        <v/>
      </c>
      <c r="V2" s="7">
        <f>IF($B2="","",Q2-U2)</f>
        <v/>
      </c>
      <c r="W2" s="7">
        <f>IF($B2="","",V2-J2)</f>
        <v/>
      </c>
      <c r="X2">
        <f>IF($B2="","",IF(COUNTIF($B$2:$B2,$B2)=1,1,0))</f>
        <v/>
      </c>
      <c r="Y2">
        <f>IF($X2=1,SUMPRODUCT(--($AB$2:$AB$301&lt;$AB2))+1,"")</f>
        <v/>
      </c>
      <c r="Z2">
        <f>IF($B2="","",IF(OR($M2=TRUE(),$M2="TRUE"),1,0))</f>
        <v/>
      </c>
      <c r="AA2">
        <f>IF($B2="","",IF($S2="Yes",1,0))</f>
        <v/>
      </c>
      <c r="AB2">
        <f>IF($X2=1,IFERROR(IF(VALUE($B2)&lt;100000000,VALUE($B2),1000000000),IFERROR(IF(VALUE(MID($B2,2,20))&lt;100000000,VALUE(MID($B2,2,20)),1000000000),1000000000))+ROW()/100000,"")</f>
        <v/>
      </c>
    </row>
    <row r="3">
      <c r="C3" s="11" t="n"/>
      <c r="J3" s="7">
        <f>IF($B3="","",I3*Q3/100)</f>
        <v/>
      </c>
      <c r="P3" s="7" t="n"/>
      <c r="Q3" s="7" t="n"/>
      <c r="T3">
        <f>IF($B3="","",IF($AA3=1,0,IF($Z3=1,Settings!$C$6,Settings!$C$7))*100)</f>
        <v/>
      </c>
      <c r="U3" s="7">
        <f>IF($B3="","",Q3*T3/100)</f>
        <v/>
      </c>
      <c r="V3" s="7">
        <f>IF($B3="","",Q3-U3)</f>
        <v/>
      </c>
      <c r="W3" s="7">
        <f>IF($B3="","",V3-J3)</f>
        <v/>
      </c>
      <c r="X3">
        <f>IF($B3="","",IF(COUNTIF($B$2:$B3,$B3)=1,1,0))</f>
        <v/>
      </c>
      <c r="Y3">
        <f>IF($X3=1,SUMPRODUCT(--($AB$2:$AB$301&lt;$AB3))+1,"")</f>
        <v/>
      </c>
      <c r="Z3">
        <f>IF($B3="","",IF(OR($M3=TRUE(),$M3="TRUE"),1,0))</f>
        <v/>
      </c>
      <c r="AA3">
        <f>IF($B3="","",IF($S3="Yes",1,0))</f>
        <v/>
      </c>
      <c r="AB3">
        <f>IF($X3=1,IFERROR(IF(VALUE($B3)&lt;100000000,VALUE($B3),1000000000),IFERROR(IF(VALUE(MID($B3,2,20))&lt;100000000,VALUE(MID($B3,2,20)),1000000000),1000000000))+ROW()/100000,"")</f>
        <v/>
      </c>
    </row>
    <row r="4">
      <c r="C4" s="11" t="n"/>
      <c r="J4" s="7">
        <f>IF($B4="","",I4*Q4/100)</f>
        <v/>
      </c>
      <c r="P4" s="7" t="n"/>
      <c r="Q4" s="7" t="n"/>
      <c r="T4">
        <f>IF($B4="","",IF($AA4=1,0,IF($Z4=1,Settings!$C$6,Settings!$C$7))*100)</f>
        <v/>
      </c>
      <c r="U4" s="7">
        <f>IF($B4="","",Q4*T4/100)</f>
        <v/>
      </c>
      <c r="V4" s="7">
        <f>IF($B4="","",Q4-U4)</f>
        <v/>
      </c>
      <c r="W4" s="7">
        <f>IF($B4="","",V4-J4)</f>
        <v/>
      </c>
      <c r="X4">
        <f>IF($B4="","",IF(COUNTIF($B$2:$B4,$B4)=1,1,0))</f>
        <v/>
      </c>
      <c r="Y4">
        <f>IF($X4=1,SUMPRODUCT(--($AB$2:$AB$301&lt;$AB4))+1,"")</f>
        <v/>
      </c>
      <c r="Z4">
        <f>IF($B4="","",IF(OR($M4=TRUE(),$M4="TRUE"),1,0))</f>
        <v/>
      </c>
      <c r="AA4">
        <f>IF($B4="","",IF($S4="Yes",1,0))</f>
        <v/>
      </c>
      <c r="AB4">
        <f>IF($X4=1,IFERROR(IF(VALUE($B4)&lt;100000000,VALUE($B4),1000000000),IFERROR(IF(VALUE(MID($B4,2,20))&lt;100000000,VALUE(MID($B4,2,20)),1000000000),1000000000))+ROW()/100000,"")</f>
        <v/>
      </c>
    </row>
    <row r="5">
      <c r="C5" s="11" t="n"/>
      <c r="J5" s="7">
        <f>IF($B5="","",I5*Q5/100)</f>
        <v/>
      </c>
      <c r="P5" s="7" t="n"/>
      <c r="Q5" s="7" t="n"/>
      <c r="T5">
        <f>IF($B5="","",IF($AA5=1,0,IF($Z5=1,Settings!$C$6,Settings!$C$7))*100)</f>
        <v/>
      </c>
      <c r="U5" s="7">
        <f>IF($B5="","",Q5*T5/100)</f>
        <v/>
      </c>
      <c r="V5" s="7">
        <f>IF($B5="","",Q5-U5)</f>
        <v/>
      </c>
      <c r="W5" s="7">
        <f>IF($B5="","",V5-J5)</f>
        <v/>
      </c>
      <c r="X5">
        <f>IF($B5="","",IF(COUNTIF($B$2:$B5,$B5)=1,1,0))</f>
        <v/>
      </c>
      <c r="Y5">
        <f>IF($X5=1,SUMPRODUCT(--($AB$2:$AB$301&lt;$AB5))+1,"")</f>
        <v/>
      </c>
      <c r="Z5">
        <f>IF($B5="","",IF(OR($M5=TRUE(),$M5="TRUE"),1,0))</f>
        <v/>
      </c>
      <c r="AA5">
        <f>IF($B5="","",IF($S5="Yes",1,0))</f>
        <v/>
      </c>
      <c r="AB5">
        <f>IF($X5=1,IFERROR(IF(VALUE($B5)&lt;100000000,VALUE($B5),1000000000),IFERROR(IF(VALUE(MID($B5,2,20))&lt;100000000,VALUE(MID($B5,2,20)),1000000000),1000000000))+ROW()/100000,"")</f>
        <v/>
      </c>
    </row>
    <row r="6">
      <c r="C6" s="11" t="n"/>
      <c r="J6" s="7">
        <f>IF($B6="","",I6*Q6/100)</f>
        <v/>
      </c>
      <c r="P6" s="7" t="n"/>
      <c r="Q6" s="7" t="n"/>
      <c r="T6">
        <f>IF($B6="","",IF($AA6=1,0,IF($Z6=1,Settings!$C$6,Settings!$C$7))*100)</f>
        <v/>
      </c>
      <c r="U6" s="7">
        <f>IF($B6="","",Q6*T6/100)</f>
        <v/>
      </c>
      <c r="V6" s="7">
        <f>IF($B6="","",Q6-U6)</f>
        <v/>
      </c>
      <c r="W6" s="7">
        <f>IF($B6="","",V6-J6)</f>
        <v/>
      </c>
      <c r="X6">
        <f>IF($B6="","",IF(COUNTIF($B$2:$B6,$B6)=1,1,0))</f>
        <v/>
      </c>
      <c r="Y6">
        <f>IF($X6=1,SUMPRODUCT(--($AB$2:$AB$301&lt;$AB6))+1,"")</f>
        <v/>
      </c>
      <c r="Z6">
        <f>IF($B6="","",IF(OR($M6=TRUE(),$M6="TRUE"),1,0))</f>
        <v/>
      </c>
      <c r="AA6">
        <f>IF($B6="","",IF($S6="Yes",1,0))</f>
        <v/>
      </c>
      <c r="AB6">
        <f>IF($X6=1,IFERROR(IF(VALUE($B6)&lt;100000000,VALUE($B6),1000000000),IFERROR(IF(VALUE(MID($B6,2,20))&lt;100000000,VALUE(MID($B6,2,20)),1000000000),1000000000))+ROW()/100000,"")</f>
        <v/>
      </c>
    </row>
    <row r="7">
      <c r="C7" s="11" t="n"/>
      <c r="J7" s="7">
        <f>IF($B7="","",I7*Q7/100)</f>
        <v/>
      </c>
      <c r="P7" s="7" t="n"/>
      <c r="Q7" s="7" t="n"/>
      <c r="T7">
        <f>IF($B7="","",IF($AA7=1,0,IF($Z7=1,Settings!$C$6,Settings!$C$7))*100)</f>
        <v/>
      </c>
      <c r="U7" s="7">
        <f>IF($B7="","",Q7*T7/100)</f>
        <v/>
      </c>
      <c r="V7" s="7">
        <f>IF($B7="","",Q7-U7)</f>
        <v/>
      </c>
      <c r="W7" s="7">
        <f>IF($B7="","",V7-J7)</f>
        <v/>
      </c>
      <c r="X7">
        <f>IF($B7="","",IF(COUNTIF($B$2:$B7,$B7)=1,1,0))</f>
        <v/>
      </c>
      <c r="Y7">
        <f>IF($X7=1,SUMPRODUCT(--($AB$2:$AB$301&lt;$AB7))+1,"")</f>
        <v/>
      </c>
      <c r="Z7">
        <f>IF($B7="","",IF(OR($M7=TRUE(),$M7="TRUE"),1,0))</f>
        <v/>
      </c>
      <c r="AA7">
        <f>IF($B7="","",IF($S7="Yes",1,0))</f>
        <v/>
      </c>
      <c r="AB7">
        <f>IF($X7=1,IFERROR(IF(VALUE($B7)&lt;100000000,VALUE($B7),1000000000),IFERROR(IF(VALUE(MID($B7,2,20))&lt;100000000,VALUE(MID($B7,2,20)),1000000000),1000000000))+ROW()/100000,"")</f>
        <v/>
      </c>
    </row>
    <row r="8">
      <c r="C8" s="11" t="n"/>
      <c r="J8" s="7">
        <f>IF($B8="","",I8*Q8/100)</f>
        <v/>
      </c>
      <c r="P8" s="7" t="n"/>
      <c r="Q8" s="7" t="n"/>
      <c r="T8">
        <f>IF($B8="","",IF($AA8=1,0,IF($Z8=1,Settings!$C$6,Settings!$C$7))*100)</f>
        <v/>
      </c>
      <c r="U8" s="7">
        <f>IF($B8="","",Q8*T8/100)</f>
        <v/>
      </c>
      <c r="V8" s="7">
        <f>IF($B8="","",Q8-U8)</f>
        <v/>
      </c>
      <c r="W8" s="7">
        <f>IF($B8="","",V8-J8)</f>
        <v/>
      </c>
      <c r="X8">
        <f>IF($B8="","",IF(COUNTIF($B$2:$B8,$B8)=1,1,0))</f>
        <v/>
      </c>
      <c r="Y8">
        <f>IF($X8=1,SUMPRODUCT(--($AB$2:$AB$301&lt;$AB8))+1,"")</f>
        <v/>
      </c>
      <c r="Z8">
        <f>IF($B8="","",IF(OR($M8=TRUE(),$M8="TRUE"),1,0))</f>
        <v/>
      </c>
      <c r="AA8">
        <f>IF($B8="","",IF($S8="Yes",1,0))</f>
        <v/>
      </c>
      <c r="AB8">
        <f>IF($X8=1,IFERROR(IF(VALUE($B8)&lt;100000000,VALUE($B8),1000000000),IFERROR(IF(VALUE(MID($B8,2,20))&lt;100000000,VALUE(MID($B8,2,20)),1000000000),1000000000))+ROW()/100000,"")</f>
        <v/>
      </c>
    </row>
    <row r="9">
      <c r="C9" s="11" t="n"/>
      <c r="J9" s="7">
        <f>IF($B9="","",I9*Q9/100)</f>
        <v/>
      </c>
      <c r="P9" s="7" t="n"/>
      <c r="Q9" s="7" t="n"/>
      <c r="T9">
        <f>IF($B9="","",IF($AA9=1,0,IF($Z9=1,Settings!$C$6,Settings!$C$7))*100)</f>
        <v/>
      </c>
      <c r="U9" s="7">
        <f>IF($B9="","",Q9*T9/100)</f>
        <v/>
      </c>
      <c r="V9" s="7">
        <f>IF($B9="","",Q9-U9)</f>
        <v/>
      </c>
      <c r="W9" s="7">
        <f>IF($B9="","",V9-J9)</f>
        <v/>
      </c>
      <c r="X9">
        <f>IF($B9="","",IF(COUNTIF($B$2:$B9,$B9)=1,1,0))</f>
        <v/>
      </c>
      <c r="Y9">
        <f>IF($X9=1,SUMPRODUCT(--($AB$2:$AB$301&lt;$AB9))+1,"")</f>
        <v/>
      </c>
      <c r="Z9">
        <f>IF($B9="","",IF(OR($M9=TRUE(),$M9="TRUE"),1,0))</f>
        <v/>
      </c>
      <c r="AA9">
        <f>IF($B9="","",IF($S9="Yes",1,0))</f>
        <v/>
      </c>
      <c r="AB9">
        <f>IF($X9=1,IFERROR(IF(VALUE($B9)&lt;100000000,VALUE($B9),1000000000),IFERROR(IF(VALUE(MID($B9,2,20))&lt;100000000,VALUE(MID($B9,2,20)),1000000000),1000000000))+ROW()/100000,"")</f>
        <v/>
      </c>
    </row>
    <row r="10">
      <c r="C10" s="11" t="n"/>
      <c r="J10" s="7">
        <f>IF($B10="","",I10*Q10/100)</f>
        <v/>
      </c>
      <c r="P10" s="7" t="n"/>
      <c r="Q10" s="7" t="n"/>
      <c r="T10">
        <f>IF($B10="","",IF($AA10=1,0,IF($Z10=1,Settings!$C$6,Settings!$C$7))*100)</f>
        <v/>
      </c>
      <c r="U10" s="7">
        <f>IF($B10="","",Q10*T10/100)</f>
        <v/>
      </c>
      <c r="V10" s="7">
        <f>IF($B10="","",Q10-U10)</f>
        <v/>
      </c>
      <c r="W10" s="7">
        <f>IF($B10="","",V10-J10)</f>
        <v/>
      </c>
      <c r="X10">
        <f>IF($B10="","",IF(COUNTIF($B$2:$B10,$B10)=1,1,0))</f>
        <v/>
      </c>
      <c r="Y10">
        <f>IF($X10=1,SUMPRODUCT(--($AB$2:$AB$301&lt;$AB10))+1,"")</f>
        <v/>
      </c>
      <c r="Z10">
        <f>IF($B10="","",IF(OR($M10=TRUE(),$M10="TRUE"),1,0))</f>
        <v/>
      </c>
      <c r="AA10">
        <f>IF($B10="","",IF($S10="Yes",1,0))</f>
        <v/>
      </c>
      <c r="AB10">
        <f>IF($X10=1,IFERROR(IF(VALUE($B10)&lt;100000000,VALUE($B10),1000000000),IFERROR(IF(VALUE(MID($B10,2,20))&lt;100000000,VALUE(MID($B10,2,20)),1000000000),1000000000))+ROW()/100000,"")</f>
        <v/>
      </c>
    </row>
    <row r="11">
      <c r="C11" s="11" t="n"/>
      <c r="J11" s="7">
        <f>IF($B11="","",I11*Q11/100)</f>
        <v/>
      </c>
      <c r="P11" s="7" t="n"/>
      <c r="Q11" s="7" t="n"/>
      <c r="T11">
        <f>IF($B11="","",IF($AA11=1,0,IF($Z11=1,Settings!$C$6,Settings!$C$7))*100)</f>
        <v/>
      </c>
      <c r="U11" s="7">
        <f>IF($B11="","",Q11*T11/100)</f>
        <v/>
      </c>
      <c r="V11" s="7">
        <f>IF($B11="","",Q11-U11)</f>
        <v/>
      </c>
      <c r="W11" s="7">
        <f>IF($B11="","",V11-J11)</f>
        <v/>
      </c>
      <c r="X11">
        <f>IF($B11="","",IF(COUNTIF($B$2:$B11,$B11)=1,1,0))</f>
        <v/>
      </c>
      <c r="Y11">
        <f>IF($X11=1,SUMPRODUCT(--($AB$2:$AB$301&lt;$AB11))+1,"")</f>
        <v/>
      </c>
      <c r="Z11">
        <f>IF($B11="","",IF(OR($M11=TRUE(),$M11="TRUE"),1,0))</f>
        <v/>
      </c>
      <c r="AA11">
        <f>IF($B11="","",IF($S11="Yes",1,0))</f>
        <v/>
      </c>
      <c r="AB11">
        <f>IF($X11=1,IFERROR(IF(VALUE($B11)&lt;100000000,VALUE($B11),1000000000),IFERROR(IF(VALUE(MID($B11,2,20))&lt;100000000,VALUE(MID($B11,2,20)),1000000000),1000000000))+ROW()/100000,"")</f>
        <v/>
      </c>
    </row>
    <row r="12">
      <c r="C12" s="11" t="n"/>
      <c r="J12" s="7">
        <f>IF($B12="","",I12*Q12/100)</f>
        <v/>
      </c>
      <c r="P12" s="7" t="n"/>
      <c r="Q12" s="7" t="n"/>
      <c r="T12">
        <f>IF($B12="","",IF($AA12=1,0,IF($Z12=1,Settings!$C$6,Settings!$C$7))*100)</f>
        <v/>
      </c>
      <c r="U12" s="7">
        <f>IF($B12="","",Q12*T12/100)</f>
        <v/>
      </c>
      <c r="V12" s="7">
        <f>IF($B12="","",Q12-U12)</f>
        <v/>
      </c>
      <c r="W12" s="7">
        <f>IF($B12="","",V12-J12)</f>
        <v/>
      </c>
      <c r="X12">
        <f>IF($B12="","",IF(COUNTIF($B$2:$B12,$B12)=1,1,0))</f>
        <v/>
      </c>
      <c r="Y12">
        <f>IF($X12=1,SUMPRODUCT(--($AB$2:$AB$301&lt;$AB12))+1,"")</f>
        <v/>
      </c>
      <c r="Z12">
        <f>IF($B12="","",IF(OR($M12=TRUE(),$M12="TRUE"),1,0))</f>
        <v/>
      </c>
      <c r="AA12">
        <f>IF($B12="","",IF($S12="Yes",1,0))</f>
        <v/>
      </c>
      <c r="AB12">
        <f>IF($X12=1,IFERROR(IF(VALUE($B12)&lt;100000000,VALUE($B12),1000000000),IFERROR(IF(VALUE(MID($B12,2,20))&lt;100000000,VALUE(MID($B12,2,20)),1000000000),1000000000))+ROW()/100000,"")</f>
        <v/>
      </c>
    </row>
    <row r="13">
      <c r="C13" s="11" t="n"/>
      <c r="J13" s="7">
        <f>IF($B13="","",I13*Q13/100)</f>
        <v/>
      </c>
      <c r="P13" s="7" t="n"/>
      <c r="Q13" s="7" t="n"/>
      <c r="T13">
        <f>IF($B13="","",IF($AA13=1,0,IF($Z13=1,Settings!$C$6,Settings!$C$7))*100)</f>
        <v/>
      </c>
      <c r="U13" s="7">
        <f>IF($B13="","",Q13*T13/100)</f>
        <v/>
      </c>
      <c r="V13" s="7">
        <f>IF($B13="","",Q13-U13)</f>
        <v/>
      </c>
      <c r="W13" s="7">
        <f>IF($B13="","",V13-J13)</f>
        <v/>
      </c>
      <c r="X13">
        <f>IF($B13="","",IF(COUNTIF($B$2:$B13,$B13)=1,1,0))</f>
        <v/>
      </c>
      <c r="Y13">
        <f>IF($X13=1,SUMPRODUCT(--($AB$2:$AB$301&lt;$AB13))+1,"")</f>
        <v/>
      </c>
      <c r="Z13">
        <f>IF($B13="","",IF(OR($M13=TRUE(),$M13="TRUE"),1,0))</f>
        <v/>
      </c>
      <c r="AA13">
        <f>IF($B13="","",IF($S13="Yes",1,0))</f>
        <v/>
      </c>
      <c r="AB13">
        <f>IF($X13=1,IFERROR(IF(VALUE($B13)&lt;100000000,VALUE($B13),1000000000),IFERROR(IF(VALUE(MID($B13,2,20))&lt;100000000,VALUE(MID($B13,2,20)),1000000000),1000000000))+ROW()/100000,"")</f>
        <v/>
      </c>
    </row>
    <row r="14">
      <c r="C14" s="11" t="n"/>
      <c r="J14" s="7">
        <f>IF($B14="","",I14*Q14/100)</f>
        <v/>
      </c>
      <c r="P14" s="7" t="n"/>
      <c r="Q14" s="7" t="n"/>
      <c r="T14">
        <f>IF($B14="","",IF($AA14=1,0,IF($Z14=1,Settings!$C$6,Settings!$C$7))*100)</f>
        <v/>
      </c>
      <c r="U14" s="7">
        <f>IF($B14="","",Q14*T14/100)</f>
        <v/>
      </c>
      <c r="V14" s="7">
        <f>IF($B14="","",Q14-U14)</f>
        <v/>
      </c>
      <c r="W14" s="7">
        <f>IF($B14="","",V14-J14)</f>
        <v/>
      </c>
      <c r="X14">
        <f>IF($B14="","",IF(COUNTIF($B$2:$B14,$B14)=1,1,0))</f>
        <v/>
      </c>
      <c r="Y14">
        <f>IF($X14=1,SUMPRODUCT(--($AB$2:$AB$301&lt;$AB14))+1,"")</f>
        <v/>
      </c>
      <c r="Z14">
        <f>IF($B14="","",IF(OR($M14=TRUE(),$M14="TRUE"),1,0))</f>
        <v/>
      </c>
      <c r="AA14">
        <f>IF($B14="","",IF($S14="Yes",1,0))</f>
        <v/>
      </c>
      <c r="AB14">
        <f>IF($X14=1,IFERROR(IF(VALUE($B14)&lt;100000000,VALUE($B14),1000000000),IFERROR(IF(VALUE(MID($B14,2,20))&lt;100000000,VALUE(MID($B14,2,20)),1000000000),1000000000))+ROW()/100000,"")</f>
        <v/>
      </c>
    </row>
    <row r="15">
      <c r="C15" s="11" t="n"/>
      <c r="J15" s="7">
        <f>IF($B15="","",I15*Q15/100)</f>
        <v/>
      </c>
      <c r="P15" s="7" t="n"/>
      <c r="Q15" s="7" t="n"/>
      <c r="T15">
        <f>IF($B15="","",IF($AA15=1,0,IF($Z15=1,Settings!$C$6,Settings!$C$7))*100)</f>
        <v/>
      </c>
      <c r="U15" s="7">
        <f>IF($B15="","",Q15*T15/100)</f>
        <v/>
      </c>
      <c r="V15" s="7">
        <f>IF($B15="","",Q15-U15)</f>
        <v/>
      </c>
      <c r="W15" s="7">
        <f>IF($B15="","",V15-J15)</f>
        <v/>
      </c>
      <c r="X15">
        <f>IF($B15="","",IF(COUNTIF($B$2:$B15,$B15)=1,1,0))</f>
        <v/>
      </c>
      <c r="Y15">
        <f>IF($X15=1,SUMPRODUCT(--($AB$2:$AB$301&lt;$AB15))+1,"")</f>
        <v/>
      </c>
      <c r="Z15">
        <f>IF($B15="","",IF(OR($M15=TRUE(),$M15="TRUE"),1,0))</f>
        <v/>
      </c>
      <c r="AA15">
        <f>IF($B15="","",IF($S15="Yes",1,0))</f>
        <v/>
      </c>
      <c r="AB15">
        <f>IF($X15=1,IFERROR(IF(VALUE($B15)&lt;100000000,VALUE($B15),1000000000),IFERROR(IF(VALUE(MID($B15,2,20))&lt;100000000,VALUE(MID($B15,2,20)),1000000000),1000000000))+ROW()/100000,"")</f>
        <v/>
      </c>
    </row>
    <row r="16">
      <c r="C16" s="11" t="n"/>
      <c r="J16" s="7">
        <f>IF($B16="","",I16*Q16/100)</f>
        <v/>
      </c>
      <c r="P16" s="7" t="n"/>
      <c r="Q16" s="7" t="n"/>
      <c r="T16">
        <f>IF($B16="","",IF($AA16=1,0,IF($Z16=1,Settings!$C$6,Settings!$C$7))*100)</f>
        <v/>
      </c>
      <c r="U16" s="7">
        <f>IF($B16="","",Q16*T16/100)</f>
        <v/>
      </c>
      <c r="V16" s="7">
        <f>IF($B16="","",Q16-U16)</f>
        <v/>
      </c>
      <c r="W16" s="7">
        <f>IF($B16="","",V16-J16)</f>
        <v/>
      </c>
      <c r="X16">
        <f>IF($B16="","",IF(COUNTIF($B$2:$B16,$B16)=1,1,0))</f>
        <v/>
      </c>
      <c r="Y16">
        <f>IF($X16=1,SUMPRODUCT(--($AB$2:$AB$301&lt;$AB16))+1,"")</f>
        <v/>
      </c>
      <c r="Z16">
        <f>IF($B16="","",IF(OR($M16=TRUE(),$M16="TRUE"),1,0))</f>
        <v/>
      </c>
      <c r="AA16">
        <f>IF($B16="","",IF($S16="Yes",1,0))</f>
        <v/>
      </c>
      <c r="AB16">
        <f>IF($X16=1,IFERROR(IF(VALUE($B16)&lt;100000000,VALUE($B16),1000000000),IFERROR(IF(VALUE(MID($B16,2,20))&lt;100000000,VALUE(MID($B16,2,20)),1000000000),1000000000))+ROW()/100000,"")</f>
        <v/>
      </c>
    </row>
    <row r="17">
      <c r="C17" s="11" t="n"/>
      <c r="J17" s="7">
        <f>IF($B17="","",I17*Q17/100)</f>
        <v/>
      </c>
      <c r="P17" s="7" t="n"/>
      <c r="Q17" s="7" t="n"/>
      <c r="T17">
        <f>IF($B17="","",IF($AA17=1,0,IF($Z17=1,Settings!$C$6,Settings!$C$7))*100)</f>
        <v/>
      </c>
      <c r="U17" s="7">
        <f>IF($B17="","",Q17*T17/100)</f>
        <v/>
      </c>
      <c r="V17" s="7">
        <f>IF($B17="","",Q17-U17)</f>
        <v/>
      </c>
      <c r="W17" s="7">
        <f>IF($B17="","",V17-J17)</f>
        <v/>
      </c>
      <c r="X17">
        <f>IF($B17="","",IF(COUNTIF($B$2:$B17,$B17)=1,1,0))</f>
        <v/>
      </c>
      <c r="Y17">
        <f>IF($X17=1,SUMPRODUCT(--($AB$2:$AB$301&lt;$AB17))+1,"")</f>
        <v/>
      </c>
      <c r="Z17">
        <f>IF($B17="","",IF(OR($M17=TRUE(),$M17="TRUE"),1,0))</f>
        <v/>
      </c>
      <c r="AA17">
        <f>IF($B17="","",IF($S17="Yes",1,0))</f>
        <v/>
      </c>
      <c r="AB17">
        <f>IF($X17=1,IFERROR(IF(VALUE($B17)&lt;100000000,VALUE($B17),1000000000),IFERROR(IF(VALUE(MID($B17,2,20))&lt;100000000,VALUE(MID($B17,2,20)),1000000000),1000000000))+ROW()/100000,"")</f>
        <v/>
      </c>
    </row>
    <row r="18">
      <c r="C18" s="11" t="n"/>
      <c r="J18" s="7">
        <f>IF($B18="","",I18*Q18/100)</f>
        <v/>
      </c>
      <c r="P18" s="7" t="n"/>
      <c r="Q18" s="7" t="n"/>
      <c r="T18">
        <f>IF($B18="","",IF($AA18=1,0,IF($Z18=1,Settings!$C$6,Settings!$C$7))*100)</f>
        <v/>
      </c>
      <c r="U18" s="7">
        <f>IF($B18="","",Q18*T18/100)</f>
        <v/>
      </c>
      <c r="V18" s="7">
        <f>IF($B18="","",Q18-U18)</f>
        <v/>
      </c>
      <c r="W18" s="7">
        <f>IF($B18="","",V18-J18)</f>
        <v/>
      </c>
      <c r="X18">
        <f>IF($B18="","",IF(COUNTIF($B$2:$B18,$B18)=1,1,0))</f>
        <v/>
      </c>
      <c r="Y18">
        <f>IF($X18=1,SUMPRODUCT(--($AB$2:$AB$301&lt;$AB18))+1,"")</f>
        <v/>
      </c>
      <c r="Z18">
        <f>IF($B18="","",IF(OR($M18=TRUE(),$M18="TRUE"),1,0))</f>
        <v/>
      </c>
      <c r="AA18">
        <f>IF($B18="","",IF($S18="Yes",1,0))</f>
        <v/>
      </c>
      <c r="AB18">
        <f>IF($X18=1,IFERROR(IF(VALUE($B18)&lt;100000000,VALUE($B18),1000000000),IFERROR(IF(VALUE(MID($B18,2,20))&lt;100000000,VALUE(MID($B18,2,20)),1000000000),1000000000))+ROW()/100000,"")</f>
        <v/>
      </c>
    </row>
    <row r="19">
      <c r="C19" s="11" t="n"/>
      <c r="J19" s="7">
        <f>IF($B19="","",I19*Q19/100)</f>
        <v/>
      </c>
      <c r="P19" s="7" t="n"/>
      <c r="Q19" s="7" t="n"/>
      <c r="T19">
        <f>IF($B19="","",IF($AA19=1,0,IF($Z19=1,Settings!$C$6,Settings!$C$7))*100)</f>
        <v/>
      </c>
      <c r="U19" s="7">
        <f>IF($B19="","",Q19*T19/100)</f>
        <v/>
      </c>
      <c r="V19" s="7">
        <f>IF($B19="","",Q19-U19)</f>
        <v/>
      </c>
      <c r="W19" s="7">
        <f>IF($B19="","",V19-J19)</f>
        <v/>
      </c>
      <c r="X19">
        <f>IF($B19="","",IF(COUNTIF($B$2:$B19,$B19)=1,1,0))</f>
        <v/>
      </c>
      <c r="Y19">
        <f>IF($X19=1,SUMPRODUCT(--($AB$2:$AB$301&lt;$AB19))+1,"")</f>
        <v/>
      </c>
      <c r="Z19">
        <f>IF($B19="","",IF(OR($M19=TRUE(),$M19="TRUE"),1,0))</f>
        <v/>
      </c>
      <c r="AA19">
        <f>IF($B19="","",IF($S19="Yes",1,0))</f>
        <v/>
      </c>
      <c r="AB19">
        <f>IF($X19=1,IFERROR(IF(VALUE($B19)&lt;100000000,VALUE($B19),1000000000),IFERROR(IF(VALUE(MID($B19,2,20))&lt;100000000,VALUE(MID($B19,2,20)),1000000000),1000000000))+ROW()/100000,"")</f>
        <v/>
      </c>
    </row>
    <row r="20">
      <c r="C20" s="11" t="n"/>
      <c r="J20" s="7">
        <f>IF($B20="","",I20*Q20/100)</f>
        <v/>
      </c>
      <c r="P20" s="7" t="n"/>
      <c r="Q20" s="7" t="n"/>
      <c r="T20">
        <f>IF($B20="","",IF($AA20=1,0,IF($Z20=1,Settings!$C$6,Settings!$C$7))*100)</f>
        <v/>
      </c>
      <c r="U20" s="7">
        <f>IF($B20="","",Q20*T20/100)</f>
        <v/>
      </c>
      <c r="V20" s="7">
        <f>IF($B20="","",Q20-U20)</f>
        <v/>
      </c>
      <c r="W20" s="7">
        <f>IF($B20="","",V20-J20)</f>
        <v/>
      </c>
      <c r="X20">
        <f>IF($B20="","",IF(COUNTIF($B$2:$B20,$B20)=1,1,0))</f>
        <v/>
      </c>
      <c r="Y20">
        <f>IF($X20=1,SUMPRODUCT(--($AB$2:$AB$301&lt;$AB20))+1,"")</f>
        <v/>
      </c>
      <c r="Z20">
        <f>IF($B20="","",IF(OR($M20=TRUE(),$M20="TRUE"),1,0))</f>
        <v/>
      </c>
      <c r="AA20">
        <f>IF($B20="","",IF($S20="Yes",1,0))</f>
        <v/>
      </c>
      <c r="AB20">
        <f>IF($X20=1,IFERROR(IF(VALUE($B20)&lt;100000000,VALUE($B20),1000000000),IFERROR(IF(VALUE(MID($B20,2,20))&lt;100000000,VALUE(MID($B20,2,20)),1000000000),1000000000))+ROW()/100000,"")</f>
        <v/>
      </c>
    </row>
    <row r="21">
      <c r="C21" s="11" t="n"/>
      <c r="J21" s="7">
        <f>IF($B21="","",I21*Q21/100)</f>
        <v/>
      </c>
      <c r="P21" s="7" t="n"/>
      <c r="Q21" s="7" t="n"/>
      <c r="T21">
        <f>IF($B21="","",IF($AA21=1,0,IF($Z21=1,Settings!$C$6,Settings!$C$7))*100)</f>
        <v/>
      </c>
      <c r="U21" s="7">
        <f>IF($B21="","",Q21*T21/100)</f>
        <v/>
      </c>
      <c r="V21" s="7">
        <f>IF($B21="","",Q21-U21)</f>
        <v/>
      </c>
      <c r="W21" s="7">
        <f>IF($B21="","",V21-J21)</f>
        <v/>
      </c>
      <c r="X21">
        <f>IF($B21="","",IF(COUNTIF($B$2:$B21,$B21)=1,1,0))</f>
        <v/>
      </c>
      <c r="Y21">
        <f>IF($X21=1,SUMPRODUCT(--($AB$2:$AB$301&lt;$AB21))+1,"")</f>
        <v/>
      </c>
      <c r="Z21">
        <f>IF($B21="","",IF(OR($M21=TRUE(),$M21="TRUE"),1,0))</f>
        <v/>
      </c>
      <c r="AA21">
        <f>IF($B21="","",IF($S21="Yes",1,0))</f>
        <v/>
      </c>
      <c r="AB21">
        <f>IF($X21=1,IFERROR(IF(VALUE($B21)&lt;100000000,VALUE($B21),1000000000),IFERROR(IF(VALUE(MID($B21,2,20))&lt;100000000,VALUE(MID($B21,2,20)),1000000000),1000000000))+ROW()/100000,"")</f>
        <v/>
      </c>
    </row>
    <row r="22">
      <c r="C22" s="11" t="n"/>
      <c r="J22" s="7">
        <f>IF($B22="","",I22*Q22/100)</f>
        <v/>
      </c>
      <c r="P22" s="7" t="n"/>
      <c r="Q22" s="7" t="n"/>
      <c r="T22">
        <f>IF($B22="","",IF($AA22=1,0,IF($Z22=1,Settings!$C$6,Settings!$C$7))*100)</f>
        <v/>
      </c>
      <c r="U22" s="7">
        <f>IF($B22="","",Q22*T22/100)</f>
        <v/>
      </c>
      <c r="V22" s="7">
        <f>IF($B22="","",Q22-U22)</f>
        <v/>
      </c>
      <c r="W22" s="7">
        <f>IF($B22="","",V22-J22)</f>
        <v/>
      </c>
      <c r="X22">
        <f>IF($B22="","",IF(COUNTIF($B$2:$B22,$B22)=1,1,0))</f>
        <v/>
      </c>
      <c r="Y22">
        <f>IF($X22=1,SUMPRODUCT(--($AB$2:$AB$301&lt;$AB22))+1,"")</f>
        <v/>
      </c>
      <c r="Z22">
        <f>IF($B22="","",IF(OR($M22=TRUE(),$M22="TRUE"),1,0))</f>
        <v/>
      </c>
      <c r="AA22">
        <f>IF($B22="","",IF($S22="Yes",1,0))</f>
        <v/>
      </c>
      <c r="AB22">
        <f>IF($X22=1,IFERROR(IF(VALUE($B22)&lt;100000000,VALUE($B22),1000000000),IFERROR(IF(VALUE(MID($B22,2,20))&lt;100000000,VALUE(MID($B22,2,20)),1000000000),1000000000))+ROW()/100000,"")</f>
        <v/>
      </c>
    </row>
    <row r="23">
      <c r="C23" s="11" t="n"/>
      <c r="J23" s="7">
        <f>IF($B23="","",I23*Q23/100)</f>
        <v/>
      </c>
      <c r="P23" s="7" t="n"/>
      <c r="Q23" s="7" t="n"/>
      <c r="T23">
        <f>IF($B23="","",IF($AA23=1,0,IF($Z23=1,Settings!$C$6,Settings!$C$7))*100)</f>
        <v/>
      </c>
      <c r="U23" s="7">
        <f>IF($B23="","",Q23*T23/100)</f>
        <v/>
      </c>
      <c r="V23" s="7">
        <f>IF($B23="","",Q23-U23)</f>
        <v/>
      </c>
      <c r="W23" s="7">
        <f>IF($B23="","",V23-J23)</f>
        <v/>
      </c>
      <c r="X23">
        <f>IF($B23="","",IF(COUNTIF($B$2:$B23,$B23)=1,1,0))</f>
        <v/>
      </c>
      <c r="Y23">
        <f>IF($X23=1,SUMPRODUCT(--($AB$2:$AB$301&lt;$AB23))+1,"")</f>
        <v/>
      </c>
      <c r="Z23">
        <f>IF($B23="","",IF(OR($M23=TRUE(),$M23="TRUE"),1,0))</f>
        <v/>
      </c>
      <c r="AA23">
        <f>IF($B23="","",IF($S23="Yes",1,0))</f>
        <v/>
      </c>
      <c r="AB23">
        <f>IF($X23=1,IFERROR(IF(VALUE($B23)&lt;100000000,VALUE($B23),1000000000),IFERROR(IF(VALUE(MID($B23,2,20))&lt;100000000,VALUE(MID($B23,2,20)),1000000000),1000000000))+ROW()/100000,"")</f>
        <v/>
      </c>
    </row>
    <row r="24">
      <c r="C24" s="11" t="n"/>
      <c r="J24" s="7">
        <f>IF($B24="","",I24*Q24/100)</f>
        <v/>
      </c>
      <c r="P24" s="7" t="n"/>
      <c r="Q24" s="7" t="n"/>
      <c r="T24">
        <f>IF($B24="","",IF($AA24=1,0,IF($Z24=1,Settings!$C$6,Settings!$C$7))*100)</f>
        <v/>
      </c>
      <c r="U24" s="7">
        <f>IF($B24="","",Q24*T24/100)</f>
        <v/>
      </c>
      <c r="V24" s="7">
        <f>IF($B24="","",Q24-U24)</f>
        <v/>
      </c>
      <c r="W24" s="7">
        <f>IF($B24="","",V24-J24)</f>
        <v/>
      </c>
      <c r="X24">
        <f>IF($B24="","",IF(COUNTIF($B$2:$B24,$B24)=1,1,0))</f>
        <v/>
      </c>
      <c r="Y24">
        <f>IF($X24=1,SUMPRODUCT(--($AB$2:$AB$301&lt;$AB24))+1,"")</f>
        <v/>
      </c>
      <c r="Z24">
        <f>IF($B24="","",IF(OR($M24=TRUE(),$M24="TRUE"),1,0))</f>
        <v/>
      </c>
      <c r="AA24">
        <f>IF($B24="","",IF($S24="Yes",1,0))</f>
        <v/>
      </c>
      <c r="AB24">
        <f>IF($X24=1,IFERROR(IF(VALUE($B24)&lt;100000000,VALUE($B24),1000000000),IFERROR(IF(VALUE(MID($B24,2,20))&lt;100000000,VALUE(MID($B24,2,20)),1000000000),1000000000))+ROW()/100000,"")</f>
        <v/>
      </c>
    </row>
    <row r="25">
      <c r="C25" s="11" t="n"/>
      <c r="J25" s="7">
        <f>IF($B25="","",I25*Q25/100)</f>
        <v/>
      </c>
      <c r="P25" s="7" t="n"/>
      <c r="Q25" s="7" t="n"/>
      <c r="T25">
        <f>IF($B25="","",IF($AA25=1,0,IF($Z25=1,Settings!$C$6,Settings!$C$7))*100)</f>
        <v/>
      </c>
      <c r="U25" s="7">
        <f>IF($B25="","",Q25*T25/100)</f>
        <v/>
      </c>
      <c r="V25" s="7">
        <f>IF($B25="","",Q25-U25)</f>
        <v/>
      </c>
      <c r="W25" s="7">
        <f>IF($B25="","",V25-J25)</f>
        <v/>
      </c>
      <c r="X25">
        <f>IF($B25="","",IF(COUNTIF($B$2:$B25,$B25)=1,1,0))</f>
        <v/>
      </c>
      <c r="Y25">
        <f>IF($X25=1,SUMPRODUCT(--($AB$2:$AB$301&lt;$AB25))+1,"")</f>
        <v/>
      </c>
      <c r="Z25">
        <f>IF($B25="","",IF(OR($M25=TRUE(),$M25="TRUE"),1,0))</f>
        <v/>
      </c>
      <c r="AA25">
        <f>IF($B25="","",IF($S25="Yes",1,0))</f>
        <v/>
      </c>
      <c r="AB25">
        <f>IF($X25=1,IFERROR(IF(VALUE($B25)&lt;100000000,VALUE($B25),1000000000),IFERROR(IF(VALUE(MID($B25,2,20))&lt;100000000,VALUE(MID($B25,2,20)),1000000000),1000000000))+ROW()/100000,"")</f>
        <v/>
      </c>
    </row>
    <row r="26">
      <c r="C26" s="11" t="n"/>
      <c r="J26" s="7">
        <f>IF($B26="","",I26*Q26/100)</f>
        <v/>
      </c>
      <c r="P26" s="7" t="n"/>
      <c r="Q26" s="7" t="n"/>
      <c r="T26">
        <f>IF($B26="","",IF($AA26=1,0,IF($Z26=1,Settings!$C$6,Settings!$C$7))*100)</f>
        <v/>
      </c>
      <c r="U26" s="7">
        <f>IF($B26="","",Q26*T26/100)</f>
        <v/>
      </c>
      <c r="V26" s="7">
        <f>IF($B26="","",Q26-U26)</f>
        <v/>
      </c>
      <c r="W26" s="7">
        <f>IF($B26="","",V26-J26)</f>
        <v/>
      </c>
      <c r="X26">
        <f>IF($B26="","",IF(COUNTIF($B$2:$B26,$B26)=1,1,0))</f>
        <v/>
      </c>
      <c r="Y26">
        <f>IF($X26=1,SUMPRODUCT(--($AB$2:$AB$301&lt;$AB26))+1,"")</f>
        <v/>
      </c>
      <c r="Z26">
        <f>IF($B26="","",IF(OR($M26=TRUE(),$M26="TRUE"),1,0))</f>
        <v/>
      </c>
      <c r="AA26">
        <f>IF($B26="","",IF($S26="Yes",1,0))</f>
        <v/>
      </c>
      <c r="AB26">
        <f>IF($X26=1,IFERROR(IF(VALUE($B26)&lt;100000000,VALUE($B26),1000000000),IFERROR(IF(VALUE(MID($B26,2,20))&lt;100000000,VALUE(MID($B26,2,20)),1000000000),1000000000))+ROW()/100000,"")</f>
        <v/>
      </c>
    </row>
    <row r="27">
      <c r="C27" s="11" t="n"/>
      <c r="J27" s="7">
        <f>IF($B27="","",I27*Q27/100)</f>
        <v/>
      </c>
      <c r="P27" s="7" t="n"/>
      <c r="Q27" s="7" t="n"/>
      <c r="T27">
        <f>IF($B27="","",IF($AA27=1,0,IF($Z27=1,Settings!$C$6,Settings!$C$7))*100)</f>
        <v/>
      </c>
      <c r="U27" s="7">
        <f>IF($B27="","",Q27*T27/100)</f>
        <v/>
      </c>
      <c r="V27" s="7">
        <f>IF($B27="","",Q27-U27)</f>
        <v/>
      </c>
      <c r="W27" s="7">
        <f>IF($B27="","",V27-J27)</f>
        <v/>
      </c>
      <c r="X27">
        <f>IF($B27="","",IF(COUNTIF($B$2:$B27,$B27)=1,1,0))</f>
        <v/>
      </c>
      <c r="Y27">
        <f>IF($X27=1,SUMPRODUCT(--($AB$2:$AB$301&lt;$AB27))+1,"")</f>
        <v/>
      </c>
      <c r="Z27">
        <f>IF($B27="","",IF(OR($M27=TRUE(),$M27="TRUE"),1,0))</f>
        <v/>
      </c>
      <c r="AA27">
        <f>IF($B27="","",IF($S27="Yes",1,0))</f>
        <v/>
      </c>
      <c r="AB27">
        <f>IF($X27=1,IFERROR(IF(VALUE($B27)&lt;100000000,VALUE($B27),1000000000),IFERROR(IF(VALUE(MID($B27,2,20))&lt;100000000,VALUE(MID($B27,2,20)),1000000000),1000000000))+ROW()/100000,"")</f>
        <v/>
      </c>
    </row>
    <row r="28">
      <c r="C28" s="11" t="n"/>
      <c r="J28" s="7">
        <f>IF($B28="","",I28*Q28/100)</f>
        <v/>
      </c>
      <c r="P28" s="7" t="n"/>
      <c r="Q28" s="7" t="n"/>
      <c r="T28">
        <f>IF($B28="","",IF($AA28=1,0,IF($Z28=1,Settings!$C$6,Settings!$C$7))*100)</f>
        <v/>
      </c>
      <c r="U28" s="7">
        <f>IF($B28="","",Q28*T28/100)</f>
        <v/>
      </c>
      <c r="V28" s="7">
        <f>IF($B28="","",Q28-U28)</f>
        <v/>
      </c>
      <c r="W28" s="7">
        <f>IF($B28="","",V28-J28)</f>
        <v/>
      </c>
      <c r="X28">
        <f>IF($B28="","",IF(COUNTIF($B$2:$B28,$B28)=1,1,0))</f>
        <v/>
      </c>
      <c r="Y28">
        <f>IF($X28=1,SUMPRODUCT(--($AB$2:$AB$301&lt;$AB28))+1,"")</f>
        <v/>
      </c>
      <c r="Z28">
        <f>IF($B28="","",IF(OR($M28=TRUE(),$M28="TRUE"),1,0))</f>
        <v/>
      </c>
      <c r="AA28">
        <f>IF($B28="","",IF($S28="Yes",1,0))</f>
        <v/>
      </c>
      <c r="AB28">
        <f>IF($X28=1,IFERROR(IF(VALUE($B28)&lt;100000000,VALUE($B28),1000000000),IFERROR(IF(VALUE(MID($B28,2,20))&lt;100000000,VALUE(MID($B28,2,20)),1000000000),1000000000))+ROW()/100000,"")</f>
        <v/>
      </c>
    </row>
    <row r="29">
      <c r="C29" s="11" t="n"/>
      <c r="J29" s="7">
        <f>IF($B29="","",I29*Q29/100)</f>
        <v/>
      </c>
      <c r="P29" s="7" t="n"/>
      <c r="Q29" s="7" t="n"/>
      <c r="T29">
        <f>IF($B29="","",IF($AA29=1,0,IF($Z29=1,Settings!$C$6,Settings!$C$7))*100)</f>
        <v/>
      </c>
      <c r="U29" s="7">
        <f>IF($B29="","",Q29*T29/100)</f>
        <v/>
      </c>
      <c r="V29" s="7">
        <f>IF($B29="","",Q29-U29)</f>
        <v/>
      </c>
      <c r="W29" s="7">
        <f>IF($B29="","",V29-J29)</f>
        <v/>
      </c>
      <c r="X29">
        <f>IF($B29="","",IF(COUNTIF($B$2:$B29,$B29)=1,1,0))</f>
        <v/>
      </c>
      <c r="Y29">
        <f>IF($X29=1,SUMPRODUCT(--($AB$2:$AB$301&lt;$AB29))+1,"")</f>
        <v/>
      </c>
      <c r="Z29">
        <f>IF($B29="","",IF(OR($M29=TRUE(),$M29="TRUE"),1,0))</f>
        <v/>
      </c>
      <c r="AA29">
        <f>IF($B29="","",IF($S29="Yes",1,0))</f>
        <v/>
      </c>
      <c r="AB29">
        <f>IF($X29=1,IFERROR(IF(VALUE($B29)&lt;100000000,VALUE($B29),1000000000),IFERROR(IF(VALUE(MID($B29,2,20))&lt;100000000,VALUE(MID($B29,2,20)),1000000000),1000000000))+ROW()/100000,"")</f>
        <v/>
      </c>
    </row>
    <row r="30">
      <c r="C30" s="11" t="n"/>
      <c r="J30" s="7">
        <f>IF($B30="","",I30*Q30/100)</f>
        <v/>
      </c>
      <c r="P30" s="7" t="n"/>
      <c r="Q30" s="7" t="n"/>
      <c r="T30">
        <f>IF($B30="","",IF($AA30=1,0,IF($Z30=1,Settings!$C$6,Settings!$C$7))*100)</f>
        <v/>
      </c>
      <c r="U30" s="7">
        <f>IF($B30="","",Q30*T30/100)</f>
        <v/>
      </c>
      <c r="V30" s="7">
        <f>IF($B30="","",Q30-U30)</f>
        <v/>
      </c>
      <c r="W30" s="7">
        <f>IF($B30="","",V30-J30)</f>
        <v/>
      </c>
      <c r="X30">
        <f>IF($B30="","",IF(COUNTIF($B$2:$B30,$B30)=1,1,0))</f>
        <v/>
      </c>
      <c r="Y30">
        <f>IF($X30=1,SUMPRODUCT(--($AB$2:$AB$301&lt;$AB30))+1,"")</f>
        <v/>
      </c>
      <c r="Z30">
        <f>IF($B30="","",IF(OR($M30=TRUE(),$M30="TRUE"),1,0))</f>
        <v/>
      </c>
      <c r="AA30">
        <f>IF($B30="","",IF($S30="Yes",1,0))</f>
        <v/>
      </c>
      <c r="AB30">
        <f>IF($X30=1,IFERROR(IF(VALUE($B30)&lt;100000000,VALUE($B30),1000000000),IFERROR(IF(VALUE(MID($B30,2,20))&lt;100000000,VALUE(MID($B30,2,20)),1000000000),1000000000))+ROW()/100000,"")</f>
        <v/>
      </c>
    </row>
    <row r="31">
      <c r="C31" s="11" t="n"/>
      <c r="J31" s="7">
        <f>IF($B31="","",I31*Q31/100)</f>
        <v/>
      </c>
      <c r="P31" s="7" t="n"/>
      <c r="Q31" s="7" t="n"/>
      <c r="T31">
        <f>IF($B31="","",IF($AA31=1,0,IF($Z31=1,Settings!$C$6,Settings!$C$7))*100)</f>
        <v/>
      </c>
      <c r="U31" s="7">
        <f>IF($B31="","",Q31*T31/100)</f>
        <v/>
      </c>
      <c r="V31" s="7">
        <f>IF($B31="","",Q31-U31)</f>
        <v/>
      </c>
      <c r="W31" s="7">
        <f>IF($B31="","",V31-J31)</f>
        <v/>
      </c>
      <c r="X31">
        <f>IF($B31="","",IF(COUNTIF($B$2:$B31,$B31)=1,1,0))</f>
        <v/>
      </c>
      <c r="Y31">
        <f>IF($X31=1,SUMPRODUCT(--($AB$2:$AB$301&lt;$AB31))+1,"")</f>
        <v/>
      </c>
      <c r="Z31">
        <f>IF($B31="","",IF(OR($M31=TRUE(),$M31="TRUE"),1,0))</f>
        <v/>
      </c>
      <c r="AA31">
        <f>IF($B31="","",IF($S31="Yes",1,0))</f>
        <v/>
      </c>
      <c r="AB31">
        <f>IF($X31=1,IFERROR(IF(VALUE($B31)&lt;100000000,VALUE($B31),1000000000),IFERROR(IF(VALUE(MID($B31,2,20))&lt;100000000,VALUE(MID($B31,2,20)),1000000000),1000000000))+ROW()/100000,"")</f>
        <v/>
      </c>
    </row>
    <row r="32">
      <c r="C32" s="11" t="n"/>
      <c r="J32" s="7">
        <f>IF($B32="","",I32*Q32/100)</f>
        <v/>
      </c>
      <c r="P32" s="7" t="n"/>
      <c r="Q32" s="7" t="n"/>
      <c r="T32">
        <f>IF($B32="","",IF($AA32=1,0,IF($Z32=1,Settings!$C$6,Settings!$C$7))*100)</f>
        <v/>
      </c>
      <c r="U32" s="7">
        <f>IF($B32="","",Q32*T32/100)</f>
        <v/>
      </c>
      <c r="V32" s="7">
        <f>IF($B32="","",Q32-U32)</f>
        <v/>
      </c>
      <c r="W32" s="7">
        <f>IF($B32="","",V32-J32)</f>
        <v/>
      </c>
      <c r="X32">
        <f>IF($B32="","",IF(COUNTIF($B$2:$B32,$B32)=1,1,0))</f>
        <v/>
      </c>
      <c r="Y32">
        <f>IF($X32=1,SUMPRODUCT(--($AB$2:$AB$301&lt;$AB32))+1,"")</f>
        <v/>
      </c>
      <c r="Z32">
        <f>IF($B32="","",IF(OR($M32=TRUE(),$M32="TRUE"),1,0))</f>
        <v/>
      </c>
      <c r="AA32">
        <f>IF($B32="","",IF($S32="Yes",1,0))</f>
        <v/>
      </c>
      <c r="AB32">
        <f>IF($X32=1,IFERROR(IF(VALUE($B32)&lt;100000000,VALUE($B32),1000000000),IFERROR(IF(VALUE(MID($B32,2,20))&lt;100000000,VALUE(MID($B32,2,20)),1000000000),1000000000))+ROW()/100000,"")</f>
        <v/>
      </c>
    </row>
    <row r="33">
      <c r="C33" s="11" t="n"/>
      <c r="J33" s="7">
        <f>IF($B33="","",I33*Q33/100)</f>
        <v/>
      </c>
      <c r="P33" s="7" t="n"/>
      <c r="Q33" s="7" t="n"/>
      <c r="T33">
        <f>IF($B33="","",IF($AA33=1,0,IF($Z33=1,Settings!$C$6,Settings!$C$7))*100)</f>
        <v/>
      </c>
      <c r="U33" s="7">
        <f>IF($B33="","",Q33*T33/100)</f>
        <v/>
      </c>
      <c r="V33" s="7">
        <f>IF($B33="","",Q33-U33)</f>
        <v/>
      </c>
      <c r="W33" s="7">
        <f>IF($B33="","",V33-J33)</f>
        <v/>
      </c>
      <c r="X33">
        <f>IF($B33="","",IF(COUNTIF($B$2:$B33,$B33)=1,1,0))</f>
        <v/>
      </c>
      <c r="Y33">
        <f>IF($X33=1,SUMPRODUCT(--($AB$2:$AB$301&lt;$AB33))+1,"")</f>
        <v/>
      </c>
      <c r="Z33">
        <f>IF($B33="","",IF(OR($M33=TRUE(),$M33="TRUE"),1,0))</f>
        <v/>
      </c>
      <c r="AA33">
        <f>IF($B33="","",IF($S33="Yes",1,0))</f>
        <v/>
      </c>
      <c r="AB33">
        <f>IF($X33=1,IFERROR(IF(VALUE($B33)&lt;100000000,VALUE($B33),1000000000),IFERROR(IF(VALUE(MID($B33,2,20))&lt;100000000,VALUE(MID($B33,2,20)),1000000000),1000000000))+ROW()/100000,"")</f>
        <v/>
      </c>
    </row>
    <row r="34">
      <c r="C34" s="11" t="n"/>
      <c r="J34" s="7">
        <f>IF($B34="","",I34*Q34/100)</f>
        <v/>
      </c>
      <c r="P34" s="7" t="n"/>
      <c r="Q34" s="7" t="n"/>
      <c r="T34">
        <f>IF($B34="","",IF($AA34=1,0,IF($Z34=1,Settings!$C$6,Settings!$C$7))*100)</f>
        <v/>
      </c>
      <c r="U34" s="7">
        <f>IF($B34="","",Q34*T34/100)</f>
        <v/>
      </c>
      <c r="V34" s="7">
        <f>IF($B34="","",Q34-U34)</f>
        <v/>
      </c>
      <c r="W34" s="7">
        <f>IF($B34="","",V34-J34)</f>
        <v/>
      </c>
      <c r="X34">
        <f>IF($B34="","",IF(COUNTIF($B$2:$B34,$B34)=1,1,0))</f>
        <v/>
      </c>
      <c r="Y34">
        <f>IF($X34=1,SUMPRODUCT(--($AB$2:$AB$301&lt;$AB34))+1,"")</f>
        <v/>
      </c>
      <c r="Z34">
        <f>IF($B34="","",IF(OR($M34=TRUE(),$M34="TRUE"),1,0))</f>
        <v/>
      </c>
      <c r="AA34">
        <f>IF($B34="","",IF($S34="Yes",1,0))</f>
        <v/>
      </c>
      <c r="AB34">
        <f>IF($X34=1,IFERROR(IF(VALUE($B34)&lt;100000000,VALUE($B34),1000000000),IFERROR(IF(VALUE(MID($B34,2,20))&lt;100000000,VALUE(MID($B34,2,20)),1000000000),1000000000))+ROW()/100000,"")</f>
        <v/>
      </c>
    </row>
    <row r="35">
      <c r="C35" s="11" t="n"/>
      <c r="J35" s="7">
        <f>IF($B35="","",I35*Q35/100)</f>
        <v/>
      </c>
      <c r="P35" s="7" t="n"/>
      <c r="Q35" s="7" t="n"/>
      <c r="T35">
        <f>IF($B35="","",IF($AA35=1,0,IF($Z35=1,Settings!$C$6,Settings!$C$7))*100)</f>
        <v/>
      </c>
      <c r="U35" s="7">
        <f>IF($B35="","",Q35*T35/100)</f>
        <v/>
      </c>
      <c r="V35" s="7">
        <f>IF($B35="","",Q35-U35)</f>
        <v/>
      </c>
      <c r="W35" s="7">
        <f>IF($B35="","",V35-J35)</f>
        <v/>
      </c>
      <c r="X35">
        <f>IF($B35="","",IF(COUNTIF($B$2:$B35,$B35)=1,1,0))</f>
        <v/>
      </c>
      <c r="Y35">
        <f>IF($X35=1,SUMPRODUCT(--($AB$2:$AB$301&lt;$AB35))+1,"")</f>
        <v/>
      </c>
      <c r="Z35">
        <f>IF($B35="","",IF(OR($M35=TRUE(),$M35="TRUE"),1,0))</f>
        <v/>
      </c>
      <c r="AA35">
        <f>IF($B35="","",IF($S35="Yes",1,0))</f>
        <v/>
      </c>
      <c r="AB35">
        <f>IF($X35=1,IFERROR(IF(VALUE($B35)&lt;100000000,VALUE($B35),1000000000),IFERROR(IF(VALUE(MID($B35,2,20))&lt;100000000,VALUE(MID($B35,2,20)),1000000000),1000000000))+ROW()/100000,"")</f>
        <v/>
      </c>
    </row>
    <row r="36">
      <c r="C36" s="11" t="n"/>
      <c r="J36" s="7">
        <f>IF($B36="","",I36*Q36/100)</f>
        <v/>
      </c>
      <c r="P36" s="7" t="n"/>
      <c r="Q36" s="7" t="n"/>
      <c r="T36">
        <f>IF($B36="","",IF($AA36=1,0,IF($Z36=1,Settings!$C$6,Settings!$C$7))*100)</f>
        <v/>
      </c>
      <c r="U36" s="7">
        <f>IF($B36="","",Q36*T36/100)</f>
        <v/>
      </c>
      <c r="V36" s="7">
        <f>IF($B36="","",Q36-U36)</f>
        <v/>
      </c>
      <c r="W36" s="7">
        <f>IF($B36="","",V36-J36)</f>
        <v/>
      </c>
      <c r="X36">
        <f>IF($B36="","",IF(COUNTIF($B$2:$B36,$B36)=1,1,0))</f>
        <v/>
      </c>
      <c r="Y36">
        <f>IF($X36=1,SUMPRODUCT(--($AB$2:$AB$301&lt;$AB36))+1,"")</f>
        <v/>
      </c>
      <c r="Z36">
        <f>IF($B36="","",IF(OR($M36=TRUE(),$M36="TRUE"),1,0))</f>
        <v/>
      </c>
      <c r="AA36">
        <f>IF($B36="","",IF($S36="Yes",1,0))</f>
        <v/>
      </c>
      <c r="AB36">
        <f>IF($X36=1,IFERROR(IF(VALUE($B36)&lt;100000000,VALUE($B36),1000000000),IFERROR(IF(VALUE(MID($B36,2,20))&lt;100000000,VALUE(MID($B36,2,20)),1000000000),1000000000))+ROW()/100000,"")</f>
        <v/>
      </c>
    </row>
    <row r="37">
      <c r="C37" s="11" t="n"/>
      <c r="J37" s="7">
        <f>IF($B37="","",I37*Q37/100)</f>
        <v/>
      </c>
      <c r="P37" s="7" t="n"/>
      <c r="Q37" s="7" t="n"/>
      <c r="T37">
        <f>IF($B37="","",IF($AA37=1,0,IF($Z37=1,Settings!$C$6,Settings!$C$7))*100)</f>
        <v/>
      </c>
      <c r="U37" s="7">
        <f>IF($B37="","",Q37*T37/100)</f>
        <v/>
      </c>
      <c r="V37" s="7">
        <f>IF($B37="","",Q37-U37)</f>
        <v/>
      </c>
      <c r="W37" s="7">
        <f>IF($B37="","",V37-J37)</f>
        <v/>
      </c>
      <c r="X37">
        <f>IF($B37="","",IF(COUNTIF($B$2:$B37,$B37)=1,1,0))</f>
        <v/>
      </c>
      <c r="Y37">
        <f>IF($X37=1,SUMPRODUCT(--($AB$2:$AB$301&lt;$AB37))+1,"")</f>
        <v/>
      </c>
      <c r="Z37">
        <f>IF($B37="","",IF(OR($M37=TRUE(),$M37="TRUE"),1,0))</f>
        <v/>
      </c>
      <c r="AA37">
        <f>IF($B37="","",IF($S37="Yes",1,0))</f>
        <v/>
      </c>
      <c r="AB37">
        <f>IF($X37=1,IFERROR(IF(VALUE($B37)&lt;100000000,VALUE($B37),1000000000),IFERROR(IF(VALUE(MID($B37,2,20))&lt;100000000,VALUE(MID($B37,2,20)),1000000000),1000000000))+ROW()/100000,"")</f>
        <v/>
      </c>
    </row>
    <row r="38">
      <c r="C38" s="11" t="n"/>
      <c r="J38" s="7">
        <f>IF($B38="","",I38*Q38/100)</f>
        <v/>
      </c>
      <c r="P38" s="7" t="n"/>
      <c r="Q38" s="7" t="n"/>
      <c r="T38">
        <f>IF($B38="","",IF($AA38=1,0,IF($Z38=1,Settings!$C$6,Settings!$C$7))*100)</f>
        <v/>
      </c>
      <c r="U38" s="7">
        <f>IF($B38="","",Q38*T38/100)</f>
        <v/>
      </c>
      <c r="V38" s="7">
        <f>IF($B38="","",Q38-U38)</f>
        <v/>
      </c>
      <c r="W38" s="7">
        <f>IF($B38="","",V38-J38)</f>
        <v/>
      </c>
      <c r="X38">
        <f>IF($B38="","",IF(COUNTIF($B$2:$B38,$B38)=1,1,0))</f>
        <v/>
      </c>
      <c r="Y38">
        <f>IF($X38=1,SUMPRODUCT(--($AB$2:$AB$301&lt;$AB38))+1,"")</f>
        <v/>
      </c>
      <c r="Z38">
        <f>IF($B38="","",IF(OR($M38=TRUE(),$M38="TRUE"),1,0))</f>
        <v/>
      </c>
      <c r="AA38">
        <f>IF($B38="","",IF($S38="Yes",1,0))</f>
        <v/>
      </c>
      <c r="AB38">
        <f>IF($X38=1,IFERROR(IF(VALUE($B38)&lt;100000000,VALUE($B38),1000000000),IFERROR(IF(VALUE(MID($B38,2,20))&lt;100000000,VALUE(MID($B38,2,20)),1000000000),1000000000))+ROW()/100000,"")</f>
        <v/>
      </c>
    </row>
    <row r="39">
      <c r="C39" s="11" t="n"/>
      <c r="J39" s="7">
        <f>IF($B39="","",I39*Q39/100)</f>
        <v/>
      </c>
      <c r="P39" s="7" t="n"/>
      <c r="Q39" s="7" t="n"/>
      <c r="T39">
        <f>IF($B39="","",IF($AA39=1,0,IF($Z39=1,Settings!$C$6,Settings!$C$7))*100)</f>
        <v/>
      </c>
      <c r="U39" s="7">
        <f>IF($B39="","",Q39*T39/100)</f>
        <v/>
      </c>
      <c r="V39" s="7">
        <f>IF($B39="","",Q39-U39)</f>
        <v/>
      </c>
      <c r="W39" s="7">
        <f>IF($B39="","",V39-J39)</f>
        <v/>
      </c>
      <c r="X39">
        <f>IF($B39="","",IF(COUNTIF($B$2:$B39,$B39)=1,1,0))</f>
        <v/>
      </c>
      <c r="Y39">
        <f>IF($X39=1,SUMPRODUCT(--($AB$2:$AB$301&lt;$AB39))+1,"")</f>
        <v/>
      </c>
      <c r="Z39">
        <f>IF($B39="","",IF(OR($M39=TRUE(),$M39="TRUE"),1,0))</f>
        <v/>
      </c>
      <c r="AA39">
        <f>IF($B39="","",IF($S39="Yes",1,0))</f>
        <v/>
      </c>
      <c r="AB39">
        <f>IF($X39=1,IFERROR(IF(VALUE($B39)&lt;100000000,VALUE($B39),1000000000),IFERROR(IF(VALUE(MID($B39,2,20))&lt;100000000,VALUE(MID($B39,2,20)),1000000000),1000000000))+ROW()/100000,"")</f>
        <v/>
      </c>
    </row>
    <row r="40">
      <c r="C40" s="11" t="n"/>
      <c r="J40" s="7">
        <f>IF($B40="","",I40*Q40/100)</f>
        <v/>
      </c>
      <c r="P40" s="7" t="n"/>
      <c r="Q40" s="7" t="n"/>
      <c r="T40">
        <f>IF($B40="","",IF($AA40=1,0,IF($Z40=1,Settings!$C$6,Settings!$C$7))*100)</f>
        <v/>
      </c>
      <c r="U40" s="7">
        <f>IF($B40="","",Q40*T40/100)</f>
        <v/>
      </c>
      <c r="V40" s="7">
        <f>IF($B40="","",Q40-U40)</f>
        <v/>
      </c>
      <c r="W40" s="7">
        <f>IF($B40="","",V40-J40)</f>
        <v/>
      </c>
      <c r="X40">
        <f>IF($B40="","",IF(COUNTIF($B$2:$B40,$B40)=1,1,0))</f>
        <v/>
      </c>
      <c r="Y40">
        <f>IF($X40=1,SUMPRODUCT(--($AB$2:$AB$301&lt;$AB40))+1,"")</f>
        <v/>
      </c>
      <c r="Z40">
        <f>IF($B40="","",IF(OR($M40=TRUE(),$M40="TRUE"),1,0))</f>
        <v/>
      </c>
      <c r="AA40">
        <f>IF($B40="","",IF($S40="Yes",1,0))</f>
        <v/>
      </c>
      <c r="AB40">
        <f>IF($X40=1,IFERROR(IF(VALUE($B40)&lt;100000000,VALUE($B40),1000000000),IFERROR(IF(VALUE(MID($B40,2,20))&lt;100000000,VALUE(MID($B40,2,20)),1000000000),1000000000))+ROW()/100000,"")</f>
        <v/>
      </c>
    </row>
    <row r="41">
      <c r="C41" s="11" t="n"/>
      <c r="J41" s="7">
        <f>IF($B41="","",I41*Q41/100)</f>
        <v/>
      </c>
      <c r="P41" s="7" t="n"/>
      <c r="Q41" s="7" t="n"/>
      <c r="T41">
        <f>IF($B41="","",IF($AA41=1,0,IF($Z41=1,Settings!$C$6,Settings!$C$7))*100)</f>
        <v/>
      </c>
      <c r="U41" s="7">
        <f>IF($B41="","",Q41*T41/100)</f>
        <v/>
      </c>
      <c r="V41" s="7">
        <f>IF($B41="","",Q41-U41)</f>
        <v/>
      </c>
      <c r="W41" s="7">
        <f>IF($B41="","",V41-J41)</f>
        <v/>
      </c>
      <c r="X41">
        <f>IF($B41="","",IF(COUNTIF($B$2:$B41,$B41)=1,1,0))</f>
        <v/>
      </c>
      <c r="Y41">
        <f>IF($X41=1,SUMPRODUCT(--($AB$2:$AB$301&lt;$AB41))+1,"")</f>
        <v/>
      </c>
      <c r="Z41">
        <f>IF($B41="","",IF(OR($M41=TRUE(),$M41="TRUE"),1,0))</f>
        <v/>
      </c>
      <c r="AA41">
        <f>IF($B41="","",IF($S41="Yes",1,0))</f>
        <v/>
      </c>
      <c r="AB41">
        <f>IF($X41=1,IFERROR(IF(VALUE($B41)&lt;100000000,VALUE($B41),1000000000),IFERROR(IF(VALUE(MID($B41,2,20))&lt;100000000,VALUE(MID($B41,2,20)),1000000000),1000000000))+ROW()/100000,"")</f>
        <v/>
      </c>
    </row>
    <row r="42">
      <c r="C42" s="11" t="n"/>
      <c r="J42" s="7">
        <f>IF($B42="","",I42*Q42/100)</f>
        <v/>
      </c>
      <c r="P42" s="7" t="n"/>
      <c r="Q42" s="7" t="n"/>
      <c r="T42">
        <f>IF($B42="","",IF($AA42=1,0,IF($Z42=1,Settings!$C$6,Settings!$C$7))*100)</f>
        <v/>
      </c>
      <c r="U42" s="7">
        <f>IF($B42="","",Q42*T42/100)</f>
        <v/>
      </c>
      <c r="V42" s="7">
        <f>IF($B42="","",Q42-U42)</f>
        <v/>
      </c>
      <c r="W42" s="7">
        <f>IF($B42="","",V42-J42)</f>
        <v/>
      </c>
      <c r="X42">
        <f>IF($B42="","",IF(COUNTIF($B$2:$B42,$B42)=1,1,0))</f>
        <v/>
      </c>
      <c r="Y42">
        <f>IF($X42=1,SUMPRODUCT(--($AB$2:$AB$301&lt;$AB42))+1,"")</f>
        <v/>
      </c>
      <c r="Z42">
        <f>IF($B42="","",IF(OR($M42=TRUE(),$M42="TRUE"),1,0))</f>
        <v/>
      </c>
      <c r="AA42">
        <f>IF($B42="","",IF($S42="Yes",1,0))</f>
        <v/>
      </c>
      <c r="AB42">
        <f>IF($X42=1,IFERROR(IF(VALUE($B42)&lt;100000000,VALUE($B42),1000000000),IFERROR(IF(VALUE(MID($B42,2,20))&lt;100000000,VALUE(MID($B42,2,20)),1000000000),1000000000))+ROW()/100000,"")</f>
        <v/>
      </c>
    </row>
    <row r="43">
      <c r="C43" s="11" t="n"/>
      <c r="J43" s="7">
        <f>IF($B43="","",I43*Q43/100)</f>
        <v/>
      </c>
      <c r="P43" s="7" t="n"/>
      <c r="Q43" s="7" t="n"/>
      <c r="T43">
        <f>IF($B43="","",IF($AA43=1,0,IF($Z43=1,Settings!$C$6,Settings!$C$7))*100)</f>
        <v/>
      </c>
      <c r="U43" s="7">
        <f>IF($B43="","",Q43*T43/100)</f>
        <v/>
      </c>
      <c r="V43" s="7">
        <f>IF($B43="","",Q43-U43)</f>
        <v/>
      </c>
      <c r="W43" s="7">
        <f>IF($B43="","",V43-J43)</f>
        <v/>
      </c>
      <c r="X43">
        <f>IF($B43="","",IF(COUNTIF($B$2:$B43,$B43)=1,1,0))</f>
        <v/>
      </c>
      <c r="Y43">
        <f>IF($X43=1,SUMPRODUCT(--($AB$2:$AB$301&lt;$AB43))+1,"")</f>
        <v/>
      </c>
      <c r="Z43">
        <f>IF($B43="","",IF(OR($M43=TRUE(),$M43="TRUE"),1,0))</f>
        <v/>
      </c>
      <c r="AA43">
        <f>IF($B43="","",IF($S43="Yes",1,0))</f>
        <v/>
      </c>
      <c r="AB43">
        <f>IF($X43=1,IFERROR(IF(VALUE($B43)&lt;100000000,VALUE($B43),1000000000),IFERROR(IF(VALUE(MID($B43,2,20))&lt;100000000,VALUE(MID($B43,2,20)),1000000000),1000000000))+ROW()/100000,"")</f>
        <v/>
      </c>
    </row>
    <row r="44">
      <c r="C44" s="11" t="n"/>
      <c r="J44" s="7">
        <f>IF($B44="","",I44*Q44/100)</f>
        <v/>
      </c>
      <c r="P44" s="7" t="n"/>
      <c r="Q44" s="7" t="n"/>
      <c r="T44">
        <f>IF($B44="","",IF($AA44=1,0,IF($Z44=1,Settings!$C$6,Settings!$C$7))*100)</f>
        <v/>
      </c>
      <c r="U44" s="7">
        <f>IF($B44="","",Q44*T44/100)</f>
        <v/>
      </c>
      <c r="V44" s="7">
        <f>IF($B44="","",Q44-U44)</f>
        <v/>
      </c>
      <c r="W44" s="7">
        <f>IF($B44="","",V44-J44)</f>
        <v/>
      </c>
      <c r="X44">
        <f>IF($B44="","",IF(COUNTIF($B$2:$B44,$B44)=1,1,0))</f>
        <v/>
      </c>
      <c r="Y44">
        <f>IF($X44=1,SUMPRODUCT(--($AB$2:$AB$301&lt;$AB44))+1,"")</f>
        <v/>
      </c>
      <c r="Z44">
        <f>IF($B44="","",IF(OR($M44=TRUE(),$M44="TRUE"),1,0))</f>
        <v/>
      </c>
      <c r="AA44">
        <f>IF($B44="","",IF($S44="Yes",1,0))</f>
        <v/>
      </c>
      <c r="AB44">
        <f>IF($X44=1,IFERROR(IF(VALUE($B44)&lt;100000000,VALUE($B44),1000000000),IFERROR(IF(VALUE(MID($B44,2,20))&lt;100000000,VALUE(MID($B44,2,20)),1000000000),1000000000))+ROW()/100000,"")</f>
        <v/>
      </c>
    </row>
    <row r="45">
      <c r="C45" s="11" t="n"/>
      <c r="J45" s="7">
        <f>IF($B45="","",I45*Q45/100)</f>
        <v/>
      </c>
      <c r="P45" s="7" t="n"/>
      <c r="Q45" s="7" t="n"/>
      <c r="T45">
        <f>IF($B45="","",IF($AA45=1,0,IF($Z45=1,Settings!$C$6,Settings!$C$7))*100)</f>
        <v/>
      </c>
      <c r="U45" s="7">
        <f>IF($B45="","",Q45*T45/100)</f>
        <v/>
      </c>
      <c r="V45" s="7">
        <f>IF($B45="","",Q45-U45)</f>
        <v/>
      </c>
      <c r="W45" s="7">
        <f>IF($B45="","",V45-J45)</f>
        <v/>
      </c>
      <c r="X45">
        <f>IF($B45="","",IF(COUNTIF($B$2:$B45,$B45)=1,1,0))</f>
        <v/>
      </c>
      <c r="Y45">
        <f>IF($X45=1,SUMPRODUCT(--($AB$2:$AB$301&lt;$AB45))+1,"")</f>
        <v/>
      </c>
      <c r="Z45">
        <f>IF($B45="","",IF(OR($M45=TRUE(),$M45="TRUE"),1,0))</f>
        <v/>
      </c>
      <c r="AA45">
        <f>IF($B45="","",IF($S45="Yes",1,0))</f>
        <v/>
      </c>
      <c r="AB45">
        <f>IF($X45=1,IFERROR(IF(VALUE($B45)&lt;100000000,VALUE($B45),1000000000),IFERROR(IF(VALUE(MID($B45,2,20))&lt;100000000,VALUE(MID($B45,2,20)),1000000000),1000000000))+ROW()/100000,"")</f>
        <v/>
      </c>
    </row>
    <row r="46">
      <c r="C46" s="11" t="n"/>
      <c r="J46" s="7">
        <f>IF($B46="","",I46*Q46/100)</f>
        <v/>
      </c>
      <c r="P46" s="7" t="n"/>
      <c r="Q46" s="7" t="n"/>
      <c r="T46">
        <f>IF($B46="","",IF($AA46=1,0,IF($Z46=1,Settings!$C$6,Settings!$C$7))*100)</f>
        <v/>
      </c>
      <c r="U46" s="7">
        <f>IF($B46="","",Q46*T46/100)</f>
        <v/>
      </c>
      <c r="V46" s="7">
        <f>IF($B46="","",Q46-U46)</f>
        <v/>
      </c>
      <c r="W46" s="7">
        <f>IF($B46="","",V46-J46)</f>
        <v/>
      </c>
      <c r="X46">
        <f>IF($B46="","",IF(COUNTIF($B$2:$B46,$B46)=1,1,0))</f>
        <v/>
      </c>
      <c r="Y46">
        <f>IF($X46=1,SUMPRODUCT(--($AB$2:$AB$301&lt;$AB46))+1,"")</f>
        <v/>
      </c>
      <c r="Z46">
        <f>IF($B46="","",IF(OR($M46=TRUE(),$M46="TRUE"),1,0))</f>
        <v/>
      </c>
      <c r="AA46">
        <f>IF($B46="","",IF($S46="Yes",1,0))</f>
        <v/>
      </c>
      <c r="AB46">
        <f>IF($X46=1,IFERROR(IF(VALUE($B46)&lt;100000000,VALUE($B46),1000000000),IFERROR(IF(VALUE(MID($B46,2,20))&lt;100000000,VALUE(MID($B46,2,20)),1000000000),1000000000))+ROW()/100000,"")</f>
        <v/>
      </c>
    </row>
    <row r="47">
      <c r="C47" s="11" t="n"/>
      <c r="J47" s="7">
        <f>IF($B47="","",I47*Q47/100)</f>
        <v/>
      </c>
      <c r="P47" s="7" t="n"/>
      <c r="Q47" s="7" t="n"/>
      <c r="T47">
        <f>IF($B47="","",IF($AA47=1,0,IF($Z47=1,Settings!$C$6,Settings!$C$7))*100)</f>
        <v/>
      </c>
      <c r="U47" s="7">
        <f>IF($B47="","",Q47*T47/100)</f>
        <v/>
      </c>
      <c r="V47" s="7">
        <f>IF($B47="","",Q47-U47)</f>
        <v/>
      </c>
      <c r="W47" s="7">
        <f>IF($B47="","",V47-J47)</f>
        <v/>
      </c>
      <c r="X47">
        <f>IF($B47="","",IF(COUNTIF($B$2:$B47,$B47)=1,1,0))</f>
        <v/>
      </c>
      <c r="Y47">
        <f>IF($X47=1,SUMPRODUCT(--($AB$2:$AB$301&lt;$AB47))+1,"")</f>
        <v/>
      </c>
      <c r="Z47">
        <f>IF($B47="","",IF(OR($M47=TRUE(),$M47="TRUE"),1,0))</f>
        <v/>
      </c>
      <c r="AA47">
        <f>IF($B47="","",IF($S47="Yes",1,0))</f>
        <v/>
      </c>
      <c r="AB47">
        <f>IF($X47=1,IFERROR(IF(VALUE($B47)&lt;100000000,VALUE($B47),1000000000),IFERROR(IF(VALUE(MID($B47,2,20))&lt;100000000,VALUE(MID($B47,2,20)),1000000000),1000000000))+ROW()/100000,"")</f>
        <v/>
      </c>
    </row>
    <row r="48">
      <c r="C48" s="11" t="n"/>
      <c r="J48" s="7">
        <f>IF($B48="","",I48*Q48/100)</f>
        <v/>
      </c>
      <c r="P48" s="7" t="n"/>
      <c r="Q48" s="7" t="n"/>
      <c r="T48">
        <f>IF($B48="","",IF($AA48=1,0,IF($Z48=1,Settings!$C$6,Settings!$C$7))*100)</f>
        <v/>
      </c>
      <c r="U48" s="7">
        <f>IF($B48="","",Q48*T48/100)</f>
        <v/>
      </c>
      <c r="V48" s="7">
        <f>IF($B48="","",Q48-U48)</f>
        <v/>
      </c>
      <c r="W48" s="7">
        <f>IF($B48="","",V48-J48)</f>
        <v/>
      </c>
      <c r="X48">
        <f>IF($B48="","",IF(COUNTIF($B$2:$B48,$B48)=1,1,0))</f>
        <v/>
      </c>
      <c r="Y48">
        <f>IF($X48=1,SUMPRODUCT(--($AB$2:$AB$301&lt;$AB48))+1,"")</f>
        <v/>
      </c>
      <c r="Z48">
        <f>IF($B48="","",IF(OR($M48=TRUE(),$M48="TRUE"),1,0))</f>
        <v/>
      </c>
      <c r="AA48">
        <f>IF($B48="","",IF($S48="Yes",1,0))</f>
        <v/>
      </c>
      <c r="AB48">
        <f>IF($X48=1,IFERROR(IF(VALUE($B48)&lt;100000000,VALUE($B48),1000000000),IFERROR(IF(VALUE(MID($B48,2,20))&lt;100000000,VALUE(MID($B48,2,20)),1000000000),1000000000))+ROW()/100000,"")</f>
        <v/>
      </c>
    </row>
    <row r="49">
      <c r="C49" s="11" t="n"/>
      <c r="J49" s="7">
        <f>IF($B49="","",I49*Q49/100)</f>
        <v/>
      </c>
      <c r="P49" s="7" t="n"/>
      <c r="Q49" s="7" t="n"/>
      <c r="T49">
        <f>IF($B49="","",IF($AA49=1,0,IF($Z49=1,Settings!$C$6,Settings!$C$7))*100)</f>
        <v/>
      </c>
      <c r="U49" s="7">
        <f>IF($B49="","",Q49*T49/100)</f>
        <v/>
      </c>
      <c r="V49" s="7">
        <f>IF($B49="","",Q49-U49)</f>
        <v/>
      </c>
      <c r="W49" s="7">
        <f>IF($B49="","",V49-J49)</f>
        <v/>
      </c>
      <c r="X49">
        <f>IF($B49="","",IF(COUNTIF($B$2:$B49,$B49)=1,1,0))</f>
        <v/>
      </c>
      <c r="Y49">
        <f>IF($X49=1,SUMPRODUCT(--($AB$2:$AB$301&lt;$AB49))+1,"")</f>
        <v/>
      </c>
      <c r="Z49">
        <f>IF($B49="","",IF(OR($M49=TRUE(),$M49="TRUE"),1,0))</f>
        <v/>
      </c>
      <c r="AA49">
        <f>IF($B49="","",IF($S49="Yes",1,0))</f>
        <v/>
      </c>
      <c r="AB49">
        <f>IF($X49=1,IFERROR(IF(VALUE($B49)&lt;100000000,VALUE($B49),1000000000),IFERROR(IF(VALUE(MID($B49,2,20))&lt;100000000,VALUE(MID($B49,2,20)),1000000000),1000000000))+ROW()/100000,"")</f>
        <v/>
      </c>
    </row>
    <row r="50">
      <c r="C50" s="11" t="n"/>
      <c r="J50" s="7">
        <f>IF($B50="","",I50*Q50/100)</f>
        <v/>
      </c>
      <c r="P50" s="7" t="n"/>
      <c r="Q50" s="7" t="n"/>
      <c r="T50">
        <f>IF($B50="","",IF($AA50=1,0,IF($Z50=1,Settings!$C$6,Settings!$C$7))*100)</f>
        <v/>
      </c>
      <c r="U50" s="7">
        <f>IF($B50="","",Q50*T50/100)</f>
        <v/>
      </c>
      <c r="V50" s="7">
        <f>IF($B50="","",Q50-U50)</f>
        <v/>
      </c>
      <c r="W50" s="7">
        <f>IF($B50="","",V50-J50)</f>
        <v/>
      </c>
      <c r="X50">
        <f>IF($B50="","",IF(COUNTIF($B$2:$B50,$B50)=1,1,0))</f>
        <v/>
      </c>
      <c r="Y50">
        <f>IF($X50=1,SUMPRODUCT(--($AB$2:$AB$301&lt;$AB50))+1,"")</f>
        <v/>
      </c>
      <c r="Z50">
        <f>IF($B50="","",IF(OR($M50=TRUE(),$M50="TRUE"),1,0))</f>
        <v/>
      </c>
      <c r="AA50">
        <f>IF($B50="","",IF($S50="Yes",1,0))</f>
        <v/>
      </c>
      <c r="AB50">
        <f>IF($X50=1,IFERROR(IF(VALUE($B50)&lt;100000000,VALUE($B50),1000000000),IFERROR(IF(VALUE(MID($B50,2,20))&lt;100000000,VALUE(MID($B50,2,20)),1000000000),1000000000))+ROW()/100000,"")</f>
        <v/>
      </c>
    </row>
    <row r="51">
      <c r="C51" s="11" t="n"/>
      <c r="J51" s="7">
        <f>IF($B51="","",I51*Q51/100)</f>
        <v/>
      </c>
      <c r="P51" s="7" t="n"/>
      <c r="Q51" s="7" t="n"/>
      <c r="T51">
        <f>IF($B51="","",IF($AA51=1,0,IF($Z51=1,Settings!$C$6,Settings!$C$7))*100)</f>
        <v/>
      </c>
      <c r="U51" s="7">
        <f>IF($B51="","",Q51*T51/100)</f>
        <v/>
      </c>
      <c r="V51" s="7">
        <f>IF($B51="","",Q51-U51)</f>
        <v/>
      </c>
      <c r="W51" s="7">
        <f>IF($B51="","",V51-J51)</f>
        <v/>
      </c>
      <c r="X51">
        <f>IF($B51="","",IF(COUNTIF($B$2:$B51,$B51)=1,1,0))</f>
        <v/>
      </c>
      <c r="Y51">
        <f>IF($X51=1,SUMPRODUCT(--($AB$2:$AB$301&lt;$AB51))+1,"")</f>
        <v/>
      </c>
      <c r="Z51">
        <f>IF($B51="","",IF(OR($M51=TRUE(),$M51="TRUE"),1,0))</f>
        <v/>
      </c>
      <c r="AA51">
        <f>IF($B51="","",IF($S51="Yes",1,0))</f>
        <v/>
      </c>
      <c r="AB51">
        <f>IF($X51=1,IFERROR(IF(VALUE($B51)&lt;100000000,VALUE($B51),1000000000),IFERROR(IF(VALUE(MID($B51,2,20))&lt;100000000,VALUE(MID($B51,2,20)),1000000000),1000000000))+ROW()/100000,"")</f>
        <v/>
      </c>
    </row>
    <row r="52">
      <c r="C52" s="11" t="n"/>
      <c r="J52" s="7">
        <f>IF($B52="","",I52*Q52/100)</f>
        <v/>
      </c>
      <c r="P52" s="7" t="n"/>
      <c r="Q52" s="7" t="n"/>
      <c r="T52">
        <f>IF($B52="","",IF($AA52=1,0,IF($Z52=1,Settings!$C$6,Settings!$C$7))*100)</f>
        <v/>
      </c>
      <c r="U52" s="7">
        <f>IF($B52="","",Q52*T52/100)</f>
        <v/>
      </c>
      <c r="V52" s="7">
        <f>IF($B52="","",Q52-U52)</f>
        <v/>
      </c>
      <c r="W52" s="7">
        <f>IF($B52="","",V52-J52)</f>
        <v/>
      </c>
      <c r="X52">
        <f>IF($B52="","",IF(COUNTIF($B$2:$B52,$B52)=1,1,0))</f>
        <v/>
      </c>
      <c r="Y52">
        <f>IF($X52=1,SUMPRODUCT(--($AB$2:$AB$301&lt;$AB52))+1,"")</f>
        <v/>
      </c>
      <c r="Z52">
        <f>IF($B52="","",IF(OR($M52=TRUE(),$M52="TRUE"),1,0))</f>
        <v/>
      </c>
      <c r="AA52">
        <f>IF($B52="","",IF($S52="Yes",1,0))</f>
        <v/>
      </c>
      <c r="AB52">
        <f>IF($X52=1,IFERROR(IF(VALUE($B52)&lt;100000000,VALUE($B52),1000000000),IFERROR(IF(VALUE(MID($B52,2,20))&lt;100000000,VALUE(MID($B52,2,20)),1000000000),1000000000))+ROW()/100000,"")</f>
        <v/>
      </c>
    </row>
    <row r="53">
      <c r="C53" s="11" t="n"/>
      <c r="J53" s="7">
        <f>IF($B53="","",I53*Q53/100)</f>
        <v/>
      </c>
      <c r="P53" s="7" t="n"/>
      <c r="Q53" s="7" t="n"/>
      <c r="T53">
        <f>IF($B53="","",IF($AA53=1,0,IF($Z53=1,Settings!$C$6,Settings!$C$7))*100)</f>
        <v/>
      </c>
      <c r="U53" s="7">
        <f>IF($B53="","",Q53*T53/100)</f>
        <v/>
      </c>
      <c r="V53" s="7">
        <f>IF($B53="","",Q53-U53)</f>
        <v/>
      </c>
      <c r="W53" s="7">
        <f>IF($B53="","",V53-J53)</f>
        <v/>
      </c>
      <c r="X53">
        <f>IF($B53="","",IF(COUNTIF($B$2:$B53,$B53)=1,1,0))</f>
        <v/>
      </c>
      <c r="Y53">
        <f>IF($X53=1,SUMPRODUCT(--($AB$2:$AB$301&lt;$AB53))+1,"")</f>
        <v/>
      </c>
      <c r="Z53">
        <f>IF($B53="","",IF(OR($M53=TRUE(),$M53="TRUE"),1,0))</f>
        <v/>
      </c>
      <c r="AA53">
        <f>IF($B53="","",IF($S53="Yes",1,0))</f>
        <v/>
      </c>
      <c r="AB53">
        <f>IF($X53=1,IFERROR(IF(VALUE($B53)&lt;100000000,VALUE($B53),1000000000),IFERROR(IF(VALUE(MID($B53,2,20))&lt;100000000,VALUE(MID($B53,2,20)),1000000000),1000000000))+ROW()/100000,"")</f>
        <v/>
      </c>
    </row>
    <row r="54">
      <c r="C54" s="11" t="n"/>
      <c r="J54" s="7">
        <f>IF($B54="","",I54*Q54/100)</f>
        <v/>
      </c>
      <c r="P54" s="7" t="n"/>
      <c r="Q54" s="7" t="n"/>
      <c r="T54">
        <f>IF($B54="","",IF($AA54=1,0,IF($Z54=1,Settings!$C$6,Settings!$C$7))*100)</f>
        <v/>
      </c>
      <c r="U54" s="7">
        <f>IF($B54="","",Q54*T54/100)</f>
        <v/>
      </c>
      <c r="V54" s="7">
        <f>IF($B54="","",Q54-U54)</f>
        <v/>
      </c>
      <c r="W54" s="7">
        <f>IF($B54="","",V54-J54)</f>
        <v/>
      </c>
      <c r="X54">
        <f>IF($B54="","",IF(COUNTIF($B$2:$B54,$B54)=1,1,0))</f>
        <v/>
      </c>
      <c r="Y54">
        <f>IF($X54=1,SUMPRODUCT(--($AB$2:$AB$301&lt;$AB54))+1,"")</f>
        <v/>
      </c>
      <c r="Z54">
        <f>IF($B54="","",IF(OR($M54=TRUE(),$M54="TRUE"),1,0))</f>
        <v/>
      </c>
      <c r="AA54">
        <f>IF($B54="","",IF($S54="Yes",1,0))</f>
        <v/>
      </c>
      <c r="AB54">
        <f>IF($X54=1,IFERROR(IF(VALUE($B54)&lt;100000000,VALUE($B54),1000000000),IFERROR(IF(VALUE(MID($B54,2,20))&lt;100000000,VALUE(MID($B54,2,20)),1000000000),1000000000))+ROW()/100000,"")</f>
        <v/>
      </c>
    </row>
    <row r="55">
      <c r="C55" s="11" t="n"/>
      <c r="J55" s="7">
        <f>IF($B55="","",I55*Q55/100)</f>
        <v/>
      </c>
      <c r="P55" s="7" t="n"/>
      <c r="Q55" s="7" t="n"/>
      <c r="T55">
        <f>IF($B55="","",IF($AA55=1,0,IF($Z55=1,Settings!$C$6,Settings!$C$7))*100)</f>
        <v/>
      </c>
      <c r="U55" s="7">
        <f>IF($B55="","",Q55*T55/100)</f>
        <v/>
      </c>
      <c r="V55" s="7">
        <f>IF($B55="","",Q55-U55)</f>
        <v/>
      </c>
      <c r="W55" s="7">
        <f>IF($B55="","",V55-J55)</f>
        <v/>
      </c>
      <c r="X55">
        <f>IF($B55="","",IF(COUNTIF($B$2:$B55,$B55)=1,1,0))</f>
        <v/>
      </c>
      <c r="Y55">
        <f>IF($X55=1,SUMPRODUCT(--($AB$2:$AB$301&lt;$AB55))+1,"")</f>
        <v/>
      </c>
      <c r="Z55">
        <f>IF($B55="","",IF(OR($M55=TRUE(),$M55="TRUE"),1,0))</f>
        <v/>
      </c>
      <c r="AA55">
        <f>IF($B55="","",IF($S55="Yes",1,0))</f>
        <v/>
      </c>
      <c r="AB55">
        <f>IF($X55=1,IFERROR(IF(VALUE($B55)&lt;100000000,VALUE($B55),1000000000),IFERROR(IF(VALUE(MID($B55,2,20))&lt;100000000,VALUE(MID($B55,2,20)),1000000000),1000000000))+ROW()/100000,"")</f>
        <v/>
      </c>
    </row>
    <row r="56">
      <c r="C56" s="11" t="n"/>
      <c r="J56" s="7">
        <f>IF($B56="","",I56*Q56/100)</f>
        <v/>
      </c>
      <c r="P56" s="7" t="n"/>
      <c r="Q56" s="7" t="n"/>
      <c r="T56">
        <f>IF($B56="","",IF($AA56=1,0,IF($Z56=1,Settings!$C$6,Settings!$C$7))*100)</f>
        <v/>
      </c>
      <c r="U56" s="7">
        <f>IF($B56="","",Q56*T56/100)</f>
        <v/>
      </c>
      <c r="V56" s="7">
        <f>IF($B56="","",Q56-U56)</f>
        <v/>
      </c>
      <c r="W56" s="7">
        <f>IF($B56="","",V56-J56)</f>
        <v/>
      </c>
      <c r="X56">
        <f>IF($B56="","",IF(COUNTIF($B$2:$B56,$B56)=1,1,0))</f>
        <v/>
      </c>
      <c r="Y56">
        <f>IF($X56=1,SUMPRODUCT(--($AB$2:$AB$301&lt;$AB56))+1,"")</f>
        <v/>
      </c>
      <c r="Z56">
        <f>IF($B56="","",IF(OR($M56=TRUE(),$M56="TRUE"),1,0))</f>
        <v/>
      </c>
      <c r="AA56">
        <f>IF($B56="","",IF($S56="Yes",1,0))</f>
        <v/>
      </c>
      <c r="AB56">
        <f>IF($X56=1,IFERROR(IF(VALUE($B56)&lt;100000000,VALUE($B56),1000000000),IFERROR(IF(VALUE(MID($B56,2,20))&lt;100000000,VALUE(MID($B56,2,20)),1000000000),1000000000))+ROW()/100000,"")</f>
        <v/>
      </c>
    </row>
    <row r="57">
      <c r="C57" s="11" t="n"/>
      <c r="J57" s="7">
        <f>IF($B57="","",I57*Q57/100)</f>
        <v/>
      </c>
      <c r="P57" s="7" t="n"/>
      <c r="Q57" s="7" t="n"/>
      <c r="T57">
        <f>IF($B57="","",IF($AA57=1,0,IF($Z57=1,Settings!$C$6,Settings!$C$7))*100)</f>
        <v/>
      </c>
      <c r="U57" s="7">
        <f>IF($B57="","",Q57*T57/100)</f>
        <v/>
      </c>
      <c r="V57" s="7">
        <f>IF($B57="","",Q57-U57)</f>
        <v/>
      </c>
      <c r="W57" s="7">
        <f>IF($B57="","",V57-J57)</f>
        <v/>
      </c>
      <c r="X57">
        <f>IF($B57="","",IF(COUNTIF($B$2:$B57,$B57)=1,1,0))</f>
        <v/>
      </c>
      <c r="Y57">
        <f>IF($X57=1,SUMPRODUCT(--($AB$2:$AB$301&lt;$AB57))+1,"")</f>
        <v/>
      </c>
      <c r="Z57">
        <f>IF($B57="","",IF(OR($M57=TRUE(),$M57="TRUE"),1,0))</f>
        <v/>
      </c>
      <c r="AA57">
        <f>IF($B57="","",IF($S57="Yes",1,0))</f>
        <v/>
      </c>
      <c r="AB57">
        <f>IF($X57=1,IFERROR(IF(VALUE($B57)&lt;100000000,VALUE($B57),1000000000),IFERROR(IF(VALUE(MID($B57,2,20))&lt;100000000,VALUE(MID($B57,2,20)),1000000000),1000000000))+ROW()/100000,"")</f>
        <v/>
      </c>
    </row>
    <row r="58">
      <c r="C58" s="11" t="n"/>
      <c r="J58" s="7">
        <f>IF($B58="","",I58*Q58/100)</f>
        <v/>
      </c>
      <c r="P58" s="7" t="n"/>
      <c r="Q58" s="7" t="n"/>
      <c r="T58">
        <f>IF($B58="","",IF($AA58=1,0,IF($Z58=1,Settings!$C$6,Settings!$C$7))*100)</f>
        <v/>
      </c>
      <c r="U58" s="7">
        <f>IF($B58="","",Q58*T58/100)</f>
        <v/>
      </c>
      <c r="V58" s="7">
        <f>IF($B58="","",Q58-U58)</f>
        <v/>
      </c>
      <c r="W58" s="7">
        <f>IF($B58="","",V58-J58)</f>
        <v/>
      </c>
      <c r="X58">
        <f>IF($B58="","",IF(COUNTIF($B$2:$B58,$B58)=1,1,0))</f>
        <v/>
      </c>
      <c r="Y58">
        <f>IF($X58=1,SUMPRODUCT(--($AB$2:$AB$301&lt;$AB58))+1,"")</f>
        <v/>
      </c>
      <c r="Z58">
        <f>IF($B58="","",IF(OR($M58=TRUE(),$M58="TRUE"),1,0))</f>
        <v/>
      </c>
      <c r="AA58">
        <f>IF($B58="","",IF($S58="Yes",1,0))</f>
        <v/>
      </c>
      <c r="AB58">
        <f>IF($X58=1,IFERROR(IF(VALUE($B58)&lt;100000000,VALUE($B58),1000000000),IFERROR(IF(VALUE(MID($B58,2,20))&lt;100000000,VALUE(MID($B58,2,20)),1000000000),1000000000))+ROW()/100000,"")</f>
        <v/>
      </c>
    </row>
    <row r="59">
      <c r="C59" s="11" t="n"/>
      <c r="J59" s="7">
        <f>IF($B59="","",I59*Q59/100)</f>
        <v/>
      </c>
      <c r="P59" s="7" t="n"/>
      <c r="Q59" s="7" t="n"/>
      <c r="T59">
        <f>IF($B59="","",IF($AA59=1,0,IF($Z59=1,Settings!$C$6,Settings!$C$7))*100)</f>
        <v/>
      </c>
      <c r="U59" s="7">
        <f>IF($B59="","",Q59*T59/100)</f>
        <v/>
      </c>
      <c r="V59" s="7">
        <f>IF($B59="","",Q59-U59)</f>
        <v/>
      </c>
      <c r="W59" s="7">
        <f>IF($B59="","",V59-J59)</f>
        <v/>
      </c>
      <c r="X59">
        <f>IF($B59="","",IF(COUNTIF($B$2:$B59,$B59)=1,1,0))</f>
        <v/>
      </c>
      <c r="Y59">
        <f>IF($X59=1,SUMPRODUCT(--($AB$2:$AB$301&lt;$AB59))+1,"")</f>
        <v/>
      </c>
      <c r="Z59">
        <f>IF($B59="","",IF(OR($M59=TRUE(),$M59="TRUE"),1,0))</f>
        <v/>
      </c>
      <c r="AA59">
        <f>IF($B59="","",IF($S59="Yes",1,0))</f>
        <v/>
      </c>
      <c r="AB59">
        <f>IF($X59=1,IFERROR(IF(VALUE($B59)&lt;100000000,VALUE($B59),1000000000),IFERROR(IF(VALUE(MID($B59,2,20))&lt;100000000,VALUE(MID($B59,2,20)),1000000000),1000000000))+ROW()/100000,"")</f>
        <v/>
      </c>
    </row>
    <row r="60">
      <c r="C60" s="11" t="n"/>
      <c r="J60" s="7">
        <f>IF($B60="","",I60*Q60/100)</f>
        <v/>
      </c>
      <c r="P60" s="7" t="n"/>
      <c r="Q60" s="7" t="n"/>
      <c r="T60">
        <f>IF($B60="","",IF($AA60=1,0,IF($Z60=1,Settings!$C$6,Settings!$C$7))*100)</f>
        <v/>
      </c>
      <c r="U60" s="7">
        <f>IF($B60="","",Q60*T60/100)</f>
        <v/>
      </c>
      <c r="V60" s="7">
        <f>IF($B60="","",Q60-U60)</f>
        <v/>
      </c>
      <c r="W60" s="7">
        <f>IF($B60="","",V60-J60)</f>
        <v/>
      </c>
      <c r="X60">
        <f>IF($B60="","",IF(COUNTIF($B$2:$B60,$B60)=1,1,0))</f>
        <v/>
      </c>
      <c r="Y60">
        <f>IF($X60=1,SUMPRODUCT(--($AB$2:$AB$301&lt;$AB60))+1,"")</f>
        <v/>
      </c>
      <c r="Z60">
        <f>IF($B60="","",IF(OR($M60=TRUE(),$M60="TRUE"),1,0))</f>
        <v/>
      </c>
      <c r="AA60">
        <f>IF($B60="","",IF($S60="Yes",1,0))</f>
        <v/>
      </c>
      <c r="AB60">
        <f>IF($X60=1,IFERROR(IF(VALUE($B60)&lt;100000000,VALUE($B60),1000000000),IFERROR(IF(VALUE(MID($B60,2,20))&lt;100000000,VALUE(MID($B60,2,20)),1000000000),1000000000))+ROW()/100000,"")</f>
        <v/>
      </c>
    </row>
    <row r="61">
      <c r="C61" s="11" t="n"/>
      <c r="J61" s="7">
        <f>IF($B61="","",I61*Q61/100)</f>
        <v/>
      </c>
      <c r="P61" s="7" t="n"/>
      <c r="Q61" s="7" t="n"/>
      <c r="T61">
        <f>IF($B61="","",IF($AA61=1,0,IF($Z61=1,Settings!$C$6,Settings!$C$7))*100)</f>
        <v/>
      </c>
      <c r="U61" s="7">
        <f>IF($B61="","",Q61*T61/100)</f>
        <v/>
      </c>
      <c r="V61" s="7">
        <f>IF($B61="","",Q61-U61)</f>
        <v/>
      </c>
      <c r="W61" s="7">
        <f>IF($B61="","",V61-J61)</f>
        <v/>
      </c>
      <c r="X61">
        <f>IF($B61="","",IF(COUNTIF($B$2:$B61,$B61)=1,1,0))</f>
        <v/>
      </c>
      <c r="Y61">
        <f>IF($X61=1,SUMPRODUCT(--($AB$2:$AB$301&lt;$AB61))+1,"")</f>
        <v/>
      </c>
      <c r="Z61">
        <f>IF($B61="","",IF(OR($M61=TRUE(),$M61="TRUE"),1,0))</f>
        <v/>
      </c>
      <c r="AA61">
        <f>IF($B61="","",IF($S61="Yes",1,0))</f>
        <v/>
      </c>
      <c r="AB61">
        <f>IF($X61=1,IFERROR(IF(VALUE($B61)&lt;100000000,VALUE($B61),1000000000),IFERROR(IF(VALUE(MID($B61,2,20))&lt;100000000,VALUE(MID($B61,2,20)),1000000000),1000000000))+ROW()/100000,"")</f>
        <v/>
      </c>
    </row>
    <row r="62">
      <c r="C62" s="11" t="n"/>
      <c r="J62" s="7">
        <f>IF($B62="","",I62*Q62/100)</f>
        <v/>
      </c>
      <c r="P62" s="7" t="n"/>
      <c r="Q62" s="7" t="n"/>
      <c r="T62">
        <f>IF($B62="","",IF($AA62=1,0,IF($Z62=1,Settings!$C$6,Settings!$C$7))*100)</f>
        <v/>
      </c>
      <c r="U62" s="7">
        <f>IF($B62="","",Q62*T62/100)</f>
        <v/>
      </c>
      <c r="V62" s="7">
        <f>IF($B62="","",Q62-U62)</f>
        <v/>
      </c>
      <c r="W62" s="7">
        <f>IF($B62="","",V62-J62)</f>
        <v/>
      </c>
      <c r="X62">
        <f>IF($B62="","",IF(COUNTIF($B$2:$B62,$B62)=1,1,0))</f>
        <v/>
      </c>
      <c r="Y62">
        <f>IF($X62=1,SUMPRODUCT(--($AB$2:$AB$301&lt;$AB62))+1,"")</f>
        <v/>
      </c>
      <c r="Z62">
        <f>IF($B62="","",IF(OR($M62=TRUE(),$M62="TRUE"),1,0))</f>
        <v/>
      </c>
      <c r="AA62">
        <f>IF($B62="","",IF($S62="Yes",1,0))</f>
        <v/>
      </c>
      <c r="AB62">
        <f>IF($X62=1,IFERROR(IF(VALUE($B62)&lt;100000000,VALUE($B62),1000000000),IFERROR(IF(VALUE(MID($B62,2,20))&lt;100000000,VALUE(MID($B62,2,20)),1000000000),1000000000))+ROW()/100000,"")</f>
        <v/>
      </c>
    </row>
    <row r="63">
      <c r="C63" s="11" t="n"/>
      <c r="J63" s="7">
        <f>IF($B63="","",I63*Q63/100)</f>
        <v/>
      </c>
      <c r="P63" s="7" t="n"/>
      <c r="Q63" s="7" t="n"/>
      <c r="T63">
        <f>IF($B63="","",IF($AA63=1,0,IF($Z63=1,Settings!$C$6,Settings!$C$7))*100)</f>
        <v/>
      </c>
      <c r="U63" s="7">
        <f>IF($B63="","",Q63*T63/100)</f>
        <v/>
      </c>
      <c r="V63" s="7">
        <f>IF($B63="","",Q63-U63)</f>
        <v/>
      </c>
      <c r="W63" s="7">
        <f>IF($B63="","",V63-J63)</f>
        <v/>
      </c>
      <c r="X63">
        <f>IF($B63="","",IF(COUNTIF($B$2:$B63,$B63)=1,1,0))</f>
        <v/>
      </c>
      <c r="Y63">
        <f>IF($X63=1,SUMPRODUCT(--($AB$2:$AB$301&lt;$AB63))+1,"")</f>
        <v/>
      </c>
      <c r="Z63">
        <f>IF($B63="","",IF(OR($M63=TRUE(),$M63="TRUE"),1,0))</f>
        <v/>
      </c>
      <c r="AA63">
        <f>IF($B63="","",IF($S63="Yes",1,0))</f>
        <v/>
      </c>
      <c r="AB63">
        <f>IF($X63=1,IFERROR(IF(VALUE($B63)&lt;100000000,VALUE($B63),1000000000),IFERROR(IF(VALUE(MID($B63,2,20))&lt;100000000,VALUE(MID($B63,2,20)),1000000000),1000000000))+ROW()/100000,"")</f>
        <v/>
      </c>
    </row>
    <row r="64">
      <c r="C64" s="11" t="n"/>
      <c r="J64" s="7">
        <f>IF($B64="","",I64*Q64/100)</f>
        <v/>
      </c>
      <c r="P64" s="7" t="n"/>
      <c r="Q64" s="7" t="n"/>
      <c r="T64">
        <f>IF($B64="","",IF($AA64=1,0,IF($Z64=1,Settings!$C$6,Settings!$C$7))*100)</f>
        <v/>
      </c>
      <c r="U64" s="7">
        <f>IF($B64="","",Q64*T64/100)</f>
        <v/>
      </c>
      <c r="V64" s="7">
        <f>IF($B64="","",Q64-U64)</f>
        <v/>
      </c>
      <c r="W64" s="7">
        <f>IF($B64="","",V64-J64)</f>
        <v/>
      </c>
      <c r="X64">
        <f>IF($B64="","",IF(COUNTIF($B$2:$B64,$B64)=1,1,0))</f>
        <v/>
      </c>
      <c r="Y64">
        <f>IF($X64=1,SUMPRODUCT(--($AB$2:$AB$301&lt;$AB64))+1,"")</f>
        <v/>
      </c>
      <c r="Z64">
        <f>IF($B64="","",IF(OR($M64=TRUE(),$M64="TRUE"),1,0))</f>
        <v/>
      </c>
      <c r="AA64">
        <f>IF($B64="","",IF($S64="Yes",1,0))</f>
        <v/>
      </c>
      <c r="AB64">
        <f>IF($X64=1,IFERROR(IF(VALUE($B64)&lt;100000000,VALUE($B64),1000000000),IFERROR(IF(VALUE(MID($B64,2,20))&lt;100000000,VALUE(MID($B64,2,20)),1000000000),1000000000))+ROW()/100000,"")</f>
        <v/>
      </c>
    </row>
    <row r="65">
      <c r="C65" s="11" t="n"/>
      <c r="J65" s="7">
        <f>IF($B65="","",I65*Q65/100)</f>
        <v/>
      </c>
      <c r="P65" s="7" t="n"/>
      <c r="Q65" s="7" t="n"/>
      <c r="T65">
        <f>IF($B65="","",IF($AA65=1,0,IF($Z65=1,Settings!$C$6,Settings!$C$7))*100)</f>
        <v/>
      </c>
      <c r="U65" s="7">
        <f>IF($B65="","",Q65*T65/100)</f>
        <v/>
      </c>
      <c r="V65" s="7">
        <f>IF($B65="","",Q65-U65)</f>
        <v/>
      </c>
      <c r="W65" s="7">
        <f>IF($B65="","",V65-J65)</f>
        <v/>
      </c>
      <c r="X65">
        <f>IF($B65="","",IF(COUNTIF($B$2:$B65,$B65)=1,1,0))</f>
        <v/>
      </c>
      <c r="Y65">
        <f>IF($X65=1,SUMPRODUCT(--($AB$2:$AB$301&lt;$AB65))+1,"")</f>
        <v/>
      </c>
      <c r="Z65">
        <f>IF($B65="","",IF(OR($M65=TRUE(),$M65="TRUE"),1,0))</f>
        <v/>
      </c>
      <c r="AA65">
        <f>IF($B65="","",IF($S65="Yes",1,0))</f>
        <v/>
      </c>
      <c r="AB65">
        <f>IF($X65=1,IFERROR(IF(VALUE($B65)&lt;100000000,VALUE($B65),1000000000),IFERROR(IF(VALUE(MID($B65,2,20))&lt;100000000,VALUE(MID($B65,2,20)),1000000000),1000000000))+ROW()/100000,"")</f>
        <v/>
      </c>
    </row>
    <row r="66">
      <c r="C66" s="11" t="n"/>
      <c r="J66" s="7">
        <f>IF($B66="","",I66*Q66/100)</f>
        <v/>
      </c>
      <c r="P66" s="7" t="n"/>
      <c r="Q66" s="7" t="n"/>
      <c r="T66">
        <f>IF($B66="","",IF($AA66=1,0,IF($Z66=1,Settings!$C$6,Settings!$C$7))*100)</f>
        <v/>
      </c>
      <c r="U66" s="7">
        <f>IF($B66="","",Q66*T66/100)</f>
        <v/>
      </c>
      <c r="V66" s="7">
        <f>IF($B66="","",Q66-U66)</f>
        <v/>
      </c>
      <c r="W66" s="7">
        <f>IF($B66="","",V66-J66)</f>
        <v/>
      </c>
      <c r="X66">
        <f>IF($B66="","",IF(COUNTIF($B$2:$B66,$B66)=1,1,0))</f>
        <v/>
      </c>
      <c r="Y66">
        <f>IF($X66=1,SUMPRODUCT(--($AB$2:$AB$301&lt;$AB66))+1,"")</f>
        <v/>
      </c>
      <c r="Z66">
        <f>IF($B66="","",IF(OR($M66=TRUE(),$M66="TRUE"),1,0))</f>
        <v/>
      </c>
      <c r="AA66">
        <f>IF($B66="","",IF($S66="Yes",1,0))</f>
        <v/>
      </c>
      <c r="AB66">
        <f>IF($X66=1,IFERROR(IF(VALUE($B66)&lt;100000000,VALUE($B66),1000000000),IFERROR(IF(VALUE(MID($B66,2,20))&lt;100000000,VALUE(MID($B66,2,20)),1000000000),1000000000))+ROW()/100000,"")</f>
        <v/>
      </c>
    </row>
    <row r="67">
      <c r="C67" s="11" t="n"/>
      <c r="J67" s="7">
        <f>IF($B67="","",I67*Q67/100)</f>
        <v/>
      </c>
      <c r="P67" s="7" t="n"/>
      <c r="Q67" s="7" t="n"/>
      <c r="T67">
        <f>IF($B67="","",IF($AA67=1,0,IF($Z67=1,Settings!$C$6,Settings!$C$7))*100)</f>
        <v/>
      </c>
      <c r="U67" s="7">
        <f>IF($B67="","",Q67*T67/100)</f>
        <v/>
      </c>
      <c r="V67" s="7">
        <f>IF($B67="","",Q67-U67)</f>
        <v/>
      </c>
      <c r="W67" s="7">
        <f>IF($B67="","",V67-J67)</f>
        <v/>
      </c>
      <c r="X67">
        <f>IF($B67="","",IF(COUNTIF($B$2:$B67,$B67)=1,1,0))</f>
        <v/>
      </c>
      <c r="Y67">
        <f>IF($X67=1,SUMPRODUCT(--($AB$2:$AB$301&lt;$AB67))+1,"")</f>
        <v/>
      </c>
      <c r="Z67">
        <f>IF($B67="","",IF(OR($M67=TRUE(),$M67="TRUE"),1,0))</f>
        <v/>
      </c>
      <c r="AA67">
        <f>IF($B67="","",IF($S67="Yes",1,0))</f>
        <v/>
      </c>
      <c r="AB67">
        <f>IF($X67=1,IFERROR(IF(VALUE($B67)&lt;100000000,VALUE($B67),1000000000),IFERROR(IF(VALUE(MID($B67,2,20))&lt;100000000,VALUE(MID($B67,2,20)),1000000000),1000000000))+ROW()/100000,"")</f>
        <v/>
      </c>
    </row>
    <row r="68">
      <c r="C68" s="11" t="n"/>
      <c r="J68" s="7">
        <f>IF($B68="","",I68*Q68/100)</f>
        <v/>
      </c>
      <c r="P68" s="7" t="n"/>
      <c r="Q68" s="7" t="n"/>
      <c r="T68">
        <f>IF($B68="","",IF($AA68=1,0,IF($Z68=1,Settings!$C$6,Settings!$C$7))*100)</f>
        <v/>
      </c>
      <c r="U68" s="7">
        <f>IF($B68="","",Q68*T68/100)</f>
        <v/>
      </c>
      <c r="V68" s="7">
        <f>IF($B68="","",Q68-U68)</f>
        <v/>
      </c>
      <c r="W68" s="7">
        <f>IF($B68="","",V68-J68)</f>
        <v/>
      </c>
      <c r="X68">
        <f>IF($B68="","",IF(COUNTIF($B$2:$B68,$B68)=1,1,0))</f>
        <v/>
      </c>
      <c r="Y68">
        <f>IF($X68=1,SUMPRODUCT(--($AB$2:$AB$301&lt;$AB68))+1,"")</f>
        <v/>
      </c>
      <c r="Z68">
        <f>IF($B68="","",IF(OR($M68=TRUE(),$M68="TRUE"),1,0))</f>
        <v/>
      </c>
      <c r="AA68">
        <f>IF($B68="","",IF($S68="Yes",1,0))</f>
        <v/>
      </c>
      <c r="AB68">
        <f>IF($X68=1,IFERROR(IF(VALUE($B68)&lt;100000000,VALUE($B68),1000000000),IFERROR(IF(VALUE(MID($B68,2,20))&lt;100000000,VALUE(MID($B68,2,20)),1000000000),1000000000))+ROW()/100000,"")</f>
        <v/>
      </c>
    </row>
    <row r="69">
      <c r="C69" s="11" t="n"/>
      <c r="J69" s="7">
        <f>IF($B69="","",I69*Q69/100)</f>
        <v/>
      </c>
      <c r="P69" s="7" t="n"/>
      <c r="Q69" s="7" t="n"/>
      <c r="T69">
        <f>IF($B69="","",IF($AA69=1,0,IF($Z69=1,Settings!$C$6,Settings!$C$7))*100)</f>
        <v/>
      </c>
      <c r="U69" s="7">
        <f>IF($B69="","",Q69*T69/100)</f>
        <v/>
      </c>
      <c r="V69" s="7">
        <f>IF($B69="","",Q69-U69)</f>
        <v/>
      </c>
      <c r="W69" s="7">
        <f>IF($B69="","",V69-J69)</f>
        <v/>
      </c>
      <c r="X69">
        <f>IF($B69="","",IF(COUNTIF($B$2:$B69,$B69)=1,1,0))</f>
        <v/>
      </c>
      <c r="Y69">
        <f>IF($X69=1,SUMPRODUCT(--($AB$2:$AB$301&lt;$AB69))+1,"")</f>
        <v/>
      </c>
      <c r="Z69">
        <f>IF($B69="","",IF(OR($M69=TRUE(),$M69="TRUE"),1,0))</f>
        <v/>
      </c>
      <c r="AA69">
        <f>IF($B69="","",IF($S69="Yes",1,0))</f>
        <v/>
      </c>
      <c r="AB69">
        <f>IF($X69=1,IFERROR(IF(VALUE($B69)&lt;100000000,VALUE($B69),1000000000),IFERROR(IF(VALUE(MID($B69,2,20))&lt;100000000,VALUE(MID($B69,2,20)),1000000000),1000000000))+ROW()/100000,"")</f>
        <v/>
      </c>
    </row>
    <row r="70">
      <c r="C70" s="11" t="n"/>
      <c r="J70" s="7">
        <f>IF($B70="","",I70*Q70/100)</f>
        <v/>
      </c>
      <c r="P70" s="7" t="n"/>
      <c r="Q70" s="7" t="n"/>
      <c r="T70">
        <f>IF($B70="","",IF($AA70=1,0,IF($Z70=1,Settings!$C$6,Settings!$C$7))*100)</f>
        <v/>
      </c>
      <c r="U70" s="7">
        <f>IF($B70="","",Q70*T70/100)</f>
        <v/>
      </c>
      <c r="V70" s="7">
        <f>IF($B70="","",Q70-U70)</f>
        <v/>
      </c>
      <c r="W70" s="7">
        <f>IF($B70="","",V70-J70)</f>
        <v/>
      </c>
      <c r="X70">
        <f>IF($B70="","",IF(COUNTIF($B$2:$B70,$B70)=1,1,0))</f>
        <v/>
      </c>
      <c r="Y70">
        <f>IF($X70=1,SUMPRODUCT(--($AB$2:$AB$301&lt;$AB70))+1,"")</f>
        <v/>
      </c>
      <c r="Z70">
        <f>IF($B70="","",IF(OR($M70=TRUE(),$M70="TRUE"),1,0))</f>
        <v/>
      </c>
      <c r="AA70">
        <f>IF($B70="","",IF($S70="Yes",1,0))</f>
        <v/>
      </c>
      <c r="AB70">
        <f>IF($X70=1,IFERROR(IF(VALUE($B70)&lt;100000000,VALUE($B70),1000000000),IFERROR(IF(VALUE(MID($B70,2,20))&lt;100000000,VALUE(MID($B70,2,20)),1000000000),1000000000))+ROW()/100000,"")</f>
        <v/>
      </c>
    </row>
    <row r="71">
      <c r="C71" s="11" t="n"/>
      <c r="J71" s="7">
        <f>IF($B71="","",I71*Q71/100)</f>
        <v/>
      </c>
      <c r="P71" s="7" t="n"/>
      <c r="Q71" s="7" t="n"/>
      <c r="T71">
        <f>IF($B71="","",IF($AA71=1,0,IF($Z71=1,Settings!$C$6,Settings!$C$7))*100)</f>
        <v/>
      </c>
      <c r="U71" s="7">
        <f>IF($B71="","",Q71*T71/100)</f>
        <v/>
      </c>
      <c r="V71" s="7">
        <f>IF($B71="","",Q71-U71)</f>
        <v/>
      </c>
      <c r="W71" s="7">
        <f>IF($B71="","",V71-J71)</f>
        <v/>
      </c>
      <c r="X71">
        <f>IF($B71="","",IF(COUNTIF($B$2:$B71,$B71)=1,1,0))</f>
        <v/>
      </c>
      <c r="Y71">
        <f>IF($X71=1,SUMPRODUCT(--($AB$2:$AB$301&lt;$AB71))+1,"")</f>
        <v/>
      </c>
      <c r="Z71">
        <f>IF($B71="","",IF(OR($M71=TRUE(),$M71="TRUE"),1,0))</f>
        <v/>
      </c>
      <c r="AA71">
        <f>IF($B71="","",IF($S71="Yes",1,0))</f>
        <v/>
      </c>
      <c r="AB71">
        <f>IF($X71=1,IFERROR(IF(VALUE($B71)&lt;100000000,VALUE($B71),1000000000),IFERROR(IF(VALUE(MID($B71,2,20))&lt;100000000,VALUE(MID($B71,2,20)),1000000000),1000000000))+ROW()/100000,"")</f>
        <v/>
      </c>
    </row>
    <row r="72">
      <c r="C72" s="11" t="n"/>
      <c r="J72" s="7">
        <f>IF($B72="","",I72*Q72/100)</f>
        <v/>
      </c>
      <c r="P72" s="7" t="n"/>
      <c r="Q72" s="7" t="n"/>
      <c r="T72">
        <f>IF($B72="","",IF($AA72=1,0,IF($Z72=1,Settings!$C$6,Settings!$C$7))*100)</f>
        <v/>
      </c>
      <c r="U72" s="7">
        <f>IF($B72="","",Q72*T72/100)</f>
        <v/>
      </c>
      <c r="V72" s="7">
        <f>IF($B72="","",Q72-U72)</f>
        <v/>
      </c>
      <c r="W72" s="7">
        <f>IF($B72="","",V72-J72)</f>
        <v/>
      </c>
      <c r="X72">
        <f>IF($B72="","",IF(COUNTIF($B$2:$B72,$B72)=1,1,0))</f>
        <v/>
      </c>
      <c r="Y72">
        <f>IF($X72=1,SUMPRODUCT(--($AB$2:$AB$301&lt;$AB72))+1,"")</f>
        <v/>
      </c>
      <c r="Z72">
        <f>IF($B72="","",IF(OR($M72=TRUE(),$M72="TRUE"),1,0))</f>
        <v/>
      </c>
      <c r="AA72">
        <f>IF($B72="","",IF($S72="Yes",1,0))</f>
        <v/>
      </c>
      <c r="AB72">
        <f>IF($X72=1,IFERROR(IF(VALUE($B72)&lt;100000000,VALUE($B72),1000000000),IFERROR(IF(VALUE(MID($B72,2,20))&lt;100000000,VALUE(MID($B72,2,20)),1000000000),1000000000))+ROW()/100000,"")</f>
        <v/>
      </c>
    </row>
    <row r="73">
      <c r="C73" s="11" t="n"/>
      <c r="J73" s="7">
        <f>IF($B73="","",I73*Q73/100)</f>
        <v/>
      </c>
      <c r="P73" s="7" t="n"/>
      <c r="Q73" s="7" t="n"/>
      <c r="T73">
        <f>IF($B73="","",IF($AA73=1,0,IF($Z73=1,Settings!$C$6,Settings!$C$7))*100)</f>
        <v/>
      </c>
      <c r="U73" s="7">
        <f>IF($B73="","",Q73*T73/100)</f>
        <v/>
      </c>
      <c r="V73" s="7">
        <f>IF($B73="","",Q73-U73)</f>
        <v/>
      </c>
      <c r="W73" s="7">
        <f>IF($B73="","",V73-J73)</f>
        <v/>
      </c>
      <c r="X73">
        <f>IF($B73="","",IF(COUNTIF($B$2:$B73,$B73)=1,1,0))</f>
        <v/>
      </c>
      <c r="Y73">
        <f>IF($X73=1,SUMPRODUCT(--($AB$2:$AB$301&lt;$AB73))+1,"")</f>
        <v/>
      </c>
      <c r="Z73">
        <f>IF($B73="","",IF(OR($M73=TRUE(),$M73="TRUE"),1,0))</f>
        <v/>
      </c>
      <c r="AA73">
        <f>IF($B73="","",IF($S73="Yes",1,0))</f>
        <v/>
      </c>
      <c r="AB73">
        <f>IF($X73=1,IFERROR(IF(VALUE($B73)&lt;100000000,VALUE($B73),1000000000),IFERROR(IF(VALUE(MID($B73,2,20))&lt;100000000,VALUE(MID($B73,2,20)),1000000000),1000000000))+ROW()/100000,"")</f>
        <v/>
      </c>
    </row>
    <row r="74">
      <c r="C74" s="11" t="n"/>
      <c r="J74" s="7">
        <f>IF($B74="","",I74*Q74/100)</f>
        <v/>
      </c>
      <c r="P74" s="7" t="n"/>
      <c r="Q74" s="7" t="n"/>
      <c r="T74">
        <f>IF($B74="","",IF($AA74=1,0,IF($Z74=1,Settings!$C$6,Settings!$C$7))*100)</f>
        <v/>
      </c>
      <c r="U74" s="7">
        <f>IF($B74="","",Q74*T74/100)</f>
        <v/>
      </c>
      <c r="V74" s="7">
        <f>IF($B74="","",Q74-U74)</f>
        <v/>
      </c>
      <c r="W74" s="7">
        <f>IF($B74="","",V74-J74)</f>
        <v/>
      </c>
      <c r="X74">
        <f>IF($B74="","",IF(COUNTIF($B$2:$B74,$B74)=1,1,0))</f>
        <v/>
      </c>
      <c r="Y74">
        <f>IF($X74=1,SUMPRODUCT(--($AB$2:$AB$301&lt;$AB74))+1,"")</f>
        <v/>
      </c>
      <c r="Z74">
        <f>IF($B74="","",IF(OR($M74=TRUE(),$M74="TRUE"),1,0))</f>
        <v/>
      </c>
      <c r="AA74">
        <f>IF($B74="","",IF($S74="Yes",1,0))</f>
        <v/>
      </c>
      <c r="AB74">
        <f>IF($X74=1,IFERROR(IF(VALUE($B74)&lt;100000000,VALUE($B74),1000000000),IFERROR(IF(VALUE(MID($B74,2,20))&lt;100000000,VALUE(MID($B74,2,20)),1000000000),1000000000))+ROW()/100000,"")</f>
        <v/>
      </c>
    </row>
    <row r="75">
      <c r="C75" s="11" t="n"/>
      <c r="J75" s="7">
        <f>IF($B75="","",I75*Q75/100)</f>
        <v/>
      </c>
      <c r="P75" s="7" t="n"/>
      <c r="Q75" s="7" t="n"/>
      <c r="T75">
        <f>IF($B75="","",IF($AA75=1,0,IF($Z75=1,Settings!$C$6,Settings!$C$7))*100)</f>
        <v/>
      </c>
      <c r="U75" s="7">
        <f>IF($B75="","",Q75*T75/100)</f>
        <v/>
      </c>
      <c r="V75" s="7">
        <f>IF($B75="","",Q75-U75)</f>
        <v/>
      </c>
      <c r="W75" s="7">
        <f>IF($B75="","",V75-J75)</f>
        <v/>
      </c>
      <c r="X75">
        <f>IF($B75="","",IF(COUNTIF($B$2:$B75,$B75)=1,1,0))</f>
        <v/>
      </c>
      <c r="Y75">
        <f>IF($X75=1,SUMPRODUCT(--($AB$2:$AB$301&lt;$AB75))+1,"")</f>
        <v/>
      </c>
      <c r="Z75">
        <f>IF($B75="","",IF(OR($M75=TRUE(),$M75="TRUE"),1,0))</f>
        <v/>
      </c>
      <c r="AA75">
        <f>IF($B75="","",IF($S75="Yes",1,0))</f>
        <v/>
      </c>
      <c r="AB75">
        <f>IF($X75=1,IFERROR(IF(VALUE($B75)&lt;100000000,VALUE($B75),1000000000),IFERROR(IF(VALUE(MID($B75,2,20))&lt;100000000,VALUE(MID($B75,2,20)),1000000000),1000000000))+ROW()/100000,"")</f>
        <v/>
      </c>
    </row>
    <row r="76">
      <c r="C76" s="11" t="n"/>
      <c r="J76" s="7">
        <f>IF($B76="","",I76*Q76/100)</f>
        <v/>
      </c>
      <c r="P76" s="7" t="n"/>
      <c r="Q76" s="7" t="n"/>
      <c r="T76">
        <f>IF($B76="","",IF($AA76=1,0,IF($Z76=1,Settings!$C$6,Settings!$C$7))*100)</f>
        <v/>
      </c>
      <c r="U76" s="7">
        <f>IF($B76="","",Q76*T76/100)</f>
        <v/>
      </c>
      <c r="V76" s="7">
        <f>IF($B76="","",Q76-U76)</f>
        <v/>
      </c>
      <c r="W76" s="7">
        <f>IF($B76="","",V76-J76)</f>
        <v/>
      </c>
      <c r="X76">
        <f>IF($B76="","",IF(COUNTIF($B$2:$B76,$B76)=1,1,0))</f>
        <v/>
      </c>
      <c r="Y76">
        <f>IF($X76=1,SUMPRODUCT(--($AB$2:$AB$301&lt;$AB76))+1,"")</f>
        <v/>
      </c>
      <c r="Z76">
        <f>IF($B76="","",IF(OR($M76=TRUE(),$M76="TRUE"),1,0))</f>
        <v/>
      </c>
      <c r="AA76">
        <f>IF($B76="","",IF($S76="Yes",1,0))</f>
        <v/>
      </c>
      <c r="AB76">
        <f>IF($X76=1,IFERROR(IF(VALUE($B76)&lt;100000000,VALUE($B76),1000000000),IFERROR(IF(VALUE(MID($B76,2,20))&lt;100000000,VALUE(MID($B76,2,20)),1000000000),1000000000))+ROW()/100000,"")</f>
        <v/>
      </c>
    </row>
    <row r="77">
      <c r="C77" s="11" t="n"/>
      <c r="J77" s="7">
        <f>IF($B77="","",I77*Q77/100)</f>
        <v/>
      </c>
      <c r="P77" s="7" t="n"/>
      <c r="Q77" s="7" t="n"/>
      <c r="T77">
        <f>IF($B77="","",IF($AA77=1,0,IF($Z77=1,Settings!$C$6,Settings!$C$7))*100)</f>
        <v/>
      </c>
      <c r="U77" s="7">
        <f>IF($B77="","",Q77*T77/100)</f>
        <v/>
      </c>
      <c r="V77" s="7">
        <f>IF($B77="","",Q77-U77)</f>
        <v/>
      </c>
      <c r="W77" s="7">
        <f>IF($B77="","",V77-J77)</f>
        <v/>
      </c>
      <c r="X77">
        <f>IF($B77="","",IF(COUNTIF($B$2:$B77,$B77)=1,1,0))</f>
        <v/>
      </c>
      <c r="Y77">
        <f>IF($X77=1,SUMPRODUCT(--($AB$2:$AB$301&lt;$AB77))+1,"")</f>
        <v/>
      </c>
      <c r="Z77">
        <f>IF($B77="","",IF(OR($M77=TRUE(),$M77="TRUE"),1,0))</f>
        <v/>
      </c>
      <c r="AA77">
        <f>IF($B77="","",IF($S77="Yes",1,0))</f>
        <v/>
      </c>
      <c r="AB77">
        <f>IF($X77=1,IFERROR(IF(VALUE($B77)&lt;100000000,VALUE($B77),1000000000),IFERROR(IF(VALUE(MID($B77,2,20))&lt;100000000,VALUE(MID($B77,2,20)),1000000000),1000000000))+ROW()/100000,"")</f>
        <v/>
      </c>
    </row>
    <row r="78">
      <c r="C78" s="11" t="n"/>
      <c r="J78" s="7">
        <f>IF($B78="","",I78*Q78/100)</f>
        <v/>
      </c>
      <c r="P78" s="7" t="n"/>
      <c r="Q78" s="7" t="n"/>
      <c r="T78">
        <f>IF($B78="","",IF($AA78=1,0,IF($Z78=1,Settings!$C$6,Settings!$C$7))*100)</f>
        <v/>
      </c>
      <c r="U78" s="7">
        <f>IF($B78="","",Q78*T78/100)</f>
        <v/>
      </c>
      <c r="V78" s="7">
        <f>IF($B78="","",Q78-U78)</f>
        <v/>
      </c>
      <c r="W78" s="7">
        <f>IF($B78="","",V78-J78)</f>
        <v/>
      </c>
      <c r="X78">
        <f>IF($B78="","",IF(COUNTIF($B$2:$B78,$B78)=1,1,0))</f>
        <v/>
      </c>
      <c r="Y78">
        <f>IF($X78=1,SUMPRODUCT(--($AB$2:$AB$301&lt;$AB78))+1,"")</f>
        <v/>
      </c>
      <c r="Z78">
        <f>IF($B78="","",IF(OR($M78=TRUE(),$M78="TRUE"),1,0))</f>
        <v/>
      </c>
      <c r="AA78">
        <f>IF($B78="","",IF($S78="Yes",1,0))</f>
        <v/>
      </c>
      <c r="AB78">
        <f>IF($X78=1,IFERROR(IF(VALUE($B78)&lt;100000000,VALUE($B78),1000000000),IFERROR(IF(VALUE(MID($B78,2,20))&lt;100000000,VALUE(MID($B78,2,20)),1000000000),1000000000))+ROW()/100000,"")</f>
        <v/>
      </c>
    </row>
    <row r="79">
      <c r="C79" s="11" t="n"/>
      <c r="J79" s="7">
        <f>IF($B79="","",I79*Q79/100)</f>
        <v/>
      </c>
      <c r="P79" s="7" t="n"/>
      <c r="Q79" s="7" t="n"/>
      <c r="T79">
        <f>IF($B79="","",IF($AA79=1,0,IF($Z79=1,Settings!$C$6,Settings!$C$7))*100)</f>
        <v/>
      </c>
      <c r="U79" s="7">
        <f>IF($B79="","",Q79*T79/100)</f>
        <v/>
      </c>
      <c r="V79" s="7">
        <f>IF($B79="","",Q79-U79)</f>
        <v/>
      </c>
      <c r="W79" s="7">
        <f>IF($B79="","",V79-J79)</f>
        <v/>
      </c>
      <c r="X79">
        <f>IF($B79="","",IF(COUNTIF($B$2:$B79,$B79)=1,1,0))</f>
        <v/>
      </c>
      <c r="Y79">
        <f>IF($X79=1,SUMPRODUCT(--($AB$2:$AB$301&lt;$AB79))+1,"")</f>
        <v/>
      </c>
      <c r="Z79">
        <f>IF($B79="","",IF(OR($M79=TRUE(),$M79="TRUE"),1,0))</f>
        <v/>
      </c>
      <c r="AA79">
        <f>IF($B79="","",IF($S79="Yes",1,0))</f>
        <v/>
      </c>
      <c r="AB79">
        <f>IF($X79=1,IFERROR(IF(VALUE($B79)&lt;100000000,VALUE($B79),1000000000),IFERROR(IF(VALUE(MID($B79,2,20))&lt;100000000,VALUE(MID($B79,2,20)),1000000000),1000000000))+ROW()/100000,"")</f>
        <v/>
      </c>
    </row>
    <row r="80">
      <c r="C80" s="11" t="n"/>
      <c r="J80" s="7">
        <f>IF($B80="","",I80*Q80/100)</f>
        <v/>
      </c>
      <c r="P80" s="7" t="n"/>
      <c r="Q80" s="7" t="n"/>
      <c r="T80">
        <f>IF($B80="","",IF($AA80=1,0,IF($Z80=1,Settings!$C$6,Settings!$C$7))*100)</f>
        <v/>
      </c>
      <c r="U80" s="7">
        <f>IF($B80="","",Q80*T80/100)</f>
        <v/>
      </c>
      <c r="V80" s="7">
        <f>IF($B80="","",Q80-U80)</f>
        <v/>
      </c>
      <c r="W80" s="7">
        <f>IF($B80="","",V80-J80)</f>
        <v/>
      </c>
      <c r="X80">
        <f>IF($B80="","",IF(COUNTIF($B$2:$B80,$B80)=1,1,0))</f>
        <v/>
      </c>
      <c r="Y80">
        <f>IF($X80=1,SUMPRODUCT(--($AB$2:$AB$301&lt;$AB80))+1,"")</f>
        <v/>
      </c>
      <c r="Z80">
        <f>IF($B80="","",IF(OR($M80=TRUE(),$M80="TRUE"),1,0))</f>
        <v/>
      </c>
      <c r="AA80">
        <f>IF($B80="","",IF($S80="Yes",1,0))</f>
        <v/>
      </c>
      <c r="AB80">
        <f>IF($X80=1,IFERROR(IF(VALUE($B80)&lt;100000000,VALUE($B80),1000000000),IFERROR(IF(VALUE(MID($B80,2,20))&lt;100000000,VALUE(MID($B80,2,20)),1000000000),1000000000))+ROW()/100000,"")</f>
        <v/>
      </c>
    </row>
    <row r="81">
      <c r="C81" s="11" t="n"/>
      <c r="J81" s="7">
        <f>IF($B81="","",I81*Q81/100)</f>
        <v/>
      </c>
      <c r="P81" s="7" t="n"/>
      <c r="Q81" s="7" t="n"/>
      <c r="T81">
        <f>IF($B81="","",IF($AA81=1,0,IF($Z81=1,Settings!$C$6,Settings!$C$7))*100)</f>
        <v/>
      </c>
      <c r="U81" s="7">
        <f>IF($B81="","",Q81*T81/100)</f>
        <v/>
      </c>
      <c r="V81" s="7">
        <f>IF($B81="","",Q81-U81)</f>
        <v/>
      </c>
      <c r="W81" s="7">
        <f>IF($B81="","",V81-J81)</f>
        <v/>
      </c>
      <c r="X81">
        <f>IF($B81="","",IF(COUNTIF($B$2:$B81,$B81)=1,1,0))</f>
        <v/>
      </c>
      <c r="Y81">
        <f>IF($X81=1,SUMPRODUCT(--($AB$2:$AB$301&lt;$AB81))+1,"")</f>
        <v/>
      </c>
      <c r="Z81">
        <f>IF($B81="","",IF(OR($M81=TRUE(),$M81="TRUE"),1,0))</f>
        <v/>
      </c>
      <c r="AA81">
        <f>IF($B81="","",IF($S81="Yes",1,0))</f>
        <v/>
      </c>
      <c r="AB81">
        <f>IF($X81=1,IFERROR(IF(VALUE($B81)&lt;100000000,VALUE($B81),1000000000),IFERROR(IF(VALUE(MID($B81,2,20))&lt;100000000,VALUE(MID($B81,2,20)),1000000000),1000000000))+ROW()/100000,"")</f>
        <v/>
      </c>
    </row>
    <row r="82">
      <c r="C82" s="11" t="n"/>
      <c r="J82" s="7">
        <f>IF($B82="","",I82*Q82/100)</f>
        <v/>
      </c>
      <c r="P82" s="7" t="n"/>
      <c r="Q82" s="7" t="n"/>
      <c r="T82">
        <f>IF($B82="","",IF($AA82=1,0,IF($Z82=1,Settings!$C$6,Settings!$C$7))*100)</f>
        <v/>
      </c>
      <c r="U82" s="7">
        <f>IF($B82="","",Q82*T82/100)</f>
        <v/>
      </c>
      <c r="V82" s="7">
        <f>IF($B82="","",Q82-U82)</f>
        <v/>
      </c>
      <c r="W82" s="7">
        <f>IF($B82="","",V82-J82)</f>
        <v/>
      </c>
      <c r="X82">
        <f>IF($B82="","",IF(COUNTIF($B$2:$B82,$B82)=1,1,0))</f>
        <v/>
      </c>
      <c r="Y82">
        <f>IF($X82=1,SUMPRODUCT(--($AB$2:$AB$301&lt;$AB82))+1,"")</f>
        <v/>
      </c>
      <c r="Z82">
        <f>IF($B82="","",IF(OR($M82=TRUE(),$M82="TRUE"),1,0))</f>
        <v/>
      </c>
      <c r="AA82">
        <f>IF($B82="","",IF($S82="Yes",1,0))</f>
        <v/>
      </c>
      <c r="AB82">
        <f>IF($X82=1,IFERROR(IF(VALUE($B82)&lt;100000000,VALUE($B82),1000000000),IFERROR(IF(VALUE(MID($B82,2,20))&lt;100000000,VALUE(MID($B82,2,20)),1000000000),1000000000))+ROW()/100000,"")</f>
        <v/>
      </c>
    </row>
    <row r="83">
      <c r="C83" s="11" t="n"/>
      <c r="J83" s="7">
        <f>IF($B83="","",I83*Q83/100)</f>
        <v/>
      </c>
      <c r="P83" s="7" t="n"/>
      <c r="Q83" s="7" t="n"/>
      <c r="T83">
        <f>IF($B83="","",IF($AA83=1,0,IF($Z83=1,Settings!$C$6,Settings!$C$7))*100)</f>
        <v/>
      </c>
      <c r="U83" s="7">
        <f>IF($B83="","",Q83*T83/100)</f>
        <v/>
      </c>
      <c r="V83" s="7">
        <f>IF($B83="","",Q83-U83)</f>
        <v/>
      </c>
      <c r="W83" s="7">
        <f>IF($B83="","",V83-J83)</f>
        <v/>
      </c>
      <c r="X83">
        <f>IF($B83="","",IF(COUNTIF($B$2:$B83,$B83)=1,1,0))</f>
        <v/>
      </c>
      <c r="Y83">
        <f>IF($X83=1,SUMPRODUCT(--($AB$2:$AB$301&lt;$AB83))+1,"")</f>
        <v/>
      </c>
      <c r="Z83">
        <f>IF($B83="","",IF(OR($M83=TRUE(),$M83="TRUE"),1,0))</f>
        <v/>
      </c>
      <c r="AA83">
        <f>IF($B83="","",IF($S83="Yes",1,0))</f>
        <v/>
      </c>
      <c r="AB83">
        <f>IF($X83=1,IFERROR(IF(VALUE($B83)&lt;100000000,VALUE($B83),1000000000),IFERROR(IF(VALUE(MID($B83,2,20))&lt;100000000,VALUE(MID($B83,2,20)),1000000000),1000000000))+ROW()/100000,"")</f>
        <v/>
      </c>
    </row>
    <row r="84">
      <c r="C84" s="11" t="n"/>
      <c r="J84" s="7">
        <f>IF($B84="","",I84*Q84/100)</f>
        <v/>
      </c>
      <c r="P84" s="7" t="n"/>
      <c r="Q84" s="7" t="n"/>
      <c r="T84">
        <f>IF($B84="","",IF($AA84=1,0,IF($Z84=1,Settings!$C$6,Settings!$C$7))*100)</f>
        <v/>
      </c>
      <c r="U84" s="7">
        <f>IF($B84="","",Q84*T84/100)</f>
        <v/>
      </c>
      <c r="V84" s="7">
        <f>IF($B84="","",Q84-U84)</f>
        <v/>
      </c>
      <c r="W84" s="7">
        <f>IF($B84="","",V84-J84)</f>
        <v/>
      </c>
      <c r="X84">
        <f>IF($B84="","",IF(COUNTIF($B$2:$B84,$B84)=1,1,0))</f>
        <v/>
      </c>
      <c r="Y84">
        <f>IF($X84=1,SUMPRODUCT(--($AB$2:$AB$301&lt;$AB84))+1,"")</f>
        <v/>
      </c>
      <c r="Z84">
        <f>IF($B84="","",IF(OR($M84=TRUE(),$M84="TRUE"),1,0))</f>
        <v/>
      </c>
      <c r="AA84">
        <f>IF($B84="","",IF($S84="Yes",1,0))</f>
        <v/>
      </c>
      <c r="AB84">
        <f>IF($X84=1,IFERROR(IF(VALUE($B84)&lt;100000000,VALUE($B84),1000000000),IFERROR(IF(VALUE(MID($B84,2,20))&lt;100000000,VALUE(MID($B84,2,20)),1000000000),1000000000))+ROW()/100000,"")</f>
        <v/>
      </c>
    </row>
    <row r="85">
      <c r="C85" s="11" t="n"/>
      <c r="J85" s="7">
        <f>IF($B85="","",I85*Q85/100)</f>
        <v/>
      </c>
      <c r="P85" s="7" t="n"/>
      <c r="Q85" s="7" t="n"/>
      <c r="T85">
        <f>IF($B85="","",IF($AA85=1,0,IF($Z85=1,Settings!$C$6,Settings!$C$7))*100)</f>
        <v/>
      </c>
      <c r="U85" s="7">
        <f>IF($B85="","",Q85*T85/100)</f>
        <v/>
      </c>
      <c r="V85" s="7">
        <f>IF($B85="","",Q85-U85)</f>
        <v/>
      </c>
      <c r="W85" s="7">
        <f>IF($B85="","",V85-J85)</f>
        <v/>
      </c>
      <c r="X85">
        <f>IF($B85="","",IF(COUNTIF($B$2:$B85,$B85)=1,1,0))</f>
        <v/>
      </c>
      <c r="Y85">
        <f>IF($X85=1,SUMPRODUCT(--($AB$2:$AB$301&lt;$AB85))+1,"")</f>
        <v/>
      </c>
      <c r="Z85">
        <f>IF($B85="","",IF(OR($M85=TRUE(),$M85="TRUE"),1,0))</f>
        <v/>
      </c>
      <c r="AA85">
        <f>IF($B85="","",IF($S85="Yes",1,0))</f>
        <v/>
      </c>
      <c r="AB85">
        <f>IF($X85=1,IFERROR(IF(VALUE($B85)&lt;100000000,VALUE($B85),1000000000),IFERROR(IF(VALUE(MID($B85,2,20))&lt;100000000,VALUE(MID($B85,2,20)),1000000000),1000000000))+ROW()/100000,"")</f>
        <v/>
      </c>
    </row>
    <row r="86">
      <c r="C86" s="11" t="n"/>
      <c r="J86" s="7">
        <f>IF($B86="","",I86*Q86/100)</f>
        <v/>
      </c>
      <c r="P86" s="7" t="n"/>
      <c r="Q86" s="7" t="n"/>
      <c r="T86">
        <f>IF($B86="","",IF($AA86=1,0,IF($Z86=1,Settings!$C$6,Settings!$C$7))*100)</f>
        <v/>
      </c>
      <c r="U86" s="7">
        <f>IF($B86="","",Q86*T86/100)</f>
        <v/>
      </c>
      <c r="V86" s="7">
        <f>IF($B86="","",Q86-U86)</f>
        <v/>
      </c>
      <c r="W86" s="7">
        <f>IF($B86="","",V86-J86)</f>
        <v/>
      </c>
      <c r="X86">
        <f>IF($B86="","",IF(COUNTIF($B$2:$B86,$B86)=1,1,0))</f>
        <v/>
      </c>
      <c r="Y86">
        <f>IF($X86=1,SUMPRODUCT(--($AB$2:$AB$301&lt;$AB86))+1,"")</f>
        <v/>
      </c>
      <c r="Z86">
        <f>IF($B86="","",IF(OR($M86=TRUE(),$M86="TRUE"),1,0))</f>
        <v/>
      </c>
      <c r="AA86">
        <f>IF($B86="","",IF($S86="Yes",1,0))</f>
        <v/>
      </c>
      <c r="AB86">
        <f>IF($X86=1,IFERROR(IF(VALUE($B86)&lt;100000000,VALUE($B86),1000000000),IFERROR(IF(VALUE(MID($B86,2,20))&lt;100000000,VALUE(MID($B86,2,20)),1000000000),1000000000))+ROW()/100000,"")</f>
        <v/>
      </c>
    </row>
    <row r="87">
      <c r="C87" s="11" t="n"/>
      <c r="J87" s="7">
        <f>IF($B87="","",I87*Q87/100)</f>
        <v/>
      </c>
      <c r="P87" s="7" t="n"/>
      <c r="Q87" s="7" t="n"/>
      <c r="T87">
        <f>IF($B87="","",IF($AA87=1,0,IF($Z87=1,Settings!$C$6,Settings!$C$7))*100)</f>
        <v/>
      </c>
      <c r="U87" s="7">
        <f>IF($B87="","",Q87*T87/100)</f>
        <v/>
      </c>
      <c r="V87" s="7">
        <f>IF($B87="","",Q87-U87)</f>
        <v/>
      </c>
      <c r="W87" s="7">
        <f>IF($B87="","",V87-J87)</f>
        <v/>
      </c>
      <c r="X87">
        <f>IF($B87="","",IF(COUNTIF($B$2:$B87,$B87)=1,1,0))</f>
        <v/>
      </c>
      <c r="Y87">
        <f>IF($X87=1,SUMPRODUCT(--($AB$2:$AB$301&lt;$AB87))+1,"")</f>
        <v/>
      </c>
      <c r="Z87">
        <f>IF($B87="","",IF(OR($M87=TRUE(),$M87="TRUE"),1,0))</f>
        <v/>
      </c>
      <c r="AA87">
        <f>IF($B87="","",IF($S87="Yes",1,0))</f>
        <v/>
      </c>
      <c r="AB87">
        <f>IF($X87=1,IFERROR(IF(VALUE($B87)&lt;100000000,VALUE($B87),1000000000),IFERROR(IF(VALUE(MID($B87,2,20))&lt;100000000,VALUE(MID($B87,2,20)),1000000000),1000000000))+ROW()/100000,"")</f>
        <v/>
      </c>
    </row>
    <row r="88">
      <c r="C88" s="11" t="n"/>
      <c r="J88" s="7">
        <f>IF($B88="","",I88*Q88/100)</f>
        <v/>
      </c>
      <c r="P88" s="7" t="n"/>
      <c r="Q88" s="7" t="n"/>
      <c r="T88">
        <f>IF($B88="","",IF($AA88=1,0,IF($Z88=1,Settings!$C$6,Settings!$C$7))*100)</f>
        <v/>
      </c>
      <c r="U88" s="7">
        <f>IF($B88="","",Q88*T88/100)</f>
        <v/>
      </c>
      <c r="V88" s="7">
        <f>IF($B88="","",Q88-U88)</f>
        <v/>
      </c>
      <c r="W88" s="7">
        <f>IF($B88="","",V88-J88)</f>
        <v/>
      </c>
      <c r="X88">
        <f>IF($B88="","",IF(COUNTIF($B$2:$B88,$B88)=1,1,0))</f>
        <v/>
      </c>
      <c r="Y88">
        <f>IF($X88=1,SUMPRODUCT(--($AB$2:$AB$301&lt;$AB88))+1,"")</f>
        <v/>
      </c>
      <c r="Z88">
        <f>IF($B88="","",IF(OR($M88=TRUE(),$M88="TRUE"),1,0))</f>
        <v/>
      </c>
      <c r="AA88">
        <f>IF($B88="","",IF($S88="Yes",1,0))</f>
        <v/>
      </c>
      <c r="AB88">
        <f>IF($X88=1,IFERROR(IF(VALUE($B88)&lt;100000000,VALUE($B88),1000000000),IFERROR(IF(VALUE(MID($B88,2,20))&lt;100000000,VALUE(MID($B88,2,20)),1000000000),1000000000))+ROW()/100000,"")</f>
        <v/>
      </c>
    </row>
    <row r="89">
      <c r="C89" s="11" t="n"/>
      <c r="J89" s="7">
        <f>IF($B89="","",I89*Q89/100)</f>
        <v/>
      </c>
      <c r="P89" s="7" t="n"/>
      <c r="Q89" s="7" t="n"/>
      <c r="T89">
        <f>IF($B89="","",IF($AA89=1,0,IF($Z89=1,Settings!$C$6,Settings!$C$7))*100)</f>
        <v/>
      </c>
      <c r="U89" s="7">
        <f>IF($B89="","",Q89*T89/100)</f>
        <v/>
      </c>
      <c r="V89" s="7">
        <f>IF($B89="","",Q89-U89)</f>
        <v/>
      </c>
      <c r="W89" s="7">
        <f>IF($B89="","",V89-J89)</f>
        <v/>
      </c>
      <c r="X89">
        <f>IF($B89="","",IF(COUNTIF($B$2:$B89,$B89)=1,1,0))</f>
        <v/>
      </c>
      <c r="Y89">
        <f>IF($X89=1,SUMPRODUCT(--($AB$2:$AB$301&lt;$AB89))+1,"")</f>
        <v/>
      </c>
      <c r="Z89">
        <f>IF($B89="","",IF(OR($M89=TRUE(),$M89="TRUE"),1,0))</f>
        <v/>
      </c>
      <c r="AA89">
        <f>IF($B89="","",IF($S89="Yes",1,0))</f>
        <v/>
      </c>
      <c r="AB89">
        <f>IF($X89=1,IFERROR(IF(VALUE($B89)&lt;100000000,VALUE($B89),1000000000),IFERROR(IF(VALUE(MID($B89,2,20))&lt;100000000,VALUE(MID($B89,2,20)),1000000000),1000000000))+ROW()/100000,"")</f>
        <v/>
      </c>
    </row>
    <row r="90">
      <c r="C90" s="11" t="n"/>
      <c r="J90" s="7">
        <f>IF($B90="","",I90*Q90/100)</f>
        <v/>
      </c>
      <c r="P90" s="7" t="n"/>
      <c r="Q90" s="7" t="n"/>
      <c r="T90">
        <f>IF($B90="","",IF($AA90=1,0,IF($Z90=1,Settings!$C$6,Settings!$C$7))*100)</f>
        <v/>
      </c>
      <c r="U90" s="7">
        <f>IF($B90="","",Q90*T90/100)</f>
        <v/>
      </c>
      <c r="V90" s="7">
        <f>IF($B90="","",Q90-U90)</f>
        <v/>
      </c>
      <c r="W90" s="7">
        <f>IF($B90="","",V90-J90)</f>
        <v/>
      </c>
      <c r="X90">
        <f>IF($B90="","",IF(COUNTIF($B$2:$B90,$B90)=1,1,0))</f>
        <v/>
      </c>
      <c r="Y90">
        <f>IF($X90=1,SUMPRODUCT(--($AB$2:$AB$301&lt;$AB90))+1,"")</f>
        <v/>
      </c>
      <c r="Z90">
        <f>IF($B90="","",IF(OR($M90=TRUE(),$M90="TRUE"),1,0))</f>
        <v/>
      </c>
      <c r="AA90">
        <f>IF($B90="","",IF($S90="Yes",1,0))</f>
        <v/>
      </c>
      <c r="AB90">
        <f>IF($X90=1,IFERROR(IF(VALUE($B90)&lt;100000000,VALUE($B90),1000000000),IFERROR(IF(VALUE(MID($B90,2,20))&lt;100000000,VALUE(MID($B90,2,20)),1000000000),1000000000))+ROW()/100000,"")</f>
        <v/>
      </c>
    </row>
    <row r="91">
      <c r="C91" s="11" t="n"/>
      <c r="J91" s="7">
        <f>IF($B91="","",I91*Q91/100)</f>
        <v/>
      </c>
      <c r="P91" s="7" t="n"/>
      <c r="Q91" s="7" t="n"/>
      <c r="T91">
        <f>IF($B91="","",IF($AA91=1,0,IF($Z91=1,Settings!$C$6,Settings!$C$7))*100)</f>
        <v/>
      </c>
      <c r="U91" s="7">
        <f>IF($B91="","",Q91*T91/100)</f>
        <v/>
      </c>
      <c r="V91" s="7">
        <f>IF($B91="","",Q91-U91)</f>
        <v/>
      </c>
      <c r="W91" s="7">
        <f>IF($B91="","",V91-J91)</f>
        <v/>
      </c>
      <c r="X91">
        <f>IF($B91="","",IF(COUNTIF($B$2:$B91,$B91)=1,1,0))</f>
        <v/>
      </c>
      <c r="Y91">
        <f>IF($X91=1,SUMPRODUCT(--($AB$2:$AB$301&lt;$AB91))+1,"")</f>
        <v/>
      </c>
      <c r="Z91">
        <f>IF($B91="","",IF(OR($M91=TRUE(),$M91="TRUE"),1,0))</f>
        <v/>
      </c>
      <c r="AA91">
        <f>IF($B91="","",IF($S91="Yes",1,0))</f>
        <v/>
      </c>
      <c r="AB91">
        <f>IF($X91=1,IFERROR(IF(VALUE($B91)&lt;100000000,VALUE($B91),1000000000),IFERROR(IF(VALUE(MID($B91,2,20))&lt;100000000,VALUE(MID($B91,2,20)),1000000000),1000000000))+ROW()/100000,"")</f>
        <v/>
      </c>
    </row>
    <row r="92">
      <c r="C92" s="11" t="n"/>
      <c r="J92" s="7">
        <f>IF($B92="","",I92*Q92/100)</f>
        <v/>
      </c>
      <c r="P92" s="7" t="n"/>
      <c r="Q92" s="7" t="n"/>
      <c r="T92">
        <f>IF($B92="","",IF($AA92=1,0,IF($Z92=1,Settings!$C$6,Settings!$C$7))*100)</f>
        <v/>
      </c>
      <c r="U92" s="7">
        <f>IF($B92="","",Q92*T92/100)</f>
        <v/>
      </c>
      <c r="V92" s="7">
        <f>IF($B92="","",Q92-U92)</f>
        <v/>
      </c>
      <c r="W92" s="7">
        <f>IF($B92="","",V92-J92)</f>
        <v/>
      </c>
      <c r="X92">
        <f>IF($B92="","",IF(COUNTIF($B$2:$B92,$B92)=1,1,0))</f>
        <v/>
      </c>
      <c r="Y92">
        <f>IF($X92=1,SUMPRODUCT(--($AB$2:$AB$301&lt;$AB92))+1,"")</f>
        <v/>
      </c>
      <c r="Z92">
        <f>IF($B92="","",IF(OR($M92=TRUE(),$M92="TRUE"),1,0))</f>
        <v/>
      </c>
      <c r="AA92">
        <f>IF($B92="","",IF($S92="Yes",1,0))</f>
        <v/>
      </c>
      <c r="AB92">
        <f>IF($X92=1,IFERROR(IF(VALUE($B92)&lt;100000000,VALUE($B92),1000000000),IFERROR(IF(VALUE(MID($B92,2,20))&lt;100000000,VALUE(MID($B92,2,20)),1000000000),1000000000))+ROW()/100000,"")</f>
        <v/>
      </c>
    </row>
    <row r="93">
      <c r="C93" s="11" t="n"/>
      <c r="J93" s="7">
        <f>IF($B93="","",I93*Q93/100)</f>
        <v/>
      </c>
      <c r="P93" s="7" t="n"/>
      <c r="Q93" s="7" t="n"/>
      <c r="T93">
        <f>IF($B93="","",IF($AA93=1,0,IF($Z93=1,Settings!$C$6,Settings!$C$7))*100)</f>
        <v/>
      </c>
      <c r="U93" s="7">
        <f>IF($B93="","",Q93*T93/100)</f>
        <v/>
      </c>
      <c r="V93" s="7">
        <f>IF($B93="","",Q93-U93)</f>
        <v/>
      </c>
      <c r="W93" s="7">
        <f>IF($B93="","",V93-J93)</f>
        <v/>
      </c>
      <c r="X93">
        <f>IF($B93="","",IF(COUNTIF($B$2:$B93,$B93)=1,1,0))</f>
        <v/>
      </c>
      <c r="Y93">
        <f>IF($X93=1,SUMPRODUCT(--($AB$2:$AB$301&lt;$AB93))+1,"")</f>
        <v/>
      </c>
      <c r="Z93">
        <f>IF($B93="","",IF(OR($M93=TRUE(),$M93="TRUE"),1,0))</f>
        <v/>
      </c>
      <c r="AA93">
        <f>IF($B93="","",IF($S93="Yes",1,0))</f>
        <v/>
      </c>
      <c r="AB93">
        <f>IF($X93=1,IFERROR(IF(VALUE($B93)&lt;100000000,VALUE($B93),1000000000),IFERROR(IF(VALUE(MID($B93,2,20))&lt;100000000,VALUE(MID($B93,2,20)),1000000000),1000000000))+ROW()/100000,"")</f>
        <v/>
      </c>
    </row>
    <row r="94">
      <c r="C94" s="11" t="n"/>
      <c r="J94" s="7">
        <f>IF($B94="","",I94*Q94/100)</f>
        <v/>
      </c>
      <c r="P94" s="7" t="n"/>
      <c r="Q94" s="7" t="n"/>
      <c r="T94">
        <f>IF($B94="","",IF($AA94=1,0,IF($Z94=1,Settings!$C$6,Settings!$C$7))*100)</f>
        <v/>
      </c>
      <c r="U94" s="7">
        <f>IF($B94="","",Q94*T94/100)</f>
        <v/>
      </c>
      <c r="V94" s="7">
        <f>IF($B94="","",Q94-U94)</f>
        <v/>
      </c>
      <c r="W94" s="7">
        <f>IF($B94="","",V94-J94)</f>
        <v/>
      </c>
      <c r="X94">
        <f>IF($B94="","",IF(COUNTIF($B$2:$B94,$B94)=1,1,0))</f>
        <v/>
      </c>
      <c r="Y94">
        <f>IF($X94=1,SUMPRODUCT(--($AB$2:$AB$301&lt;$AB94))+1,"")</f>
        <v/>
      </c>
      <c r="Z94">
        <f>IF($B94="","",IF(OR($M94=TRUE(),$M94="TRUE"),1,0))</f>
        <v/>
      </c>
      <c r="AA94">
        <f>IF($B94="","",IF($S94="Yes",1,0))</f>
        <v/>
      </c>
      <c r="AB94">
        <f>IF($X94=1,IFERROR(IF(VALUE($B94)&lt;100000000,VALUE($B94),1000000000),IFERROR(IF(VALUE(MID($B94,2,20))&lt;100000000,VALUE(MID($B94,2,20)),1000000000),1000000000))+ROW()/100000,"")</f>
        <v/>
      </c>
    </row>
    <row r="95">
      <c r="C95" s="11" t="n"/>
      <c r="J95" s="7">
        <f>IF($B95="","",I95*Q95/100)</f>
        <v/>
      </c>
      <c r="P95" s="7" t="n"/>
      <c r="Q95" s="7" t="n"/>
      <c r="T95">
        <f>IF($B95="","",IF($AA95=1,0,IF($Z95=1,Settings!$C$6,Settings!$C$7))*100)</f>
        <v/>
      </c>
      <c r="U95" s="7">
        <f>IF($B95="","",Q95*T95/100)</f>
        <v/>
      </c>
      <c r="V95" s="7">
        <f>IF($B95="","",Q95-U95)</f>
        <v/>
      </c>
      <c r="W95" s="7">
        <f>IF($B95="","",V95-J95)</f>
        <v/>
      </c>
      <c r="X95">
        <f>IF($B95="","",IF(COUNTIF($B$2:$B95,$B95)=1,1,0))</f>
        <v/>
      </c>
      <c r="Y95">
        <f>IF($X95=1,SUMPRODUCT(--($AB$2:$AB$301&lt;$AB95))+1,"")</f>
        <v/>
      </c>
      <c r="Z95">
        <f>IF($B95="","",IF(OR($M95=TRUE(),$M95="TRUE"),1,0))</f>
        <v/>
      </c>
      <c r="AA95">
        <f>IF($B95="","",IF($S95="Yes",1,0))</f>
        <v/>
      </c>
      <c r="AB95">
        <f>IF($X95=1,IFERROR(IF(VALUE($B95)&lt;100000000,VALUE($B95),1000000000),IFERROR(IF(VALUE(MID($B95,2,20))&lt;100000000,VALUE(MID($B95,2,20)),1000000000),1000000000))+ROW()/100000,"")</f>
        <v/>
      </c>
    </row>
    <row r="96">
      <c r="C96" s="11" t="n"/>
      <c r="J96" s="7">
        <f>IF($B96="","",I96*Q96/100)</f>
        <v/>
      </c>
      <c r="P96" s="7" t="n"/>
      <c r="Q96" s="7" t="n"/>
      <c r="T96">
        <f>IF($B96="","",IF($AA96=1,0,IF($Z96=1,Settings!$C$6,Settings!$C$7))*100)</f>
        <v/>
      </c>
      <c r="U96" s="7">
        <f>IF($B96="","",Q96*T96/100)</f>
        <v/>
      </c>
      <c r="V96" s="7">
        <f>IF($B96="","",Q96-U96)</f>
        <v/>
      </c>
      <c r="W96" s="7">
        <f>IF($B96="","",V96-J96)</f>
        <v/>
      </c>
      <c r="X96">
        <f>IF($B96="","",IF(COUNTIF($B$2:$B96,$B96)=1,1,0))</f>
        <v/>
      </c>
      <c r="Y96">
        <f>IF($X96=1,SUMPRODUCT(--($AB$2:$AB$301&lt;$AB96))+1,"")</f>
        <v/>
      </c>
      <c r="Z96">
        <f>IF($B96="","",IF(OR($M96=TRUE(),$M96="TRUE"),1,0))</f>
        <v/>
      </c>
      <c r="AA96">
        <f>IF($B96="","",IF($S96="Yes",1,0))</f>
        <v/>
      </c>
      <c r="AB96">
        <f>IF($X96=1,IFERROR(IF(VALUE($B96)&lt;100000000,VALUE($B96),1000000000),IFERROR(IF(VALUE(MID($B96,2,20))&lt;100000000,VALUE(MID($B96,2,20)),1000000000),1000000000))+ROW()/100000,"")</f>
        <v/>
      </c>
    </row>
    <row r="97">
      <c r="C97" s="11" t="n"/>
      <c r="J97" s="7">
        <f>IF($B97="","",I97*Q97/100)</f>
        <v/>
      </c>
      <c r="P97" s="7" t="n"/>
      <c r="Q97" s="7" t="n"/>
      <c r="T97">
        <f>IF($B97="","",IF($AA97=1,0,IF($Z97=1,Settings!$C$6,Settings!$C$7))*100)</f>
        <v/>
      </c>
      <c r="U97" s="7">
        <f>IF($B97="","",Q97*T97/100)</f>
        <v/>
      </c>
      <c r="V97" s="7">
        <f>IF($B97="","",Q97-U97)</f>
        <v/>
      </c>
      <c r="W97" s="7">
        <f>IF($B97="","",V97-J97)</f>
        <v/>
      </c>
      <c r="X97">
        <f>IF($B97="","",IF(COUNTIF($B$2:$B97,$B97)=1,1,0))</f>
        <v/>
      </c>
      <c r="Y97">
        <f>IF($X97=1,SUMPRODUCT(--($AB$2:$AB$301&lt;$AB97))+1,"")</f>
        <v/>
      </c>
      <c r="Z97">
        <f>IF($B97="","",IF(OR($M97=TRUE(),$M97="TRUE"),1,0))</f>
        <v/>
      </c>
      <c r="AA97">
        <f>IF($B97="","",IF($S97="Yes",1,0))</f>
        <v/>
      </c>
      <c r="AB97">
        <f>IF($X97=1,IFERROR(IF(VALUE($B97)&lt;100000000,VALUE($B97),1000000000),IFERROR(IF(VALUE(MID($B97,2,20))&lt;100000000,VALUE(MID($B97,2,20)),1000000000),1000000000))+ROW()/100000,"")</f>
        <v/>
      </c>
    </row>
    <row r="98">
      <c r="C98" s="11" t="n"/>
      <c r="J98" s="7">
        <f>IF($B98="","",I98*Q98/100)</f>
        <v/>
      </c>
      <c r="P98" s="7" t="n"/>
      <c r="Q98" s="7" t="n"/>
      <c r="T98">
        <f>IF($B98="","",IF($AA98=1,0,IF($Z98=1,Settings!$C$6,Settings!$C$7))*100)</f>
        <v/>
      </c>
      <c r="U98" s="7">
        <f>IF($B98="","",Q98*T98/100)</f>
        <v/>
      </c>
      <c r="V98" s="7">
        <f>IF($B98="","",Q98-U98)</f>
        <v/>
      </c>
      <c r="W98" s="7">
        <f>IF($B98="","",V98-J98)</f>
        <v/>
      </c>
      <c r="X98">
        <f>IF($B98="","",IF(COUNTIF($B$2:$B98,$B98)=1,1,0))</f>
        <v/>
      </c>
      <c r="Y98">
        <f>IF($X98=1,SUMPRODUCT(--($AB$2:$AB$301&lt;$AB98))+1,"")</f>
        <v/>
      </c>
      <c r="Z98">
        <f>IF($B98="","",IF(OR($M98=TRUE(),$M98="TRUE"),1,0))</f>
        <v/>
      </c>
      <c r="AA98">
        <f>IF($B98="","",IF($S98="Yes",1,0))</f>
        <v/>
      </c>
      <c r="AB98">
        <f>IF($X98=1,IFERROR(IF(VALUE($B98)&lt;100000000,VALUE($B98),1000000000),IFERROR(IF(VALUE(MID($B98,2,20))&lt;100000000,VALUE(MID($B98,2,20)),1000000000),1000000000))+ROW()/100000,"")</f>
        <v/>
      </c>
    </row>
    <row r="99">
      <c r="C99" s="11" t="n"/>
      <c r="J99" s="7">
        <f>IF($B99="","",I99*Q99/100)</f>
        <v/>
      </c>
      <c r="P99" s="7" t="n"/>
      <c r="Q99" s="7" t="n"/>
      <c r="T99">
        <f>IF($B99="","",IF($AA99=1,0,IF($Z99=1,Settings!$C$6,Settings!$C$7))*100)</f>
        <v/>
      </c>
      <c r="U99" s="7">
        <f>IF($B99="","",Q99*T99/100)</f>
        <v/>
      </c>
      <c r="V99" s="7">
        <f>IF($B99="","",Q99-U99)</f>
        <v/>
      </c>
      <c r="W99" s="7">
        <f>IF($B99="","",V99-J99)</f>
        <v/>
      </c>
      <c r="X99">
        <f>IF($B99="","",IF(COUNTIF($B$2:$B99,$B99)=1,1,0))</f>
        <v/>
      </c>
      <c r="Y99">
        <f>IF($X99=1,SUMPRODUCT(--($AB$2:$AB$301&lt;$AB99))+1,"")</f>
        <v/>
      </c>
      <c r="Z99">
        <f>IF($B99="","",IF(OR($M99=TRUE(),$M99="TRUE"),1,0))</f>
        <v/>
      </c>
      <c r="AA99">
        <f>IF($B99="","",IF($S99="Yes",1,0))</f>
        <v/>
      </c>
      <c r="AB99">
        <f>IF($X99=1,IFERROR(IF(VALUE($B99)&lt;100000000,VALUE($B99),1000000000),IFERROR(IF(VALUE(MID($B99,2,20))&lt;100000000,VALUE(MID($B99,2,20)),1000000000),1000000000))+ROW()/100000,"")</f>
        <v/>
      </c>
    </row>
    <row r="100">
      <c r="C100" s="11" t="n"/>
      <c r="J100" s="7">
        <f>IF($B100="","",I100*Q100/100)</f>
        <v/>
      </c>
      <c r="P100" s="7" t="n"/>
      <c r="Q100" s="7" t="n"/>
      <c r="T100">
        <f>IF($B100="","",IF($AA100=1,0,IF($Z100=1,Settings!$C$6,Settings!$C$7))*100)</f>
        <v/>
      </c>
      <c r="U100" s="7">
        <f>IF($B100="","",Q100*T100/100)</f>
        <v/>
      </c>
      <c r="V100" s="7">
        <f>IF($B100="","",Q100-U100)</f>
        <v/>
      </c>
      <c r="W100" s="7">
        <f>IF($B100="","",V100-J100)</f>
        <v/>
      </c>
      <c r="X100">
        <f>IF($B100="","",IF(COUNTIF($B$2:$B100,$B100)=1,1,0))</f>
        <v/>
      </c>
      <c r="Y100">
        <f>IF($X100=1,SUMPRODUCT(--($AB$2:$AB$301&lt;$AB100))+1,"")</f>
        <v/>
      </c>
      <c r="Z100">
        <f>IF($B100="","",IF(OR($M100=TRUE(),$M100="TRUE"),1,0))</f>
        <v/>
      </c>
      <c r="AA100">
        <f>IF($B100="","",IF($S100="Yes",1,0))</f>
        <v/>
      </c>
      <c r="AB100">
        <f>IF($X100=1,IFERROR(IF(VALUE($B100)&lt;100000000,VALUE($B100),1000000000),IFERROR(IF(VALUE(MID($B100,2,20))&lt;100000000,VALUE(MID($B100,2,20)),1000000000),1000000000))+ROW()/100000,"")</f>
        <v/>
      </c>
    </row>
    <row r="101">
      <c r="C101" s="11" t="n"/>
      <c r="J101" s="7">
        <f>IF($B101="","",I101*Q101/100)</f>
        <v/>
      </c>
      <c r="P101" s="7" t="n"/>
      <c r="Q101" s="7" t="n"/>
      <c r="T101">
        <f>IF($B101="","",IF($AA101=1,0,IF($Z101=1,Settings!$C$6,Settings!$C$7))*100)</f>
        <v/>
      </c>
      <c r="U101" s="7">
        <f>IF($B101="","",Q101*T101/100)</f>
        <v/>
      </c>
      <c r="V101" s="7">
        <f>IF($B101="","",Q101-U101)</f>
        <v/>
      </c>
      <c r="W101" s="7">
        <f>IF($B101="","",V101-J101)</f>
        <v/>
      </c>
      <c r="X101">
        <f>IF($B101="","",IF(COUNTIF($B$2:$B101,$B101)=1,1,0))</f>
        <v/>
      </c>
      <c r="Y101">
        <f>IF($X101=1,SUMPRODUCT(--($AB$2:$AB$301&lt;$AB101))+1,"")</f>
        <v/>
      </c>
      <c r="Z101">
        <f>IF($B101="","",IF(OR($M101=TRUE(),$M101="TRUE"),1,0))</f>
        <v/>
      </c>
      <c r="AA101">
        <f>IF($B101="","",IF($S101="Yes",1,0))</f>
        <v/>
      </c>
      <c r="AB101">
        <f>IF($X101=1,IFERROR(IF(VALUE($B101)&lt;100000000,VALUE($B101),1000000000),IFERROR(IF(VALUE(MID($B101,2,20))&lt;100000000,VALUE(MID($B101,2,20)),1000000000),1000000000))+ROW()/100000,"")</f>
        <v/>
      </c>
    </row>
    <row r="102">
      <c r="C102" s="11" t="n"/>
      <c r="J102" s="7">
        <f>IF($B102="","",I102*Q102/100)</f>
        <v/>
      </c>
      <c r="P102" s="7" t="n"/>
      <c r="Q102" s="7" t="n"/>
      <c r="T102">
        <f>IF($B102="","",IF($AA102=1,0,IF($Z102=1,Settings!$C$6,Settings!$C$7))*100)</f>
        <v/>
      </c>
      <c r="U102" s="7">
        <f>IF($B102="","",Q102*T102/100)</f>
        <v/>
      </c>
      <c r="V102" s="7">
        <f>IF($B102="","",Q102-U102)</f>
        <v/>
      </c>
      <c r="W102" s="7">
        <f>IF($B102="","",V102-J102)</f>
        <v/>
      </c>
      <c r="X102">
        <f>IF($B102="","",IF(COUNTIF($B$2:$B102,$B102)=1,1,0))</f>
        <v/>
      </c>
      <c r="Y102">
        <f>IF($X102=1,SUMPRODUCT(--($AB$2:$AB$301&lt;$AB102))+1,"")</f>
        <v/>
      </c>
      <c r="Z102">
        <f>IF($B102="","",IF(OR($M102=TRUE(),$M102="TRUE"),1,0))</f>
        <v/>
      </c>
      <c r="AA102">
        <f>IF($B102="","",IF($S102="Yes",1,0))</f>
        <v/>
      </c>
      <c r="AB102">
        <f>IF($X102=1,IFERROR(IF(VALUE($B102)&lt;100000000,VALUE($B102),1000000000),IFERROR(IF(VALUE(MID($B102,2,20))&lt;100000000,VALUE(MID($B102,2,20)),1000000000),1000000000))+ROW()/100000,"")</f>
        <v/>
      </c>
    </row>
    <row r="103">
      <c r="C103" s="11" t="n"/>
      <c r="J103" s="7">
        <f>IF($B103="","",I103*Q103/100)</f>
        <v/>
      </c>
      <c r="P103" s="7" t="n"/>
      <c r="Q103" s="7" t="n"/>
      <c r="T103">
        <f>IF($B103="","",IF($AA103=1,0,IF($Z103=1,Settings!$C$6,Settings!$C$7))*100)</f>
        <v/>
      </c>
      <c r="U103" s="7">
        <f>IF($B103="","",Q103*T103/100)</f>
        <v/>
      </c>
      <c r="V103" s="7">
        <f>IF($B103="","",Q103-U103)</f>
        <v/>
      </c>
      <c r="W103" s="7">
        <f>IF($B103="","",V103-J103)</f>
        <v/>
      </c>
      <c r="X103">
        <f>IF($B103="","",IF(COUNTIF($B$2:$B103,$B103)=1,1,0))</f>
        <v/>
      </c>
      <c r="Y103">
        <f>IF($X103=1,SUMPRODUCT(--($AB$2:$AB$301&lt;$AB103))+1,"")</f>
        <v/>
      </c>
      <c r="Z103">
        <f>IF($B103="","",IF(OR($M103=TRUE(),$M103="TRUE"),1,0))</f>
        <v/>
      </c>
      <c r="AA103">
        <f>IF($B103="","",IF($S103="Yes",1,0))</f>
        <v/>
      </c>
      <c r="AB103">
        <f>IF($X103=1,IFERROR(IF(VALUE($B103)&lt;100000000,VALUE($B103),1000000000),IFERROR(IF(VALUE(MID($B103,2,20))&lt;100000000,VALUE(MID($B103,2,20)),1000000000),1000000000))+ROW()/100000,"")</f>
        <v/>
      </c>
    </row>
    <row r="104">
      <c r="C104" s="11" t="n"/>
      <c r="J104" s="7">
        <f>IF($B104="","",I104*Q104/100)</f>
        <v/>
      </c>
      <c r="P104" s="7" t="n"/>
      <c r="Q104" s="7" t="n"/>
      <c r="T104">
        <f>IF($B104="","",IF($AA104=1,0,IF($Z104=1,Settings!$C$6,Settings!$C$7))*100)</f>
        <v/>
      </c>
      <c r="U104" s="7">
        <f>IF($B104="","",Q104*T104/100)</f>
        <v/>
      </c>
      <c r="V104" s="7">
        <f>IF($B104="","",Q104-U104)</f>
        <v/>
      </c>
      <c r="W104" s="7">
        <f>IF($B104="","",V104-J104)</f>
        <v/>
      </c>
      <c r="X104">
        <f>IF($B104="","",IF(COUNTIF($B$2:$B104,$B104)=1,1,0))</f>
        <v/>
      </c>
      <c r="Y104">
        <f>IF($X104=1,SUMPRODUCT(--($AB$2:$AB$301&lt;$AB104))+1,"")</f>
        <v/>
      </c>
      <c r="Z104">
        <f>IF($B104="","",IF(OR($M104=TRUE(),$M104="TRUE"),1,0))</f>
        <v/>
      </c>
      <c r="AA104">
        <f>IF($B104="","",IF($S104="Yes",1,0))</f>
        <v/>
      </c>
      <c r="AB104">
        <f>IF($X104=1,IFERROR(IF(VALUE($B104)&lt;100000000,VALUE($B104),1000000000),IFERROR(IF(VALUE(MID($B104,2,20))&lt;100000000,VALUE(MID($B104,2,20)),1000000000),1000000000))+ROW()/100000,"")</f>
        <v/>
      </c>
    </row>
    <row r="105">
      <c r="C105" s="11" t="n"/>
      <c r="J105" s="7">
        <f>IF($B105="","",I105*Q105/100)</f>
        <v/>
      </c>
      <c r="P105" s="7" t="n"/>
      <c r="Q105" s="7" t="n"/>
      <c r="T105">
        <f>IF($B105="","",IF($AA105=1,0,IF($Z105=1,Settings!$C$6,Settings!$C$7))*100)</f>
        <v/>
      </c>
      <c r="U105" s="7">
        <f>IF($B105="","",Q105*T105/100)</f>
        <v/>
      </c>
      <c r="V105" s="7">
        <f>IF($B105="","",Q105-U105)</f>
        <v/>
      </c>
      <c r="W105" s="7">
        <f>IF($B105="","",V105-J105)</f>
        <v/>
      </c>
      <c r="X105">
        <f>IF($B105="","",IF(COUNTIF($B$2:$B105,$B105)=1,1,0))</f>
        <v/>
      </c>
      <c r="Y105">
        <f>IF($X105=1,SUMPRODUCT(--($AB$2:$AB$301&lt;$AB105))+1,"")</f>
        <v/>
      </c>
      <c r="Z105">
        <f>IF($B105="","",IF(OR($M105=TRUE(),$M105="TRUE"),1,0))</f>
        <v/>
      </c>
      <c r="AA105">
        <f>IF($B105="","",IF($S105="Yes",1,0))</f>
        <v/>
      </c>
      <c r="AB105">
        <f>IF($X105=1,IFERROR(IF(VALUE($B105)&lt;100000000,VALUE($B105),1000000000),IFERROR(IF(VALUE(MID($B105,2,20))&lt;100000000,VALUE(MID($B105,2,20)),1000000000),1000000000))+ROW()/100000,"")</f>
        <v/>
      </c>
    </row>
    <row r="106">
      <c r="C106" s="11" t="n"/>
      <c r="J106" s="7">
        <f>IF($B106="","",I106*Q106/100)</f>
        <v/>
      </c>
      <c r="P106" s="7" t="n"/>
      <c r="Q106" s="7" t="n"/>
      <c r="T106">
        <f>IF($B106="","",IF($AA106=1,0,IF($Z106=1,Settings!$C$6,Settings!$C$7))*100)</f>
        <v/>
      </c>
      <c r="U106" s="7">
        <f>IF($B106="","",Q106*T106/100)</f>
        <v/>
      </c>
      <c r="V106" s="7">
        <f>IF($B106="","",Q106-U106)</f>
        <v/>
      </c>
      <c r="W106" s="7">
        <f>IF($B106="","",V106-J106)</f>
        <v/>
      </c>
      <c r="X106">
        <f>IF($B106="","",IF(COUNTIF($B$2:$B106,$B106)=1,1,0))</f>
        <v/>
      </c>
      <c r="Y106">
        <f>IF($X106=1,SUMPRODUCT(--($AB$2:$AB$301&lt;$AB106))+1,"")</f>
        <v/>
      </c>
      <c r="Z106">
        <f>IF($B106="","",IF(OR($M106=TRUE(),$M106="TRUE"),1,0))</f>
        <v/>
      </c>
      <c r="AA106">
        <f>IF($B106="","",IF($S106="Yes",1,0))</f>
        <v/>
      </c>
      <c r="AB106">
        <f>IF($X106=1,IFERROR(IF(VALUE($B106)&lt;100000000,VALUE($B106),1000000000),IFERROR(IF(VALUE(MID($B106,2,20))&lt;100000000,VALUE(MID($B106,2,20)),1000000000),1000000000))+ROW()/100000,"")</f>
        <v/>
      </c>
    </row>
    <row r="107">
      <c r="C107" s="11" t="n"/>
      <c r="J107" s="7">
        <f>IF($B107="","",I107*Q107/100)</f>
        <v/>
      </c>
      <c r="P107" s="7" t="n"/>
      <c r="Q107" s="7" t="n"/>
      <c r="T107">
        <f>IF($B107="","",IF($AA107=1,0,IF($Z107=1,Settings!$C$6,Settings!$C$7))*100)</f>
        <v/>
      </c>
      <c r="U107" s="7">
        <f>IF($B107="","",Q107*T107/100)</f>
        <v/>
      </c>
      <c r="V107" s="7">
        <f>IF($B107="","",Q107-U107)</f>
        <v/>
      </c>
      <c r="W107" s="7">
        <f>IF($B107="","",V107-J107)</f>
        <v/>
      </c>
      <c r="X107">
        <f>IF($B107="","",IF(COUNTIF($B$2:$B107,$B107)=1,1,0))</f>
        <v/>
      </c>
      <c r="Y107">
        <f>IF($X107=1,SUMPRODUCT(--($AB$2:$AB$301&lt;$AB107))+1,"")</f>
        <v/>
      </c>
      <c r="Z107">
        <f>IF($B107="","",IF(OR($M107=TRUE(),$M107="TRUE"),1,0))</f>
        <v/>
      </c>
      <c r="AA107">
        <f>IF($B107="","",IF($S107="Yes",1,0))</f>
        <v/>
      </c>
      <c r="AB107">
        <f>IF($X107=1,IFERROR(IF(VALUE($B107)&lt;100000000,VALUE($B107),1000000000),IFERROR(IF(VALUE(MID($B107,2,20))&lt;100000000,VALUE(MID($B107,2,20)),1000000000),1000000000))+ROW()/100000,"")</f>
        <v/>
      </c>
    </row>
    <row r="108">
      <c r="C108" s="11" t="n"/>
      <c r="J108" s="7">
        <f>IF($B108="","",I108*Q108/100)</f>
        <v/>
      </c>
      <c r="P108" s="7" t="n"/>
      <c r="Q108" s="7" t="n"/>
      <c r="T108">
        <f>IF($B108="","",IF($AA108=1,0,IF($Z108=1,Settings!$C$6,Settings!$C$7))*100)</f>
        <v/>
      </c>
      <c r="U108" s="7">
        <f>IF($B108="","",Q108*T108/100)</f>
        <v/>
      </c>
      <c r="V108" s="7">
        <f>IF($B108="","",Q108-U108)</f>
        <v/>
      </c>
      <c r="W108" s="7">
        <f>IF($B108="","",V108-J108)</f>
        <v/>
      </c>
      <c r="X108">
        <f>IF($B108="","",IF(COUNTIF($B$2:$B108,$B108)=1,1,0))</f>
        <v/>
      </c>
      <c r="Y108">
        <f>IF($X108=1,SUMPRODUCT(--($AB$2:$AB$301&lt;$AB108))+1,"")</f>
        <v/>
      </c>
      <c r="Z108">
        <f>IF($B108="","",IF(OR($M108=TRUE(),$M108="TRUE"),1,0))</f>
        <v/>
      </c>
      <c r="AA108">
        <f>IF($B108="","",IF($S108="Yes",1,0))</f>
        <v/>
      </c>
      <c r="AB108">
        <f>IF($X108=1,IFERROR(IF(VALUE($B108)&lt;100000000,VALUE($B108),1000000000),IFERROR(IF(VALUE(MID($B108,2,20))&lt;100000000,VALUE(MID($B108,2,20)),1000000000),1000000000))+ROW()/100000,"")</f>
        <v/>
      </c>
    </row>
    <row r="109">
      <c r="C109" s="11" t="n"/>
      <c r="J109" s="7">
        <f>IF($B109="","",I109*Q109/100)</f>
        <v/>
      </c>
      <c r="P109" s="7" t="n"/>
      <c r="Q109" s="7" t="n"/>
      <c r="T109">
        <f>IF($B109="","",IF($AA109=1,0,IF($Z109=1,Settings!$C$6,Settings!$C$7))*100)</f>
        <v/>
      </c>
      <c r="U109" s="7">
        <f>IF($B109="","",Q109*T109/100)</f>
        <v/>
      </c>
      <c r="V109" s="7">
        <f>IF($B109="","",Q109-U109)</f>
        <v/>
      </c>
      <c r="W109" s="7">
        <f>IF($B109="","",V109-J109)</f>
        <v/>
      </c>
      <c r="X109">
        <f>IF($B109="","",IF(COUNTIF($B$2:$B109,$B109)=1,1,0))</f>
        <v/>
      </c>
      <c r="Y109">
        <f>IF($X109=1,SUMPRODUCT(--($AB$2:$AB$301&lt;$AB109))+1,"")</f>
        <v/>
      </c>
      <c r="Z109">
        <f>IF($B109="","",IF(OR($M109=TRUE(),$M109="TRUE"),1,0))</f>
        <v/>
      </c>
      <c r="AA109">
        <f>IF($B109="","",IF($S109="Yes",1,0))</f>
        <v/>
      </c>
      <c r="AB109">
        <f>IF($X109=1,IFERROR(IF(VALUE($B109)&lt;100000000,VALUE($B109),1000000000),IFERROR(IF(VALUE(MID($B109,2,20))&lt;100000000,VALUE(MID($B109,2,20)),1000000000),1000000000))+ROW()/100000,"")</f>
        <v/>
      </c>
    </row>
    <row r="110">
      <c r="C110" s="11" t="n"/>
      <c r="J110" s="7">
        <f>IF($B110="","",I110*Q110/100)</f>
        <v/>
      </c>
      <c r="P110" s="7" t="n"/>
      <c r="Q110" s="7" t="n"/>
      <c r="T110">
        <f>IF($B110="","",IF($AA110=1,0,IF($Z110=1,Settings!$C$6,Settings!$C$7))*100)</f>
        <v/>
      </c>
      <c r="U110" s="7">
        <f>IF($B110="","",Q110*T110/100)</f>
        <v/>
      </c>
      <c r="V110" s="7">
        <f>IF($B110="","",Q110-U110)</f>
        <v/>
      </c>
      <c r="W110" s="7">
        <f>IF($B110="","",V110-J110)</f>
        <v/>
      </c>
      <c r="X110">
        <f>IF($B110="","",IF(COUNTIF($B$2:$B110,$B110)=1,1,0))</f>
        <v/>
      </c>
      <c r="Y110">
        <f>IF($X110=1,SUMPRODUCT(--($AB$2:$AB$301&lt;$AB110))+1,"")</f>
        <v/>
      </c>
      <c r="Z110">
        <f>IF($B110="","",IF(OR($M110=TRUE(),$M110="TRUE"),1,0))</f>
        <v/>
      </c>
      <c r="AA110">
        <f>IF($B110="","",IF($S110="Yes",1,0))</f>
        <v/>
      </c>
      <c r="AB110">
        <f>IF($X110=1,IFERROR(IF(VALUE($B110)&lt;100000000,VALUE($B110),1000000000),IFERROR(IF(VALUE(MID($B110,2,20))&lt;100000000,VALUE(MID($B110,2,20)),1000000000),1000000000))+ROW()/100000,"")</f>
        <v/>
      </c>
    </row>
    <row r="111">
      <c r="C111" s="11" t="n"/>
      <c r="J111" s="7">
        <f>IF($B111="","",I111*Q111/100)</f>
        <v/>
      </c>
      <c r="P111" s="7" t="n"/>
      <c r="Q111" s="7" t="n"/>
      <c r="T111">
        <f>IF($B111="","",IF($AA111=1,0,IF($Z111=1,Settings!$C$6,Settings!$C$7))*100)</f>
        <v/>
      </c>
      <c r="U111" s="7">
        <f>IF($B111="","",Q111*T111/100)</f>
        <v/>
      </c>
      <c r="V111" s="7">
        <f>IF($B111="","",Q111-U111)</f>
        <v/>
      </c>
      <c r="W111" s="7">
        <f>IF($B111="","",V111-J111)</f>
        <v/>
      </c>
      <c r="X111">
        <f>IF($B111="","",IF(COUNTIF($B$2:$B111,$B111)=1,1,0))</f>
        <v/>
      </c>
      <c r="Y111">
        <f>IF($X111=1,SUMPRODUCT(--($AB$2:$AB$301&lt;$AB111))+1,"")</f>
        <v/>
      </c>
      <c r="Z111">
        <f>IF($B111="","",IF(OR($M111=TRUE(),$M111="TRUE"),1,0))</f>
        <v/>
      </c>
      <c r="AA111">
        <f>IF($B111="","",IF($S111="Yes",1,0))</f>
        <v/>
      </c>
      <c r="AB111">
        <f>IF($X111=1,IFERROR(IF(VALUE($B111)&lt;100000000,VALUE($B111),1000000000),IFERROR(IF(VALUE(MID($B111,2,20))&lt;100000000,VALUE(MID($B111,2,20)),1000000000),1000000000))+ROW()/100000,"")</f>
        <v/>
      </c>
    </row>
    <row r="112">
      <c r="C112" s="11" t="n"/>
      <c r="J112" s="7">
        <f>IF($B112="","",I112*Q112/100)</f>
        <v/>
      </c>
      <c r="P112" s="7" t="n"/>
      <c r="Q112" s="7" t="n"/>
      <c r="T112">
        <f>IF($B112="","",IF($AA112=1,0,IF($Z112=1,Settings!$C$6,Settings!$C$7))*100)</f>
        <v/>
      </c>
      <c r="U112" s="7">
        <f>IF($B112="","",Q112*T112/100)</f>
        <v/>
      </c>
      <c r="V112" s="7">
        <f>IF($B112="","",Q112-U112)</f>
        <v/>
      </c>
      <c r="W112" s="7">
        <f>IF($B112="","",V112-J112)</f>
        <v/>
      </c>
      <c r="X112">
        <f>IF($B112="","",IF(COUNTIF($B$2:$B112,$B112)=1,1,0))</f>
        <v/>
      </c>
      <c r="Y112">
        <f>IF($X112=1,SUMPRODUCT(--($AB$2:$AB$301&lt;$AB112))+1,"")</f>
        <v/>
      </c>
      <c r="Z112">
        <f>IF($B112="","",IF(OR($M112=TRUE(),$M112="TRUE"),1,0))</f>
        <v/>
      </c>
      <c r="AA112">
        <f>IF($B112="","",IF($S112="Yes",1,0))</f>
        <v/>
      </c>
      <c r="AB112">
        <f>IF($X112=1,IFERROR(IF(VALUE($B112)&lt;100000000,VALUE($B112),1000000000),IFERROR(IF(VALUE(MID($B112,2,20))&lt;100000000,VALUE(MID($B112,2,20)),1000000000),1000000000))+ROW()/100000,"")</f>
        <v/>
      </c>
    </row>
    <row r="113">
      <c r="C113" s="11" t="n"/>
      <c r="J113" s="7">
        <f>IF($B113="","",I113*Q113/100)</f>
        <v/>
      </c>
      <c r="P113" s="7" t="n"/>
      <c r="Q113" s="7" t="n"/>
      <c r="T113">
        <f>IF($B113="","",IF($AA113=1,0,IF($Z113=1,Settings!$C$6,Settings!$C$7))*100)</f>
        <v/>
      </c>
      <c r="U113" s="7">
        <f>IF($B113="","",Q113*T113/100)</f>
        <v/>
      </c>
      <c r="V113" s="7">
        <f>IF($B113="","",Q113-U113)</f>
        <v/>
      </c>
      <c r="W113" s="7">
        <f>IF($B113="","",V113-J113)</f>
        <v/>
      </c>
      <c r="X113">
        <f>IF($B113="","",IF(COUNTIF($B$2:$B113,$B113)=1,1,0))</f>
        <v/>
      </c>
      <c r="Y113">
        <f>IF($X113=1,SUMPRODUCT(--($AB$2:$AB$301&lt;$AB113))+1,"")</f>
        <v/>
      </c>
      <c r="Z113">
        <f>IF($B113="","",IF(OR($M113=TRUE(),$M113="TRUE"),1,0))</f>
        <v/>
      </c>
      <c r="AA113">
        <f>IF($B113="","",IF($S113="Yes",1,0))</f>
        <v/>
      </c>
      <c r="AB113">
        <f>IF($X113=1,IFERROR(IF(VALUE($B113)&lt;100000000,VALUE($B113),1000000000),IFERROR(IF(VALUE(MID($B113,2,20))&lt;100000000,VALUE(MID($B113,2,20)),1000000000),1000000000))+ROW()/100000,"")</f>
        <v/>
      </c>
    </row>
    <row r="114">
      <c r="C114" s="11" t="n"/>
      <c r="J114" s="7">
        <f>IF($B114="","",I114*Q114/100)</f>
        <v/>
      </c>
      <c r="P114" s="7" t="n"/>
      <c r="Q114" s="7" t="n"/>
      <c r="T114">
        <f>IF($B114="","",IF($AA114=1,0,IF($Z114=1,Settings!$C$6,Settings!$C$7))*100)</f>
        <v/>
      </c>
      <c r="U114" s="7">
        <f>IF($B114="","",Q114*T114/100)</f>
        <v/>
      </c>
      <c r="V114" s="7">
        <f>IF($B114="","",Q114-U114)</f>
        <v/>
      </c>
      <c r="W114" s="7">
        <f>IF($B114="","",V114-J114)</f>
        <v/>
      </c>
      <c r="X114">
        <f>IF($B114="","",IF(COUNTIF($B$2:$B114,$B114)=1,1,0))</f>
        <v/>
      </c>
      <c r="Y114">
        <f>IF($X114=1,SUMPRODUCT(--($AB$2:$AB$301&lt;$AB114))+1,"")</f>
        <v/>
      </c>
      <c r="Z114">
        <f>IF($B114="","",IF(OR($M114=TRUE(),$M114="TRUE"),1,0))</f>
        <v/>
      </c>
      <c r="AA114">
        <f>IF($B114="","",IF($S114="Yes",1,0))</f>
        <v/>
      </c>
      <c r="AB114">
        <f>IF($X114=1,IFERROR(IF(VALUE($B114)&lt;100000000,VALUE($B114),1000000000),IFERROR(IF(VALUE(MID($B114,2,20))&lt;100000000,VALUE(MID($B114,2,20)),1000000000),1000000000))+ROW()/100000,"")</f>
        <v/>
      </c>
    </row>
    <row r="115">
      <c r="C115" s="11" t="n"/>
      <c r="J115" s="7">
        <f>IF($B115="","",I115*Q115/100)</f>
        <v/>
      </c>
      <c r="P115" s="7" t="n"/>
      <c r="Q115" s="7" t="n"/>
      <c r="T115">
        <f>IF($B115="","",IF($AA115=1,0,IF($Z115=1,Settings!$C$6,Settings!$C$7))*100)</f>
        <v/>
      </c>
      <c r="U115" s="7">
        <f>IF($B115="","",Q115*T115/100)</f>
        <v/>
      </c>
      <c r="V115" s="7">
        <f>IF($B115="","",Q115-U115)</f>
        <v/>
      </c>
      <c r="W115" s="7">
        <f>IF($B115="","",V115-J115)</f>
        <v/>
      </c>
      <c r="X115">
        <f>IF($B115="","",IF(COUNTIF($B$2:$B115,$B115)=1,1,0))</f>
        <v/>
      </c>
      <c r="Y115">
        <f>IF($X115=1,SUMPRODUCT(--($AB$2:$AB$301&lt;$AB115))+1,"")</f>
        <v/>
      </c>
      <c r="Z115">
        <f>IF($B115="","",IF(OR($M115=TRUE(),$M115="TRUE"),1,0))</f>
        <v/>
      </c>
      <c r="AA115">
        <f>IF($B115="","",IF($S115="Yes",1,0))</f>
        <v/>
      </c>
      <c r="AB115">
        <f>IF($X115=1,IFERROR(IF(VALUE($B115)&lt;100000000,VALUE($B115),1000000000),IFERROR(IF(VALUE(MID($B115,2,20))&lt;100000000,VALUE(MID($B115,2,20)),1000000000),1000000000))+ROW()/100000,"")</f>
        <v/>
      </c>
    </row>
    <row r="116">
      <c r="C116" s="11" t="n"/>
      <c r="J116" s="7">
        <f>IF($B116="","",I116*Q116/100)</f>
        <v/>
      </c>
      <c r="P116" s="7" t="n"/>
      <c r="Q116" s="7" t="n"/>
      <c r="T116">
        <f>IF($B116="","",IF($AA116=1,0,IF($Z116=1,Settings!$C$6,Settings!$C$7))*100)</f>
        <v/>
      </c>
      <c r="U116" s="7">
        <f>IF($B116="","",Q116*T116/100)</f>
        <v/>
      </c>
      <c r="V116" s="7">
        <f>IF($B116="","",Q116-U116)</f>
        <v/>
      </c>
      <c r="W116" s="7">
        <f>IF($B116="","",V116-J116)</f>
        <v/>
      </c>
      <c r="X116">
        <f>IF($B116="","",IF(COUNTIF($B$2:$B116,$B116)=1,1,0))</f>
        <v/>
      </c>
      <c r="Y116">
        <f>IF($X116=1,SUMPRODUCT(--($AB$2:$AB$301&lt;$AB116))+1,"")</f>
        <v/>
      </c>
      <c r="Z116">
        <f>IF($B116="","",IF(OR($M116=TRUE(),$M116="TRUE"),1,0))</f>
        <v/>
      </c>
      <c r="AA116">
        <f>IF($B116="","",IF($S116="Yes",1,0))</f>
        <v/>
      </c>
      <c r="AB116">
        <f>IF($X116=1,IFERROR(IF(VALUE($B116)&lt;100000000,VALUE($B116),1000000000),IFERROR(IF(VALUE(MID($B116,2,20))&lt;100000000,VALUE(MID($B116,2,20)),1000000000),1000000000))+ROW()/100000,"")</f>
        <v/>
      </c>
    </row>
    <row r="117">
      <c r="C117" s="11" t="n"/>
      <c r="J117" s="7">
        <f>IF($B117="","",I117*Q117/100)</f>
        <v/>
      </c>
      <c r="P117" s="7" t="n"/>
      <c r="Q117" s="7" t="n"/>
      <c r="T117">
        <f>IF($B117="","",IF($AA117=1,0,IF($Z117=1,Settings!$C$6,Settings!$C$7))*100)</f>
        <v/>
      </c>
      <c r="U117" s="7">
        <f>IF($B117="","",Q117*T117/100)</f>
        <v/>
      </c>
      <c r="V117" s="7">
        <f>IF($B117="","",Q117-U117)</f>
        <v/>
      </c>
      <c r="W117" s="7">
        <f>IF($B117="","",V117-J117)</f>
        <v/>
      </c>
      <c r="X117">
        <f>IF($B117="","",IF(COUNTIF($B$2:$B117,$B117)=1,1,0))</f>
        <v/>
      </c>
      <c r="Y117">
        <f>IF($X117=1,SUMPRODUCT(--($AB$2:$AB$301&lt;$AB117))+1,"")</f>
        <v/>
      </c>
      <c r="Z117">
        <f>IF($B117="","",IF(OR($M117=TRUE(),$M117="TRUE"),1,0))</f>
        <v/>
      </c>
      <c r="AA117">
        <f>IF($B117="","",IF($S117="Yes",1,0))</f>
        <v/>
      </c>
      <c r="AB117">
        <f>IF($X117=1,IFERROR(IF(VALUE($B117)&lt;100000000,VALUE($B117),1000000000),IFERROR(IF(VALUE(MID($B117,2,20))&lt;100000000,VALUE(MID($B117,2,20)),1000000000),1000000000))+ROW()/100000,"")</f>
        <v/>
      </c>
    </row>
    <row r="118">
      <c r="C118" s="11" t="n"/>
      <c r="J118" s="7">
        <f>IF($B118="","",I118*Q118/100)</f>
        <v/>
      </c>
      <c r="P118" s="7" t="n"/>
      <c r="Q118" s="7" t="n"/>
      <c r="T118">
        <f>IF($B118="","",IF($AA118=1,0,IF($Z118=1,Settings!$C$6,Settings!$C$7))*100)</f>
        <v/>
      </c>
      <c r="U118" s="7">
        <f>IF($B118="","",Q118*T118/100)</f>
        <v/>
      </c>
      <c r="V118" s="7">
        <f>IF($B118="","",Q118-U118)</f>
        <v/>
      </c>
      <c r="W118" s="7">
        <f>IF($B118="","",V118-J118)</f>
        <v/>
      </c>
      <c r="X118">
        <f>IF($B118="","",IF(COUNTIF($B$2:$B118,$B118)=1,1,0))</f>
        <v/>
      </c>
      <c r="Y118">
        <f>IF($X118=1,SUMPRODUCT(--($AB$2:$AB$301&lt;$AB118))+1,"")</f>
        <v/>
      </c>
      <c r="Z118">
        <f>IF($B118="","",IF(OR($M118=TRUE(),$M118="TRUE"),1,0))</f>
        <v/>
      </c>
      <c r="AA118">
        <f>IF($B118="","",IF($S118="Yes",1,0))</f>
        <v/>
      </c>
      <c r="AB118">
        <f>IF($X118=1,IFERROR(IF(VALUE($B118)&lt;100000000,VALUE($B118),1000000000),IFERROR(IF(VALUE(MID($B118,2,20))&lt;100000000,VALUE(MID($B118,2,20)),1000000000),1000000000))+ROW()/100000,"")</f>
        <v/>
      </c>
    </row>
    <row r="119">
      <c r="C119" s="11" t="n"/>
      <c r="J119" s="7">
        <f>IF($B119="","",I119*Q119/100)</f>
        <v/>
      </c>
      <c r="P119" s="7" t="n"/>
      <c r="Q119" s="7" t="n"/>
      <c r="T119">
        <f>IF($B119="","",IF($AA119=1,0,IF($Z119=1,Settings!$C$6,Settings!$C$7))*100)</f>
        <v/>
      </c>
      <c r="U119" s="7">
        <f>IF($B119="","",Q119*T119/100)</f>
        <v/>
      </c>
      <c r="V119" s="7">
        <f>IF($B119="","",Q119-U119)</f>
        <v/>
      </c>
      <c r="W119" s="7">
        <f>IF($B119="","",V119-J119)</f>
        <v/>
      </c>
      <c r="X119">
        <f>IF($B119="","",IF(COUNTIF($B$2:$B119,$B119)=1,1,0))</f>
        <v/>
      </c>
      <c r="Y119">
        <f>IF($X119=1,SUMPRODUCT(--($AB$2:$AB$301&lt;$AB119))+1,"")</f>
        <v/>
      </c>
      <c r="Z119">
        <f>IF($B119="","",IF(OR($M119=TRUE(),$M119="TRUE"),1,0))</f>
        <v/>
      </c>
      <c r="AA119">
        <f>IF($B119="","",IF($S119="Yes",1,0))</f>
        <v/>
      </c>
      <c r="AB119">
        <f>IF($X119=1,IFERROR(IF(VALUE($B119)&lt;100000000,VALUE($B119),1000000000),IFERROR(IF(VALUE(MID($B119,2,20))&lt;100000000,VALUE(MID($B119,2,20)),1000000000),1000000000))+ROW()/100000,"")</f>
        <v/>
      </c>
    </row>
    <row r="120">
      <c r="C120" s="11" t="n"/>
      <c r="J120" s="7">
        <f>IF($B120="","",I120*Q120/100)</f>
        <v/>
      </c>
      <c r="P120" s="7" t="n"/>
      <c r="Q120" s="7" t="n"/>
      <c r="T120">
        <f>IF($B120="","",IF($AA120=1,0,IF($Z120=1,Settings!$C$6,Settings!$C$7))*100)</f>
        <v/>
      </c>
      <c r="U120" s="7">
        <f>IF($B120="","",Q120*T120/100)</f>
        <v/>
      </c>
      <c r="V120" s="7">
        <f>IF($B120="","",Q120-U120)</f>
        <v/>
      </c>
      <c r="W120" s="7">
        <f>IF($B120="","",V120-J120)</f>
        <v/>
      </c>
      <c r="X120">
        <f>IF($B120="","",IF(COUNTIF($B$2:$B120,$B120)=1,1,0))</f>
        <v/>
      </c>
      <c r="Y120">
        <f>IF($X120=1,SUMPRODUCT(--($AB$2:$AB$301&lt;$AB120))+1,"")</f>
        <v/>
      </c>
      <c r="Z120">
        <f>IF($B120="","",IF(OR($M120=TRUE(),$M120="TRUE"),1,0))</f>
        <v/>
      </c>
      <c r="AA120">
        <f>IF($B120="","",IF($S120="Yes",1,0))</f>
        <v/>
      </c>
      <c r="AB120">
        <f>IF($X120=1,IFERROR(IF(VALUE($B120)&lt;100000000,VALUE($B120),1000000000),IFERROR(IF(VALUE(MID($B120,2,20))&lt;100000000,VALUE(MID($B120,2,20)),1000000000),1000000000))+ROW()/100000,"")</f>
        <v/>
      </c>
    </row>
    <row r="121">
      <c r="C121" s="11" t="n"/>
      <c r="J121" s="7">
        <f>IF($B121="","",I121*Q121/100)</f>
        <v/>
      </c>
      <c r="P121" s="7" t="n"/>
      <c r="Q121" s="7" t="n"/>
      <c r="T121">
        <f>IF($B121="","",IF($AA121=1,0,IF($Z121=1,Settings!$C$6,Settings!$C$7))*100)</f>
        <v/>
      </c>
      <c r="U121" s="7">
        <f>IF($B121="","",Q121*T121/100)</f>
        <v/>
      </c>
      <c r="V121" s="7">
        <f>IF($B121="","",Q121-U121)</f>
        <v/>
      </c>
      <c r="W121" s="7">
        <f>IF($B121="","",V121-J121)</f>
        <v/>
      </c>
      <c r="X121">
        <f>IF($B121="","",IF(COUNTIF($B$2:$B121,$B121)=1,1,0))</f>
        <v/>
      </c>
      <c r="Y121">
        <f>IF($X121=1,SUMPRODUCT(--($AB$2:$AB$301&lt;$AB121))+1,"")</f>
        <v/>
      </c>
      <c r="Z121">
        <f>IF($B121="","",IF(OR($M121=TRUE(),$M121="TRUE"),1,0))</f>
        <v/>
      </c>
      <c r="AA121">
        <f>IF($B121="","",IF($S121="Yes",1,0))</f>
        <v/>
      </c>
      <c r="AB121">
        <f>IF($X121=1,IFERROR(IF(VALUE($B121)&lt;100000000,VALUE($B121),1000000000),IFERROR(IF(VALUE(MID($B121,2,20))&lt;100000000,VALUE(MID($B121,2,20)),1000000000),1000000000))+ROW()/100000,"")</f>
        <v/>
      </c>
    </row>
    <row r="122">
      <c r="C122" s="11" t="n"/>
      <c r="J122" s="7">
        <f>IF($B122="","",I122*Q122/100)</f>
        <v/>
      </c>
      <c r="P122" s="7" t="n"/>
      <c r="Q122" s="7" t="n"/>
      <c r="T122">
        <f>IF($B122="","",IF($AA122=1,0,IF($Z122=1,Settings!$C$6,Settings!$C$7))*100)</f>
        <v/>
      </c>
      <c r="U122" s="7">
        <f>IF($B122="","",Q122*T122/100)</f>
        <v/>
      </c>
      <c r="V122" s="7">
        <f>IF($B122="","",Q122-U122)</f>
        <v/>
      </c>
      <c r="W122" s="7">
        <f>IF($B122="","",V122-J122)</f>
        <v/>
      </c>
      <c r="X122">
        <f>IF($B122="","",IF(COUNTIF($B$2:$B122,$B122)=1,1,0))</f>
        <v/>
      </c>
      <c r="Y122">
        <f>IF($X122=1,SUMPRODUCT(--($AB$2:$AB$301&lt;$AB122))+1,"")</f>
        <v/>
      </c>
      <c r="Z122">
        <f>IF($B122="","",IF(OR($M122=TRUE(),$M122="TRUE"),1,0))</f>
        <v/>
      </c>
      <c r="AA122">
        <f>IF($B122="","",IF($S122="Yes",1,0))</f>
        <v/>
      </c>
      <c r="AB122">
        <f>IF($X122=1,IFERROR(IF(VALUE($B122)&lt;100000000,VALUE($B122),1000000000),IFERROR(IF(VALUE(MID($B122,2,20))&lt;100000000,VALUE(MID($B122,2,20)),1000000000),1000000000))+ROW()/100000,"")</f>
        <v/>
      </c>
    </row>
    <row r="123">
      <c r="C123" s="11" t="n"/>
      <c r="J123" s="7">
        <f>IF($B123="","",I123*Q123/100)</f>
        <v/>
      </c>
      <c r="P123" s="7" t="n"/>
      <c r="Q123" s="7" t="n"/>
      <c r="T123">
        <f>IF($B123="","",IF($AA123=1,0,IF($Z123=1,Settings!$C$6,Settings!$C$7))*100)</f>
        <v/>
      </c>
      <c r="U123" s="7">
        <f>IF($B123="","",Q123*T123/100)</f>
        <v/>
      </c>
      <c r="V123" s="7">
        <f>IF($B123="","",Q123-U123)</f>
        <v/>
      </c>
      <c r="W123" s="7">
        <f>IF($B123="","",V123-J123)</f>
        <v/>
      </c>
      <c r="X123">
        <f>IF($B123="","",IF(COUNTIF($B$2:$B123,$B123)=1,1,0))</f>
        <v/>
      </c>
      <c r="Y123">
        <f>IF($X123=1,SUMPRODUCT(--($AB$2:$AB$301&lt;$AB123))+1,"")</f>
        <v/>
      </c>
      <c r="Z123">
        <f>IF($B123="","",IF(OR($M123=TRUE(),$M123="TRUE"),1,0))</f>
        <v/>
      </c>
      <c r="AA123">
        <f>IF($B123="","",IF($S123="Yes",1,0))</f>
        <v/>
      </c>
      <c r="AB123">
        <f>IF($X123=1,IFERROR(IF(VALUE($B123)&lt;100000000,VALUE($B123),1000000000),IFERROR(IF(VALUE(MID($B123,2,20))&lt;100000000,VALUE(MID($B123,2,20)),1000000000),1000000000))+ROW()/100000,"")</f>
        <v/>
      </c>
    </row>
    <row r="124">
      <c r="C124" s="11" t="n"/>
      <c r="J124" s="7">
        <f>IF($B124="","",I124*Q124/100)</f>
        <v/>
      </c>
      <c r="P124" s="7" t="n"/>
      <c r="Q124" s="7" t="n"/>
      <c r="T124">
        <f>IF($B124="","",IF($AA124=1,0,IF($Z124=1,Settings!$C$6,Settings!$C$7))*100)</f>
        <v/>
      </c>
      <c r="U124" s="7">
        <f>IF($B124="","",Q124*T124/100)</f>
        <v/>
      </c>
      <c r="V124" s="7">
        <f>IF($B124="","",Q124-U124)</f>
        <v/>
      </c>
      <c r="W124" s="7">
        <f>IF($B124="","",V124-J124)</f>
        <v/>
      </c>
      <c r="X124">
        <f>IF($B124="","",IF(COUNTIF($B$2:$B124,$B124)=1,1,0))</f>
        <v/>
      </c>
      <c r="Y124">
        <f>IF($X124=1,SUMPRODUCT(--($AB$2:$AB$301&lt;$AB124))+1,"")</f>
        <v/>
      </c>
      <c r="Z124">
        <f>IF($B124="","",IF(OR($M124=TRUE(),$M124="TRUE"),1,0))</f>
        <v/>
      </c>
      <c r="AA124">
        <f>IF($B124="","",IF($S124="Yes",1,0))</f>
        <v/>
      </c>
      <c r="AB124">
        <f>IF($X124=1,IFERROR(IF(VALUE($B124)&lt;100000000,VALUE($B124),1000000000),IFERROR(IF(VALUE(MID($B124,2,20))&lt;100000000,VALUE(MID($B124,2,20)),1000000000),1000000000))+ROW()/100000,"")</f>
        <v/>
      </c>
    </row>
    <row r="125">
      <c r="C125" s="11" t="n"/>
      <c r="J125" s="7">
        <f>IF($B125="","",I125*Q125/100)</f>
        <v/>
      </c>
      <c r="P125" s="7" t="n"/>
      <c r="Q125" s="7" t="n"/>
      <c r="T125">
        <f>IF($B125="","",IF($AA125=1,0,IF($Z125=1,Settings!$C$6,Settings!$C$7))*100)</f>
        <v/>
      </c>
      <c r="U125" s="7">
        <f>IF($B125="","",Q125*T125/100)</f>
        <v/>
      </c>
      <c r="V125" s="7">
        <f>IF($B125="","",Q125-U125)</f>
        <v/>
      </c>
      <c r="W125" s="7">
        <f>IF($B125="","",V125-J125)</f>
        <v/>
      </c>
      <c r="X125">
        <f>IF($B125="","",IF(COUNTIF($B$2:$B125,$B125)=1,1,0))</f>
        <v/>
      </c>
      <c r="Y125">
        <f>IF($X125=1,SUMPRODUCT(--($AB$2:$AB$301&lt;$AB125))+1,"")</f>
        <v/>
      </c>
      <c r="Z125">
        <f>IF($B125="","",IF(OR($M125=TRUE(),$M125="TRUE"),1,0))</f>
        <v/>
      </c>
      <c r="AA125">
        <f>IF($B125="","",IF($S125="Yes",1,0))</f>
        <v/>
      </c>
      <c r="AB125">
        <f>IF($X125=1,IFERROR(IF(VALUE($B125)&lt;100000000,VALUE($B125),1000000000),IFERROR(IF(VALUE(MID($B125,2,20))&lt;100000000,VALUE(MID($B125,2,20)),1000000000),1000000000))+ROW()/100000,"")</f>
        <v/>
      </c>
    </row>
    <row r="126">
      <c r="C126" s="11" t="n"/>
      <c r="J126" s="7">
        <f>IF($B126="","",I126*Q126/100)</f>
        <v/>
      </c>
      <c r="P126" s="7" t="n"/>
      <c r="Q126" s="7" t="n"/>
      <c r="T126">
        <f>IF($B126="","",IF($AA126=1,0,IF($Z126=1,Settings!$C$6,Settings!$C$7))*100)</f>
        <v/>
      </c>
      <c r="U126" s="7">
        <f>IF($B126="","",Q126*T126/100)</f>
        <v/>
      </c>
      <c r="V126" s="7">
        <f>IF($B126="","",Q126-U126)</f>
        <v/>
      </c>
      <c r="W126" s="7">
        <f>IF($B126="","",V126-J126)</f>
        <v/>
      </c>
      <c r="X126">
        <f>IF($B126="","",IF(COUNTIF($B$2:$B126,$B126)=1,1,0))</f>
        <v/>
      </c>
      <c r="Y126">
        <f>IF($X126=1,SUMPRODUCT(--($AB$2:$AB$301&lt;$AB126))+1,"")</f>
        <v/>
      </c>
      <c r="Z126">
        <f>IF($B126="","",IF(OR($M126=TRUE(),$M126="TRUE"),1,0))</f>
        <v/>
      </c>
      <c r="AA126">
        <f>IF($B126="","",IF($S126="Yes",1,0))</f>
        <v/>
      </c>
      <c r="AB126">
        <f>IF($X126=1,IFERROR(IF(VALUE($B126)&lt;100000000,VALUE($B126),1000000000),IFERROR(IF(VALUE(MID($B126,2,20))&lt;100000000,VALUE(MID($B126,2,20)),1000000000),1000000000))+ROW()/100000,"")</f>
        <v/>
      </c>
    </row>
    <row r="127">
      <c r="C127" s="11" t="n"/>
      <c r="J127" s="7">
        <f>IF($B127="","",I127*Q127/100)</f>
        <v/>
      </c>
      <c r="P127" s="7" t="n"/>
      <c r="Q127" s="7" t="n"/>
      <c r="T127">
        <f>IF($B127="","",IF($AA127=1,0,IF($Z127=1,Settings!$C$6,Settings!$C$7))*100)</f>
        <v/>
      </c>
      <c r="U127" s="7">
        <f>IF($B127="","",Q127*T127/100)</f>
        <v/>
      </c>
      <c r="V127" s="7">
        <f>IF($B127="","",Q127-U127)</f>
        <v/>
      </c>
      <c r="W127" s="7">
        <f>IF($B127="","",V127-J127)</f>
        <v/>
      </c>
      <c r="X127">
        <f>IF($B127="","",IF(COUNTIF($B$2:$B127,$B127)=1,1,0))</f>
        <v/>
      </c>
      <c r="Y127">
        <f>IF($X127=1,SUMPRODUCT(--($AB$2:$AB$301&lt;$AB127))+1,"")</f>
        <v/>
      </c>
      <c r="Z127">
        <f>IF($B127="","",IF(OR($M127=TRUE(),$M127="TRUE"),1,0))</f>
        <v/>
      </c>
      <c r="AA127">
        <f>IF($B127="","",IF($S127="Yes",1,0))</f>
        <v/>
      </c>
      <c r="AB127">
        <f>IF($X127=1,IFERROR(IF(VALUE($B127)&lt;100000000,VALUE($B127),1000000000),IFERROR(IF(VALUE(MID($B127,2,20))&lt;100000000,VALUE(MID($B127,2,20)),1000000000),1000000000))+ROW()/100000,"")</f>
        <v/>
      </c>
    </row>
    <row r="128">
      <c r="C128" s="11" t="n"/>
      <c r="J128" s="7">
        <f>IF($B128="","",I128*Q128/100)</f>
        <v/>
      </c>
      <c r="P128" s="7" t="n"/>
      <c r="Q128" s="7" t="n"/>
      <c r="T128">
        <f>IF($B128="","",IF($AA128=1,0,IF($Z128=1,Settings!$C$6,Settings!$C$7))*100)</f>
        <v/>
      </c>
      <c r="U128" s="7">
        <f>IF($B128="","",Q128*T128/100)</f>
        <v/>
      </c>
      <c r="V128" s="7">
        <f>IF($B128="","",Q128-U128)</f>
        <v/>
      </c>
      <c r="W128" s="7">
        <f>IF($B128="","",V128-J128)</f>
        <v/>
      </c>
      <c r="X128">
        <f>IF($B128="","",IF(COUNTIF($B$2:$B128,$B128)=1,1,0))</f>
        <v/>
      </c>
      <c r="Y128">
        <f>IF($X128=1,SUMPRODUCT(--($AB$2:$AB$301&lt;$AB128))+1,"")</f>
        <v/>
      </c>
      <c r="Z128">
        <f>IF($B128="","",IF(OR($M128=TRUE(),$M128="TRUE"),1,0))</f>
        <v/>
      </c>
      <c r="AA128">
        <f>IF($B128="","",IF($S128="Yes",1,0))</f>
        <v/>
      </c>
      <c r="AB128">
        <f>IF($X128=1,IFERROR(IF(VALUE($B128)&lt;100000000,VALUE($B128),1000000000),IFERROR(IF(VALUE(MID($B128,2,20))&lt;100000000,VALUE(MID($B128,2,20)),1000000000),1000000000))+ROW()/100000,"")</f>
        <v/>
      </c>
    </row>
    <row r="129">
      <c r="C129" s="11" t="n"/>
      <c r="J129" s="7">
        <f>IF($B129="","",I129*Q129/100)</f>
        <v/>
      </c>
      <c r="P129" s="7" t="n"/>
      <c r="Q129" s="7" t="n"/>
      <c r="T129">
        <f>IF($B129="","",IF($AA129=1,0,IF($Z129=1,Settings!$C$6,Settings!$C$7))*100)</f>
        <v/>
      </c>
      <c r="U129" s="7">
        <f>IF($B129="","",Q129*T129/100)</f>
        <v/>
      </c>
      <c r="V129" s="7">
        <f>IF($B129="","",Q129-U129)</f>
        <v/>
      </c>
      <c r="W129" s="7">
        <f>IF($B129="","",V129-J129)</f>
        <v/>
      </c>
      <c r="X129">
        <f>IF($B129="","",IF(COUNTIF($B$2:$B129,$B129)=1,1,0))</f>
        <v/>
      </c>
      <c r="Y129">
        <f>IF($X129=1,SUMPRODUCT(--($AB$2:$AB$301&lt;$AB129))+1,"")</f>
        <v/>
      </c>
      <c r="Z129">
        <f>IF($B129="","",IF(OR($M129=TRUE(),$M129="TRUE"),1,0))</f>
        <v/>
      </c>
      <c r="AA129">
        <f>IF($B129="","",IF($S129="Yes",1,0))</f>
        <v/>
      </c>
      <c r="AB129">
        <f>IF($X129=1,IFERROR(IF(VALUE($B129)&lt;100000000,VALUE($B129),1000000000),IFERROR(IF(VALUE(MID($B129,2,20))&lt;100000000,VALUE(MID($B129,2,20)),1000000000),1000000000))+ROW()/100000,"")</f>
        <v/>
      </c>
    </row>
    <row r="130">
      <c r="C130" s="11" t="n"/>
      <c r="J130" s="7">
        <f>IF($B130="","",I130*Q130/100)</f>
        <v/>
      </c>
      <c r="P130" s="7" t="n"/>
      <c r="Q130" s="7" t="n"/>
      <c r="T130">
        <f>IF($B130="","",IF($AA130=1,0,IF($Z130=1,Settings!$C$6,Settings!$C$7))*100)</f>
        <v/>
      </c>
      <c r="U130" s="7">
        <f>IF($B130="","",Q130*T130/100)</f>
        <v/>
      </c>
      <c r="V130" s="7">
        <f>IF($B130="","",Q130-U130)</f>
        <v/>
      </c>
      <c r="W130" s="7">
        <f>IF($B130="","",V130-J130)</f>
        <v/>
      </c>
      <c r="X130">
        <f>IF($B130="","",IF(COUNTIF($B$2:$B130,$B130)=1,1,0))</f>
        <v/>
      </c>
      <c r="Y130">
        <f>IF($X130=1,SUMPRODUCT(--($AB$2:$AB$301&lt;$AB130))+1,"")</f>
        <v/>
      </c>
      <c r="Z130">
        <f>IF($B130="","",IF(OR($M130=TRUE(),$M130="TRUE"),1,0))</f>
        <v/>
      </c>
      <c r="AA130">
        <f>IF($B130="","",IF($S130="Yes",1,0))</f>
        <v/>
      </c>
      <c r="AB130">
        <f>IF($X130=1,IFERROR(IF(VALUE($B130)&lt;100000000,VALUE($B130),1000000000),IFERROR(IF(VALUE(MID($B130,2,20))&lt;100000000,VALUE(MID($B130,2,20)),1000000000),1000000000))+ROW()/100000,"")</f>
        <v/>
      </c>
    </row>
    <row r="131">
      <c r="C131" s="11" t="n"/>
      <c r="J131" s="7">
        <f>IF($B131="","",I131*Q131/100)</f>
        <v/>
      </c>
      <c r="P131" s="7" t="n"/>
      <c r="Q131" s="7" t="n"/>
      <c r="T131">
        <f>IF($B131="","",IF($AA131=1,0,IF($Z131=1,Settings!$C$6,Settings!$C$7))*100)</f>
        <v/>
      </c>
      <c r="U131" s="7">
        <f>IF($B131="","",Q131*T131/100)</f>
        <v/>
      </c>
      <c r="V131" s="7">
        <f>IF($B131="","",Q131-U131)</f>
        <v/>
      </c>
      <c r="W131" s="7">
        <f>IF($B131="","",V131-J131)</f>
        <v/>
      </c>
      <c r="X131">
        <f>IF($B131="","",IF(COUNTIF($B$2:$B131,$B131)=1,1,0))</f>
        <v/>
      </c>
      <c r="Y131">
        <f>IF($X131=1,SUMPRODUCT(--($AB$2:$AB$301&lt;$AB131))+1,"")</f>
        <v/>
      </c>
      <c r="Z131">
        <f>IF($B131="","",IF(OR($M131=TRUE(),$M131="TRUE"),1,0))</f>
        <v/>
      </c>
      <c r="AA131">
        <f>IF($B131="","",IF($S131="Yes",1,0))</f>
        <v/>
      </c>
      <c r="AB131">
        <f>IF($X131=1,IFERROR(IF(VALUE($B131)&lt;100000000,VALUE($B131),1000000000),IFERROR(IF(VALUE(MID($B131,2,20))&lt;100000000,VALUE(MID($B131,2,20)),1000000000),1000000000))+ROW()/100000,"")</f>
        <v/>
      </c>
    </row>
    <row r="132">
      <c r="C132" s="11" t="n"/>
      <c r="J132" s="7">
        <f>IF($B132="","",I132*Q132/100)</f>
        <v/>
      </c>
      <c r="P132" s="7" t="n"/>
      <c r="Q132" s="7" t="n"/>
      <c r="T132">
        <f>IF($B132="","",IF($AA132=1,0,IF($Z132=1,Settings!$C$6,Settings!$C$7))*100)</f>
        <v/>
      </c>
      <c r="U132" s="7">
        <f>IF($B132="","",Q132*T132/100)</f>
        <v/>
      </c>
      <c r="V132" s="7">
        <f>IF($B132="","",Q132-U132)</f>
        <v/>
      </c>
      <c r="W132" s="7">
        <f>IF($B132="","",V132-J132)</f>
        <v/>
      </c>
      <c r="X132">
        <f>IF($B132="","",IF(COUNTIF($B$2:$B132,$B132)=1,1,0))</f>
        <v/>
      </c>
      <c r="Y132">
        <f>IF($X132=1,SUMPRODUCT(--($AB$2:$AB$301&lt;$AB132))+1,"")</f>
        <v/>
      </c>
      <c r="Z132">
        <f>IF($B132="","",IF(OR($M132=TRUE(),$M132="TRUE"),1,0))</f>
        <v/>
      </c>
      <c r="AA132">
        <f>IF($B132="","",IF($S132="Yes",1,0))</f>
        <v/>
      </c>
      <c r="AB132">
        <f>IF($X132=1,IFERROR(IF(VALUE($B132)&lt;100000000,VALUE($B132),1000000000),IFERROR(IF(VALUE(MID($B132,2,20))&lt;100000000,VALUE(MID($B132,2,20)),1000000000),1000000000))+ROW()/100000,"")</f>
        <v/>
      </c>
    </row>
    <row r="133">
      <c r="C133" s="11" t="n"/>
      <c r="J133" s="7">
        <f>IF($B133="","",I133*Q133/100)</f>
        <v/>
      </c>
      <c r="P133" s="7" t="n"/>
      <c r="Q133" s="7" t="n"/>
      <c r="T133">
        <f>IF($B133="","",IF($AA133=1,0,IF($Z133=1,Settings!$C$6,Settings!$C$7))*100)</f>
        <v/>
      </c>
      <c r="U133" s="7">
        <f>IF($B133="","",Q133*T133/100)</f>
        <v/>
      </c>
      <c r="V133" s="7">
        <f>IF($B133="","",Q133-U133)</f>
        <v/>
      </c>
      <c r="W133" s="7">
        <f>IF($B133="","",V133-J133)</f>
        <v/>
      </c>
      <c r="X133">
        <f>IF($B133="","",IF(COUNTIF($B$2:$B133,$B133)=1,1,0))</f>
        <v/>
      </c>
      <c r="Y133">
        <f>IF($X133=1,SUMPRODUCT(--($AB$2:$AB$301&lt;$AB133))+1,"")</f>
        <v/>
      </c>
      <c r="Z133">
        <f>IF($B133="","",IF(OR($M133=TRUE(),$M133="TRUE"),1,0))</f>
        <v/>
      </c>
      <c r="AA133">
        <f>IF($B133="","",IF($S133="Yes",1,0))</f>
        <v/>
      </c>
      <c r="AB133">
        <f>IF($X133=1,IFERROR(IF(VALUE($B133)&lt;100000000,VALUE($B133),1000000000),IFERROR(IF(VALUE(MID($B133,2,20))&lt;100000000,VALUE(MID($B133,2,20)),1000000000),1000000000))+ROW()/100000,"")</f>
        <v/>
      </c>
    </row>
    <row r="134">
      <c r="C134" s="11" t="n"/>
      <c r="J134" s="7">
        <f>IF($B134="","",I134*Q134/100)</f>
        <v/>
      </c>
      <c r="P134" s="7" t="n"/>
      <c r="Q134" s="7" t="n"/>
      <c r="T134">
        <f>IF($B134="","",IF($AA134=1,0,IF($Z134=1,Settings!$C$6,Settings!$C$7))*100)</f>
        <v/>
      </c>
      <c r="U134" s="7">
        <f>IF($B134="","",Q134*T134/100)</f>
        <v/>
      </c>
      <c r="V134" s="7">
        <f>IF($B134="","",Q134-U134)</f>
        <v/>
      </c>
      <c r="W134" s="7">
        <f>IF($B134="","",V134-J134)</f>
        <v/>
      </c>
      <c r="X134">
        <f>IF($B134="","",IF(COUNTIF($B$2:$B134,$B134)=1,1,0))</f>
        <v/>
      </c>
      <c r="Y134">
        <f>IF($X134=1,SUMPRODUCT(--($AB$2:$AB$301&lt;$AB134))+1,"")</f>
        <v/>
      </c>
      <c r="Z134">
        <f>IF($B134="","",IF(OR($M134=TRUE(),$M134="TRUE"),1,0))</f>
        <v/>
      </c>
      <c r="AA134">
        <f>IF($B134="","",IF($S134="Yes",1,0))</f>
        <v/>
      </c>
      <c r="AB134">
        <f>IF($X134=1,IFERROR(IF(VALUE($B134)&lt;100000000,VALUE($B134),1000000000),IFERROR(IF(VALUE(MID($B134,2,20))&lt;100000000,VALUE(MID($B134,2,20)),1000000000),1000000000))+ROW()/100000,"")</f>
        <v/>
      </c>
    </row>
    <row r="135">
      <c r="C135" s="11" t="n"/>
      <c r="J135" s="7">
        <f>IF($B135="","",I135*Q135/100)</f>
        <v/>
      </c>
      <c r="P135" s="7" t="n"/>
      <c r="Q135" s="7" t="n"/>
      <c r="T135">
        <f>IF($B135="","",IF($AA135=1,0,IF($Z135=1,Settings!$C$6,Settings!$C$7))*100)</f>
        <v/>
      </c>
      <c r="U135" s="7">
        <f>IF($B135="","",Q135*T135/100)</f>
        <v/>
      </c>
      <c r="V135" s="7">
        <f>IF($B135="","",Q135-U135)</f>
        <v/>
      </c>
      <c r="W135" s="7">
        <f>IF($B135="","",V135-J135)</f>
        <v/>
      </c>
      <c r="X135">
        <f>IF($B135="","",IF(COUNTIF($B$2:$B135,$B135)=1,1,0))</f>
        <v/>
      </c>
      <c r="Y135">
        <f>IF($X135=1,SUMPRODUCT(--($AB$2:$AB$301&lt;$AB135))+1,"")</f>
        <v/>
      </c>
      <c r="Z135">
        <f>IF($B135="","",IF(OR($M135=TRUE(),$M135="TRUE"),1,0))</f>
        <v/>
      </c>
      <c r="AA135">
        <f>IF($B135="","",IF($S135="Yes",1,0))</f>
        <v/>
      </c>
      <c r="AB135">
        <f>IF($X135=1,IFERROR(IF(VALUE($B135)&lt;100000000,VALUE($B135),1000000000),IFERROR(IF(VALUE(MID($B135,2,20))&lt;100000000,VALUE(MID($B135,2,20)),1000000000),1000000000))+ROW()/100000,"")</f>
        <v/>
      </c>
    </row>
    <row r="136">
      <c r="C136" s="11" t="n"/>
      <c r="J136" s="7">
        <f>IF($B136="","",I136*Q136/100)</f>
        <v/>
      </c>
      <c r="P136" s="7" t="n"/>
      <c r="Q136" s="7" t="n"/>
      <c r="T136">
        <f>IF($B136="","",IF($AA136=1,0,IF($Z136=1,Settings!$C$6,Settings!$C$7))*100)</f>
        <v/>
      </c>
      <c r="U136" s="7">
        <f>IF($B136="","",Q136*T136/100)</f>
        <v/>
      </c>
      <c r="V136" s="7">
        <f>IF($B136="","",Q136-U136)</f>
        <v/>
      </c>
      <c r="W136" s="7">
        <f>IF($B136="","",V136-J136)</f>
        <v/>
      </c>
      <c r="X136">
        <f>IF($B136="","",IF(COUNTIF($B$2:$B136,$B136)=1,1,0))</f>
        <v/>
      </c>
      <c r="Y136">
        <f>IF($X136=1,SUMPRODUCT(--($AB$2:$AB$301&lt;$AB136))+1,"")</f>
        <v/>
      </c>
      <c r="Z136">
        <f>IF($B136="","",IF(OR($M136=TRUE(),$M136="TRUE"),1,0))</f>
        <v/>
      </c>
      <c r="AA136">
        <f>IF($B136="","",IF($S136="Yes",1,0))</f>
        <v/>
      </c>
      <c r="AB136">
        <f>IF($X136=1,IFERROR(IF(VALUE($B136)&lt;100000000,VALUE($B136),1000000000),IFERROR(IF(VALUE(MID($B136,2,20))&lt;100000000,VALUE(MID($B136,2,20)),1000000000),1000000000))+ROW()/100000,"")</f>
        <v/>
      </c>
    </row>
    <row r="137">
      <c r="C137" s="11" t="n"/>
      <c r="J137" s="7">
        <f>IF($B137="","",I137*Q137/100)</f>
        <v/>
      </c>
      <c r="P137" s="7" t="n"/>
      <c r="Q137" s="7" t="n"/>
      <c r="T137">
        <f>IF($B137="","",IF($AA137=1,0,IF($Z137=1,Settings!$C$6,Settings!$C$7))*100)</f>
        <v/>
      </c>
      <c r="U137" s="7">
        <f>IF($B137="","",Q137*T137/100)</f>
        <v/>
      </c>
      <c r="V137" s="7">
        <f>IF($B137="","",Q137-U137)</f>
        <v/>
      </c>
      <c r="W137" s="7">
        <f>IF($B137="","",V137-J137)</f>
        <v/>
      </c>
      <c r="X137">
        <f>IF($B137="","",IF(COUNTIF($B$2:$B137,$B137)=1,1,0))</f>
        <v/>
      </c>
      <c r="Y137">
        <f>IF($X137=1,SUMPRODUCT(--($AB$2:$AB$301&lt;$AB137))+1,"")</f>
        <v/>
      </c>
      <c r="Z137">
        <f>IF($B137="","",IF(OR($M137=TRUE(),$M137="TRUE"),1,0))</f>
        <v/>
      </c>
      <c r="AA137">
        <f>IF($B137="","",IF($S137="Yes",1,0))</f>
        <v/>
      </c>
      <c r="AB137">
        <f>IF($X137=1,IFERROR(IF(VALUE($B137)&lt;100000000,VALUE($B137),1000000000),IFERROR(IF(VALUE(MID($B137,2,20))&lt;100000000,VALUE(MID($B137,2,20)),1000000000),1000000000))+ROW()/100000,"")</f>
        <v/>
      </c>
    </row>
    <row r="138">
      <c r="C138" s="11" t="n"/>
      <c r="J138" s="7">
        <f>IF($B138="","",I138*Q138/100)</f>
        <v/>
      </c>
      <c r="P138" s="7" t="n"/>
      <c r="Q138" s="7" t="n"/>
      <c r="T138">
        <f>IF($B138="","",IF($AA138=1,0,IF($Z138=1,Settings!$C$6,Settings!$C$7))*100)</f>
        <v/>
      </c>
      <c r="U138" s="7">
        <f>IF($B138="","",Q138*T138/100)</f>
        <v/>
      </c>
      <c r="V138" s="7">
        <f>IF($B138="","",Q138-U138)</f>
        <v/>
      </c>
      <c r="W138" s="7">
        <f>IF($B138="","",V138-J138)</f>
        <v/>
      </c>
      <c r="X138">
        <f>IF($B138="","",IF(COUNTIF($B$2:$B138,$B138)=1,1,0))</f>
        <v/>
      </c>
      <c r="Y138">
        <f>IF($X138=1,SUMPRODUCT(--($AB$2:$AB$301&lt;$AB138))+1,"")</f>
        <v/>
      </c>
      <c r="Z138">
        <f>IF($B138="","",IF(OR($M138=TRUE(),$M138="TRUE"),1,0))</f>
        <v/>
      </c>
      <c r="AA138">
        <f>IF($B138="","",IF($S138="Yes",1,0))</f>
        <v/>
      </c>
      <c r="AB138">
        <f>IF($X138=1,IFERROR(IF(VALUE($B138)&lt;100000000,VALUE($B138),1000000000),IFERROR(IF(VALUE(MID($B138,2,20))&lt;100000000,VALUE(MID($B138,2,20)),1000000000),1000000000))+ROW()/100000,"")</f>
        <v/>
      </c>
    </row>
    <row r="139">
      <c r="C139" s="11" t="n"/>
      <c r="J139" s="7">
        <f>IF($B139="","",I139*Q139/100)</f>
        <v/>
      </c>
      <c r="P139" s="7" t="n"/>
      <c r="Q139" s="7" t="n"/>
      <c r="T139">
        <f>IF($B139="","",IF($AA139=1,0,IF($Z139=1,Settings!$C$6,Settings!$C$7))*100)</f>
        <v/>
      </c>
      <c r="U139" s="7">
        <f>IF($B139="","",Q139*T139/100)</f>
        <v/>
      </c>
      <c r="V139" s="7">
        <f>IF($B139="","",Q139-U139)</f>
        <v/>
      </c>
      <c r="W139" s="7">
        <f>IF($B139="","",V139-J139)</f>
        <v/>
      </c>
      <c r="X139">
        <f>IF($B139="","",IF(COUNTIF($B$2:$B139,$B139)=1,1,0))</f>
        <v/>
      </c>
      <c r="Y139">
        <f>IF($X139=1,SUMPRODUCT(--($AB$2:$AB$301&lt;$AB139))+1,"")</f>
        <v/>
      </c>
      <c r="Z139">
        <f>IF($B139="","",IF(OR($M139=TRUE(),$M139="TRUE"),1,0))</f>
        <v/>
      </c>
      <c r="AA139">
        <f>IF($B139="","",IF($S139="Yes",1,0))</f>
        <v/>
      </c>
      <c r="AB139">
        <f>IF($X139=1,IFERROR(IF(VALUE($B139)&lt;100000000,VALUE($B139),1000000000),IFERROR(IF(VALUE(MID($B139,2,20))&lt;100000000,VALUE(MID($B139,2,20)),1000000000),1000000000))+ROW()/100000,"")</f>
        <v/>
      </c>
    </row>
    <row r="140">
      <c r="C140" s="11" t="n"/>
      <c r="J140" s="7">
        <f>IF($B140="","",I140*Q140/100)</f>
        <v/>
      </c>
      <c r="P140" s="7" t="n"/>
      <c r="Q140" s="7" t="n"/>
      <c r="T140">
        <f>IF($B140="","",IF($AA140=1,0,IF($Z140=1,Settings!$C$6,Settings!$C$7))*100)</f>
        <v/>
      </c>
      <c r="U140" s="7">
        <f>IF($B140="","",Q140*T140/100)</f>
        <v/>
      </c>
      <c r="V140" s="7">
        <f>IF($B140="","",Q140-U140)</f>
        <v/>
      </c>
      <c r="W140" s="7">
        <f>IF($B140="","",V140-J140)</f>
        <v/>
      </c>
      <c r="X140">
        <f>IF($B140="","",IF(COUNTIF($B$2:$B140,$B140)=1,1,0))</f>
        <v/>
      </c>
      <c r="Y140">
        <f>IF($X140=1,SUMPRODUCT(--($AB$2:$AB$301&lt;$AB140))+1,"")</f>
        <v/>
      </c>
      <c r="Z140">
        <f>IF($B140="","",IF(OR($M140=TRUE(),$M140="TRUE"),1,0))</f>
        <v/>
      </c>
      <c r="AA140">
        <f>IF($B140="","",IF($S140="Yes",1,0))</f>
        <v/>
      </c>
      <c r="AB140">
        <f>IF($X140=1,IFERROR(IF(VALUE($B140)&lt;100000000,VALUE($B140),1000000000),IFERROR(IF(VALUE(MID($B140,2,20))&lt;100000000,VALUE(MID($B140,2,20)),1000000000),1000000000))+ROW()/100000,"")</f>
        <v/>
      </c>
    </row>
    <row r="141">
      <c r="C141" s="11" t="n"/>
      <c r="J141" s="7">
        <f>IF($B141="","",I141*Q141/100)</f>
        <v/>
      </c>
      <c r="P141" s="7" t="n"/>
      <c r="Q141" s="7" t="n"/>
      <c r="T141">
        <f>IF($B141="","",IF($AA141=1,0,IF($Z141=1,Settings!$C$6,Settings!$C$7))*100)</f>
        <v/>
      </c>
      <c r="U141" s="7">
        <f>IF($B141="","",Q141*T141/100)</f>
        <v/>
      </c>
      <c r="V141" s="7">
        <f>IF($B141="","",Q141-U141)</f>
        <v/>
      </c>
      <c r="W141" s="7">
        <f>IF($B141="","",V141-J141)</f>
        <v/>
      </c>
      <c r="X141">
        <f>IF($B141="","",IF(COUNTIF($B$2:$B141,$B141)=1,1,0))</f>
        <v/>
      </c>
      <c r="Y141">
        <f>IF($X141=1,SUMPRODUCT(--($AB$2:$AB$301&lt;$AB141))+1,"")</f>
        <v/>
      </c>
      <c r="Z141">
        <f>IF($B141="","",IF(OR($M141=TRUE(),$M141="TRUE"),1,0))</f>
        <v/>
      </c>
      <c r="AA141">
        <f>IF($B141="","",IF($S141="Yes",1,0))</f>
        <v/>
      </c>
      <c r="AB141">
        <f>IF($X141=1,IFERROR(IF(VALUE($B141)&lt;100000000,VALUE($B141),1000000000),IFERROR(IF(VALUE(MID($B141,2,20))&lt;100000000,VALUE(MID($B141,2,20)),1000000000),1000000000))+ROW()/100000,"")</f>
        <v/>
      </c>
    </row>
    <row r="142">
      <c r="C142" s="11" t="n"/>
      <c r="J142" s="7">
        <f>IF($B142="","",I142*Q142/100)</f>
        <v/>
      </c>
      <c r="P142" s="7" t="n"/>
      <c r="Q142" s="7" t="n"/>
      <c r="T142">
        <f>IF($B142="","",IF($AA142=1,0,IF($Z142=1,Settings!$C$6,Settings!$C$7))*100)</f>
        <v/>
      </c>
      <c r="U142" s="7">
        <f>IF($B142="","",Q142*T142/100)</f>
        <v/>
      </c>
      <c r="V142" s="7">
        <f>IF($B142="","",Q142-U142)</f>
        <v/>
      </c>
      <c r="W142" s="7">
        <f>IF($B142="","",V142-J142)</f>
        <v/>
      </c>
      <c r="X142">
        <f>IF($B142="","",IF(COUNTIF($B$2:$B142,$B142)=1,1,0))</f>
        <v/>
      </c>
      <c r="Y142">
        <f>IF($X142=1,SUMPRODUCT(--($AB$2:$AB$301&lt;$AB142))+1,"")</f>
        <v/>
      </c>
      <c r="Z142">
        <f>IF($B142="","",IF(OR($M142=TRUE(),$M142="TRUE"),1,0))</f>
        <v/>
      </c>
      <c r="AA142">
        <f>IF($B142="","",IF($S142="Yes",1,0))</f>
        <v/>
      </c>
      <c r="AB142">
        <f>IF($X142=1,IFERROR(IF(VALUE($B142)&lt;100000000,VALUE($B142),1000000000),IFERROR(IF(VALUE(MID($B142,2,20))&lt;100000000,VALUE(MID($B142,2,20)),1000000000),1000000000))+ROW()/100000,"")</f>
        <v/>
      </c>
    </row>
    <row r="143">
      <c r="C143" s="11" t="n"/>
      <c r="J143" s="7">
        <f>IF($B143="","",I143*Q143/100)</f>
        <v/>
      </c>
      <c r="P143" s="7" t="n"/>
      <c r="Q143" s="7" t="n"/>
      <c r="T143">
        <f>IF($B143="","",IF($AA143=1,0,IF($Z143=1,Settings!$C$6,Settings!$C$7))*100)</f>
        <v/>
      </c>
      <c r="U143" s="7">
        <f>IF($B143="","",Q143*T143/100)</f>
        <v/>
      </c>
      <c r="V143" s="7">
        <f>IF($B143="","",Q143-U143)</f>
        <v/>
      </c>
      <c r="W143" s="7">
        <f>IF($B143="","",V143-J143)</f>
        <v/>
      </c>
      <c r="X143">
        <f>IF($B143="","",IF(COUNTIF($B$2:$B143,$B143)=1,1,0))</f>
        <v/>
      </c>
      <c r="Y143">
        <f>IF($X143=1,SUMPRODUCT(--($AB$2:$AB$301&lt;$AB143))+1,"")</f>
        <v/>
      </c>
      <c r="Z143">
        <f>IF($B143="","",IF(OR($M143=TRUE(),$M143="TRUE"),1,0))</f>
        <v/>
      </c>
      <c r="AA143">
        <f>IF($B143="","",IF($S143="Yes",1,0))</f>
        <v/>
      </c>
      <c r="AB143">
        <f>IF($X143=1,IFERROR(IF(VALUE($B143)&lt;100000000,VALUE($B143),1000000000),IFERROR(IF(VALUE(MID($B143,2,20))&lt;100000000,VALUE(MID($B143,2,20)),1000000000),1000000000))+ROW()/100000,"")</f>
        <v/>
      </c>
    </row>
    <row r="144">
      <c r="C144" s="11" t="n"/>
      <c r="J144" s="7">
        <f>IF($B144="","",I144*Q144/100)</f>
        <v/>
      </c>
      <c r="P144" s="7" t="n"/>
      <c r="Q144" s="7" t="n"/>
      <c r="T144">
        <f>IF($B144="","",IF($AA144=1,0,IF($Z144=1,Settings!$C$6,Settings!$C$7))*100)</f>
        <v/>
      </c>
      <c r="U144" s="7">
        <f>IF($B144="","",Q144*T144/100)</f>
        <v/>
      </c>
      <c r="V144" s="7">
        <f>IF($B144="","",Q144-U144)</f>
        <v/>
      </c>
      <c r="W144" s="7">
        <f>IF($B144="","",V144-J144)</f>
        <v/>
      </c>
      <c r="X144">
        <f>IF($B144="","",IF(COUNTIF($B$2:$B144,$B144)=1,1,0))</f>
        <v/>
      </c>
      <c r="Y144">
        <f>IF($X144=1,SUMPRODUCT(--($AB$2:$AB$301&lt;$AB144))+1,"")</f>
        <v/>
      </c>
      <c r="Z144">
        <f>IF($B144="","",IF(OR($M144=TRUE(),$M144="TRUE"),1,0))</f>
        <v/>
      </c>
      <c r="AA144">
        <f>IF($B144="","",IF($S144="Yes",1,0))</f>
        <v/>
      </c>
      <c r="AB144">
        <f>IF($X144=1,IFERROR(IF(VALUE($B144)&lt;100000000,VALUE($B144),1000000000),IFERROR(IF(VALUE(MID($B144,2,20))&lt;100000000,VALUE(MID($B144,2,20)),1000000000),1000000000))+ROW()/100000,"")</f>
        <v/>
      </c>
    </row>
    <row r="145">
      <c r="C145" s="11" t="n"/>
      <c r="J145" s="7">
        <f>IF($B145="","",I145*Q145/100)</f>
        <v/>
      </c>
      <c r="P145" s="7" t="n"/>
      <c r="Q145" s="7" t="n"/>
      <c r="T145">
        <f>IF($B145="","",IF($AA145=1,0,IF($Z145=1,Settings!$C$6,Settings!$C$7))*100)</f>
        <v/>
      </c>
      <c r="U145" s="7">
        <f>IF($B145="","",Q145*T145/100)</f>
        <v/>
      </c>
      <c r="V145" s="7">
        <f>IF($B145="","",Q145-U145)</f>
        <v/>
      </c>
      <c r="W145" s="7">
        <f>IF($B145="","",V145-J145)</f>
        <v/>
      </c>
      <c r="X145">
        <f>IF($B145="","",IF(COUNTIF($B$2:$B145,$B145)=1,1,0))</f>
        <v/>
      </c>
      <c r="Y145">
        <f>IF($X145=1,SUMPRODUCT(--($AB$2:$AB$301&lt;$AB145))+1,"")</f>
        <v/>
      </c>
      <c r="Z145">
        <f>IF($B145="","",IF(OR($M145=TRUE(),$M145="TRUE"),1,0))</f>
        <v/>
      </c>
      <c r="AA145">
        <f>IF($B145="","",IF($S145="Yes",1,0))</f>
        <v/>
      </c>
      <c r="AB145">
        <f>IF($X145=1,IFERROR(IF(VALUE($B145)&lt;100000000,VALUE($B145),1000000000),IFERROR(IF(VALUE(MID($B145,2,20))&lt;100000000,VALUE(MID($B145,2,20)),1000000000),1000000000))+ROW()/100000,"")</f>
        <v/>
      </c>
    </row>
    <row r="146">
      <c r="C146" s="11" t="n"/>
      <c r="J146" s="7">
        <f>IF($B146="","",I146*Q146/100)</f>
        <v/>
      </c>
      <c r="P146" s="7" t="n"/>
      <c r="Q146" s="7" t="n"/>
      <c r="T146">
        <f>IF($B146="","",IF($AA146=1,0,IF($Z146=1,Settings!$C$6,Settings!$C$7))*100)</f>
        <v/>
      </c>
      <c r="U146" s="7">
        <f>IF($B146="","",Q146*T146/100)</f>
        <v/>
      </c>
      <c r="V146" s="7">
        <f>IF($B146="","",Q146-U146)</f>
        <v/>
      </c>
      <c r="W146" s="7">
        <f>IF($B146="","",V146-J146)</f>
        <v/>
      </c>
      <c r="X146">
        <f>IF($B146="","",IF(COUNTIF($B$2:$B146,$B146)=1,1,0))</f>
        <v/>
      </c>
      <c r="Y146">
        <f>IF($X146=1,SUMPRODUCT(--($AB$2:$AB$301&lt;$AB146))+1,"")</f>
        <v/>
      </c>
      <c r="Z146">
        <f>IF($B146="","",IF(OR($M146=TRUE(),$M146="TRUE"),1,0))</f>
        <v/>
      </c>
      <c r="AA146">
        <f>IF($B146="","",IF($S146="Yes",1,0))</f>
        <v/>
      </c>
      <c r="AB146">
        <f>IF($X146=1,IFERROR(IF(VALUE($B146)&lt;100000000,VALUE($B146),1000000000),IFERROR(IF(VALUE(MID($B146,2,20))&lt;100000000,VALUE(MID($B146,2,20)),1000000000),1000000000))+ROW()/100000,"")</f>
        <v/>
      </c>
    </row>
    <row r="147">
      <c r="C147" s="11" t="n"/>
      <c r="J147" s="7">
        <f>IF($B147="","",I147*Q147/100)</f>
        <v/>
      </c>
      <c r="P147" s="7" t="n"/>
      <c r="Q147" s="7" t="n"/>
      <c r="T147">
        <f>IF($B147="","",IF($AA147=1,0,IF($Z147=1,Settings!$C$6,Settings!$C$7))*100)</f>
        <v/>
      </c>
      <c r="U147" s="7">
        <f>IF($B147="","",Q147*T147/100)</f>
        <v/>
      </c>
      <c r="V147" s="7">
        <f>IF($B147="","",Q147-U147)</f>
        <v/>
      </c>
      <c r="W147" s="7">
        <f>IF($B147="","",V147-J147)</f>
        <v/>
      </c>
      <c r="X147">
        <f>IF($B147="","",IF(COUNTIF($B$2:$B147,$B147)=1,1,0))</f>
        <v/>
      </c>
      <c r="Y147">
        <f>IF($X147=1,SUMPRODUCT(--($AB$2:$AB$301&lt;$AB147))+1,"")</f>
        <v/>
      </c>
      <c r="Z147">
        <f>IF($B147="","",IF(OR($M147=TRUE(),$M147="TRUE"),1,0))</f>
        <v/>
      </c>
      <c r="AA147">
        <f>IF($B147="","",IF($S147="Yes",1,0))</f>
        <v/>
      </c>
      <c r="AB147">
        <f>IF($X147=1,IFERROR(IF(VALUE($B147)&lt;100000000,VALUE($B147),1000000000),IFERROR(IF(VALUE(MID($B147,2,20))&lt;100000000,VALUE(MID($B147,2,20)),1000000000),1000000000))+ROW()/100000,"")</f>
        <v/>
      </c>
    </row>
    <row r="148">
      <c r="C148" s="11" t="n"/>
      <c r="J148" s="7">
        <f>IF($B148="","",I148*Q148/100)</f>
        <v/>
      </c>
      <c r="P148" s="7" t="n"/>
      <c r="Q148" s="7" t="n"/>
      <c r="T148">
        <f>IF($B148="","",IF($AA148=1,0,IF($Z148=1,Settings!$C$6,Settings!$C$7))*100)</f>
        <v/>
      </c>
      <c r="U148" s="7">
        <f>IF($B148="","",Q148*T148/100)</f>
        <v/>
      </c>
      <c r="V148" s="7">
        <f>IF($B148="","",Q148-U148)</f>
        <v/>
      </c>
      <c r="W148" s="7">
        <f>IF($B148="","",V148-J148)</f>
        <v/>
      </c>
      <c r="X148">
        <f>IF($B148="","",IF(COUNTIF($B$2:$B148,$B148)=1,1,0))</f>
        <v/>
      </c>
      <c r="Y148">
        <f>IF($X148=1,SUMPRODUCT(--($AB$2:$AB$301&lt;$AB148))+1,"")</f>
        <v/>
      </c>
      <c r="Z148">
        <f>IF($B148="","",IF(OR($M148=TRUE(),$M148="TRUE"),1,0))</f>
        <v/>
      </c>
      <c r="AA148">
        <f>IF($B148="","",IF($S148="Yes",1,0))</f>
        <v/>
      </c>
      <c r="AB148">
        <f>IF($X148=1,IFERROR(IF(VALUE($B148)&lt;100000000,VALUE($B148),1000000000),IFERROR(IF(VALUE(MID($B148,2,20))&lt;100000000,VALUE(MID($B148,2,20)),1000000000),1000000000))+ROW()/100000,"")</f>
        <v/>
      </c>
    </row>
    <row r="149">
      <c r="C149" s="11" t="n"/>
      <c r="J149" s="7">
        <f>IF($B149="","",I149*Q149/100)</f>
        <v/>
      </c>
      <c r="P149" s="7" t="n"/>
      <c r="Q149" s="7" t="n"/>
      <c r="T149">
        <f>IF($B149="","",IF($AA149=1,0,IF($Z149=1,Settings!$C$6,Settings!$C$7))*100)</f>
        <v/>
      </c>
      <c r="U149" s="7">
        <f>IF($B149="","",Q149*T149/100)</f>
        <v/>
      </c>
      <c r="V149" s="7">
        <f>IF($B149="","",Q149-U149)</f>
        <v/>
      </c>
      <c r="W149" s="7">
        <f>IF($B149="","",V149-J149)</f>
        <v/>
      </c>
      <c r="X149">
        <f>IF($B149="","",IF(COUNTIF($B$2:$B149,$B149)=1,1,0))</f>
        <v/>
      </c>
      <c r="Y149">
        <f>IF($X149=1,SUMPRODUCT(--($AB$2:$AB$301&lt;$AB149))+1,"")</f>
        <v/>
      </c>
      <c r="Z149">
        <f>IF($B149="","",IF(OR($M149=TRUE(),$M149="TRUE"),1,0))</f>
        <v/>
      </c>
      <c r="AA149">
        <f>IF($B149="","",IF($S149="Yes",1,0))</f>
        <v/>
      </c>
      <c r="AB149">
        <f>IF($X149=1,IFERROR(IF(VALUE($B149)&lt;100000000,VALUE($B149),1000000000),IFERROR(IF(VALUE(MID($B149,2,20))&lt;100000000,VALUE(MID($B149,2,20)),1000000000),1000000000))+ROW()/100000,"")</f>
        <v/>
      </c>
    </row>
    <row r="150">
      <c r="C150" s="11" t="n"/>
      <c r="J150" s="7">
        <f>IF($B150="","",I150*Q150/100)</f>
        <v/>
      </c>
      <c r="P150" s="7" t="n"/>
      <c r="Q150" s="7" t="n"/>
      <c r="T150">
        <f>IF($B150="","",IF($AA150=1,0,IF($Z150=1,Settings!$C$6,Settings!$C$7))*100)</f>
        <v/>
      </c>
      <c r="U150" s="7">
        <f>IF($B150="","",Q150*T150/100)</f>
        <v/>
      </c>
      <c r="V150" s="7">
        <f>IF($B150="","",Q150-U150)</f>
        <v/>
      </c>
      <c r="W150" s="7">
        <f>IF($B150="","",V150-J150)</f>
        <v/>
      </c>
      <c r="X150">
        <f>IF($B150="","",IF(COUNTIF($B$2:$B150,$B150)=1,1,0))</f>
        <v/>
      </c>
      <c r="Y150">
        <f>IF($X150=1,SUMPRODUCT(--($AB$2:$AB$301&lt;$AB150))+1,"")</f>
        <v/>
      </c>
      <c r="Z150">
        <f>IF($B150="","",IF(OR($M150=TRUE(),$M150="TRUE"),1,0))</f>
        <v/>
      </c>
      <c r="AA150">
        <f>IF($B150="","",IF($S150="Yes",1,0))</f>
        <v/>
      </c>
      <c r="AB150">
        <f>IF($X150=1,IFERROR(IF(VALUE($B150)&lt;100000000,VALUE($B150),1000000000),IFERROR(IF(VALUE(MID($B150,2,20))&lt;100000000,VALUE(MID($B150,2,20)),1000000000),1000000000))+ROW()/100000,"")</f>
        <v/>
      </c>
    </row>
    <row r="151">
      <c r="C151" s="11" t="n"/>
      <c r="J151" s="7">
        <f>IF($B151="","",I151*Q151/100)</f>
        <v/>
      </c>
      <c r="P151" s="7" t="n"/>
      <c r="Q151" s="7" t="n"/>
      <c r="T151">
        <f>IF($B151="","",IF($AA151=1,0,IF($Z151=1,Settings!$C$6,Settings!$C$7))*100)</f>
        <v/>
      </c>
      <c r="U151" s="7">
        <f>IF($B151="","",Q151*T151/100)</f>
        <v/>
      </c>
      <c r="V151" s="7">
        <f>IF($B151="","",Q151-U151)</f>
        <v/>
      </c>
      <c r="W151" s="7">
        <f>IF($B151="","",V151-J151)</f>
        <v/>
      </c>
      <c r="X151">
        <f>IF($B151="","",IF(COUNTIF($B$2:$B151,$B151)=1,1,0))</f>
        <v/>
      </c>
      <c r="Y151">
        <f>IF($X151=1,SUMPRODUCT(--($AB$2:$AB$301&lt;$AB151))+1,"")</f>
        <v/>
      </c>
      <c r="Z151">
        <f>IF($B151="","",IF(OR($M151=TRUE(),$M151="TRUE"),1,0))</f>
        <v/>
      </c>
      <c r="AA151">
        <f>IF($B151="","",IF($S151="Yes",1,0))</f>
        <v/>
      </c>
      <c r="AB151">
        <f>IF($X151=1,IFERROR(IF(VALUE($B151)&lt;100000000,VALUE($B151),1000000000),IFERROR(IF(VALUE(MID($B151,2,20))&lt;100000000,VALUE(MID($B151,2,20)),1000000000),1000000000))+ROW()/100000,"")</f>
        <v/>
      </c>
    </row>
    <row r="152">
      <c r="C152" s="11" t="n"/>
      <c r="J152" s="7">
        <f>IF($B152="","",I152*Q152/100)</f>
        <v/>
      </c>
      <c r="P152" s="7" t="n"/>
      <c r="Q152" s="7" t="n"/>
      <c r="T152">
        <f>IF($B152="","",IF($AA152=1,0,IF($Z152=1,Settings!$C$6,Settings!$C$7))*100)</f>
        <v/>
      </c>
      <c r="U152" s="7">
        <f>IF($B152="","",Q152*T152/100)</f>
        <v/>
      </c>
      <c r="V152" s="7">
        <f>IF($B152="","",Q152-U152)</f>
        <v/>
      </c>
      <c r="W152" s="7">
        <f>IF($B152="","",V152-J152)</f>
        <v/>
      </c>
      <c r="X152">
        <f>IF($B152="","",IF(COUNTIF($B$2:$B152,$B152)=1,1,0))</f>
        <v/>
      </c>
      <c r="Y152">
        <f>IF($X152=1,SUMPRODUCT(--($AB$2:$AB$301&lt;$AB152))+1,"")</f>
        <v/>
      </c>
      <c r="Z152">
        <f>IF($B152="","",IF(OR($M152=TRUE(),$M152="TRUE"),1,0))</f>
        <v/>
      </c>
      <c r="AA152">
        <f>IF($B152="","",IF($S152="Yes",1,0))</f>
        <v/>
      </c>
      <c r="AB152">
        <f>IF($X152=1,IFERROR(IF(VALUE($B152)&lt;100000000,VALUE($B152),1000000000),IFERROR(IF(VALUE(MID($B152,2,20))&lt;100000000,VALUE(MID($B152,2,20)),1000000000),1000000000))+ROW()/100000,"")</f>
        <v/>
      </c>
    </row>
    <row r="153">
      <c r="C153" s="11" t="n"/>
      <c r="J153" s="7">
        <f>IF($B153="","",I153*Q153/100)</f>
        <v/>
      </c>
      <c r="P153" s="7" t="n"/>
      <c r="Q153" s="7" t="n"/>
      <c r="T153">
        <f>IF($B153="","",IF($AA153=1,0,IF($Z153=1,Settings!$C$6,Settings!$C$7))*100)</f>
        <v/>
      </c>
      <c r="U153" s="7">
        <f>IF($B153="","",Q153*T153/100)</f>
        <v/>
      </c>
      <c r="V153" s="7">
        <f>IF($B153="","",Q153-U153)</f>
        <v/>
      </c>
      <c r="W153" s="7">
        <f>IF($B153="","",V153-J153)</f>
        <v/>
      </c>
      <c r="X153">
        <f>IF($B153="","",IF(COUNTIF($B$2:$B153,$B153)=1,1,0))</f>
        <v/>
      </c>
      <c r="Y153">
        <f>IF($X153=1,SUMPRODUCT(--($AB$2:$AB$301&lt;$AB153))+1,"")</f>
        <v/>
      </c>
      <c r="Z153">
        <f>IF($B153="","",IF(OR($M153=TRUE(),$M153="TRUE"),1,0))</f>
        <v/>
      </c>
      <c r="AA153">
        <f>IF($B153="","",IF($S153="Yes",1,0))</f>
        <v/>
      </c>
      <c r="AB153">
        <f>IF($X153=1,IFERROR(IF(VALUE($B153)&lt;100000000,VALUE($B153),1000000000),IFERROR(IF(VALUE(MID($B153,2,20))&lt;100000000,VALUE(MID($B153,2,20)),1000000000),1000000000))+ROW()/100000,"")</f>
        <v/>
      </c>
    </row>
    <row r="154">
      <c r="C154" s="11" t="n"/>
      <c r="J154" s="7">
        <f>IF($B154="","",I154*Q154/100)</f>
        <v/>
      </c>
      <c r="P154" s="7" t="n"/>
      <c r="Q154" s="7" t="n"/>
      <c r="T154">
        <f>IF($B154="","",IF($AA154=1,0,IF($Z154=1,Settings!$C$6,Settings!$C$7))*100)</f>
        <v/>
      </c>
      <c r="U154" s="7">
        <f>IF($B154="","",Q154*T154/100)</f>
        <v/>
      </c>
      <c r="V154" s="7">
        <f>IF($B154="","",Q154-U154)</f>
        <v/>
      </c>
      <c r="W154" s="7">
        <f>IF($B154="","",V154-J154)</f>
        <v/>
      </c>
      <c r="X154">
        <f>IF($B154="","",IF(COUNTIF($B$2:$B154,$B154)=1,1,0))</f>
        <v/>
      </c>
      <c r="Y154">
        <f>IF($X154=1,SUMPRODUCT(--($AB$2:$AB$301&lt;$AB154))+1,"")</f>
        <v/>
      </c>
      <c r="Z154">
        <f>IF($B154="","",IF(OR($M154=TRUE(),$M154="TRUE"),1,0))</f>
        <v/>
      </c>
      <c r="AA154">
        <f>IF($B154="","",IF($S154="Yes",1,0))</f>
        <v/>
      </c>
      <c r="AB154">
        <f>IF($X154=1,IFERROR(IF(VALUE($B154)&lt;100000000,VALUE($B154),1000000000),IFERROR(IF(VALUE(MID($B154,2,20))&lt;100000000,VALUE(MID($B154,2,20)),1000000000),1000000000))+ROW()/100000,"")</f>
        <v/>
      </c>
    </row>
    <row r="155">
      <c r="C155" s="11" t="n"/>
      <c r="J155" s="7">
        <f>IF($B155="","",I155*Q155/100)</f>
        <v/>
      </c>
      <c r="P155" s="7" t="n"/>
      <c r="Q155" s="7" t="n"/>
      <c r="T155">
        <f>IF($B155="","",IF($AA155=1,0,IF($Z155=1,Settings!$C$6,Settings!$C$7))*100)</f>
        <v/>
      </c>
      <c r="U155" s="7">
        <f>IF($B155="","",Q155*T155/100)</f>
        <v/>
      </c>
      <c r="V155" s="7">
        <f>IF($B155="","",Q155-U155)</f>
        <v/>
      </c>
      <c r="W155" s="7">
        <f>IF($B155="","",V155-J155)</f>
        <v/>
      </c>
      <c r="X155">
        <f>IF($B155="","",IF(COUNTIF($B$2:$B155,$B155)=1,1,0))</f>
        <v/>
      </c>
      <c r="Y155">
        <f>IF($X155=1,SUMPRODUCT(--($AB$2:$AB$301&lt;$AB155))+1,"")</f>
        <v/>
      </c>
      <c r="Z155">
        <f>IF($B155="","",IF(OR($M155=TRUE(),$M155="TRUE"),1,0))</f>
        <v/>
      </c>
      <c r="AA155">
        <f>IF($B155="","",IF($S155="Yes",1,0))</f>
        <v/>
      </c>
      <c r="AB155">
        <f>IF($X155=1,IFERROR(IF(VALUE($B155)&lt;100000000,VALUE($B155),1000000000),IFERROR(IF(VALUE(MID($B155,2,20))&lt;100000000,VALUE(MID($B155,2,20)),1000000000),1000000000))+ROW()/100000,"")</f>
        <v/>
      </c>
    </row>
    <row r="156">
      <c r="C156" s="11" t="n"/>
      <c r="J156" s="7">
        <f>IF($B156="","",I156*Q156/100)</f>
        <v/>
      </c>
      <c r="P156" s="7" t="n"/>
      <c r="Q156" s="7" t="n"/>
      <c r="T156">
        <f>IF($B156="","",IF($AA156=1,0,IF($Z156=1,Settings!$C$6,Settings!$C$7))*100)</f>
        <v/>
      </c>
      <c r="U156" s="7">
        <f>IF($B156="","",Q156*T156/100)</f>
        <v/>
      </c>
      <c r="V156" s="7">
        <f>IF($B156="","",Q156-U156)</f>
        <v/>
      </c>
      <c r="W156" s="7">
        <f>IF($B156="","",V156-J156)</f>
        <v/>
      </c>
      <c r="X156">
        <f>IF($B156="","",IF(COUNTIF($B$2:$B156,$B156)=1,1,0))</f>
        <v/>
      </c>
      <c r="Y156">
        <f>IF($X156=1,SUMPRODUCT(--($AB$2:$AB$301&lt;$AB156))+1,"")</f>
        <v/>
      </c>
      <c r="Z156">
        <f>IF($B156="","",IF(OR($M156=TRUE(),$M156="TRUE"),1,0))</f>
        <v/>
      </c>
      <c r="AA156">
        <f>IF($B156="","",IF($S156="Yes",1,0))</f>
        <v/>
      </c>
      <c r="AB156">
        <f>IF($X156=1,IFERROR(IF(VALUE($B156)&lt;100000000,VALUE($B156),1000000000),IFERROR(IF(VALUE(MID($B156,2,20))&lt;100000000,VALUE(MID($B156,2,20)),1000000000),1000000000))+ROW()/100000,"")</f>
        <v/>
      </c>
    </row>
    <row r="157">
      <c r="C157" s="11" t="n"/>
      <c r="J157" s="7">
        <f>IF($B157="","",I157*Q157/100)</f>
        <v/>
      </c>
      <c r="P157" s="7" t="n"/>
      <c r="Q157" s="7" t="n"/>
      <c r="T157">
        <f>IF($B157="","",IF($AA157=1,0,IF($Z157=1,Settings!$C$6,Settings!$C$7))*100)</f>
        <v/>
      </c>
      <c r="U157" s="7">
        <f>IF($B157="","",Q157*T157/100)</f>
        <v/>
      </c>
      <c r="V157" s="7">
        <f>IF($B157="","",Q157-U157)</f>
        <v/>
      </c>
      <c r="W157" s="7">
        <f>IF($B157="","",V157-J157)</f>
        <v/>
      </c>
      <c r="X157">
        <f>IF($B157="","",IF(COUNTIF($B$2:$B157,$B157)=1,1,0))</f>
        <v/>
      </c>
      <c r="Y157">
        <f>IF($X157=1,SUMPRODUCT(--($AB$2:$AB$301&lt;$AB157))+1,"")</f>
        <v/>
      </c>
      <c r="Z157">
        <f>IF($B157="","",IF(OR($M157=TRUE(),$M157="TRUE"),1,0))</f>
        <v/>
      </c>
      <c r="AA157">
        <f>IF($B157="","",IF($S157="Yes",1,0))</f>
        <v/>
      </c>
      <c r="AB157">
        <f>IF($X157=1,IFERROR(IF(VALUE($B157)&lt;100000000,VALUE($B157),1000000000),IFERROR(IF(VALUE(MID($B157,2,20))&lt;100000000,VALUE(MID($B157,2,20)),1000000000),1000000000))+ROW()/100000,"")</f>
        <v/>
      </c>
    </row>
    <row r="158">
      <c r="C158" s="11" t="n"/>
      <c r="J158" s="7">
        <f>IF($B158="","",I158*Q158/100)</f>
        <v/>
      </c>
      <c r="P158" s="7" t="n"/>
      <c r="Q158" s="7" t="n"/>
      <c r="T158">
        <f>IF($B158="","",IF($AA158=1,0,IF($Z158=1,Settings!$C$6,Settings!$C$7))*100)</f>
        <v/>
      </c>
      <c r="U158" s="7">
        <f>IF($B158="","",Q158*T158/100)</f>
        <v/>
      </c>
      <c r="V158" s="7">
        <f>IF($B158="","",Q158-U158)</f>
        <v/>
      </c>
      <c r="W158" s="7">
        <f>IF($B158="","",V158-J158)</f>
        <v/>
      </c>
      <c r="X158">
        <f>IF($B158="","",IF(COUNTIF($B$2:$B158,$B158)=1,1,0))</f>
        <v/>
      </c>
      <c r="Y158">
        <f>IF($X158=1,SUMPRODUCT(--($AB$2:$AB$301&lt;$AB158))+1,"")</f>
        <v/>
      </c>
      <c r="Z158">
        <f>IF($B158="","",IF(OR($M158=TRUE(),$M158="TRUE"),1,0))</f>
        <v/>
      </c>
      <c r="AA158">
        <f>IF($B158="","",IF($S158="Yes",1,0))</f>
        <v/>
      </c>
      <c r="AB158">
        <f>IF($X158=1,IFERROR(IF(VALUE($B158)&lt;100000000,VALUE($B158),1000000000),IFERROR(IF(VALUE(MID($B158,2,20))&lt;100000000,VALUE(MID($B158,2,20)),1000000000),1000000000))+ROW()/100000,"")</f>
        <v/>
      </c>
    </row>
    <row r="159">
      <c r="C159" s="11" t="n"/>
      <c r="J159" s="7">
        <f>IF($B159="","",I159*Q159/100)</f>
        <v/>
      </c>
      <c r="P159" s="7" t="n"/>
      <c r="Q159" s="7" t="n"/>
      <c r="T159">
        <f>IF($B159="","",IF($AA159=1,0,IF($Z159=1,Settings!$C$6,Settings!$C$7))*100)</f>
        <v/>
      </c>
      <c r="U159" s="7">
        <f>IF($B159="","",Q159*T159/100)</f>
        <v/>
      </c>
      <c r="V159" s="7">
        <f>IF($B159="","",Q159-U159)</f>
        <v/>
      </c>
      <c r="W159" s="7">
        <f>IF($B159="","",V159-J159)</f>
        <v/>
      </c>
      <c r="X159">
        <f>IF($B159="","",IF(COUNTIF($B$2:$B159,$B159)=1,1,0))</f>
        <v/>
      </c>
      <c r="Y159">
        <f>IF($X159=1,SUMPRODUCT(--($AB$2:$AB$301&lt;$AB159))+1,"")</f>
        <v/>
      </c>
      <c r="Z159">
        <f>IF($B159="","",IF(OR($M159=TRUE(),$M159="TRUE"),1,0))</f>
        <v/>
      </c>
      <c r="AA159">
        <f>IF($B159="","",IF($S159="Yes",1,0))</f>
        <v/>
      </c>
      <c r="AB159">
        <f>IF($X159=1,IFERROR(IF(VALUE($B159)&lt;100000000,VALUE($B159),1000000000),IFERROR(IF(VALUE(MID($B159,2,20))&lt;100000000,VALUE(MID($B159,2,20)),1000000000),1000000000))+ROW()/100000,"")</f>
        <v/>
      </c>
    </row>
    <row r="160">
      <c r="C160" s="11" t="n"/>
      <c r="J160" s="7">
        <f>IF($B160="","",I160*Q160/100)</f>
        <v/>
      </c>
      <c r="P160" s="7" t="n"/>
      <c r="Q160" s="7" t="n"/>
      <c r="T160">
        <f>IF($B160="","",IF($AA160=1,0,IF($Z160=1,Settings!$C$6,Settings!$C$7))*100)</f>
        <v/>
      </c>
      <c r="U160" s="7">
        <f>IF($B160="","",Q160*T160/100)</f>
        <v/>
      </c>
      <c r="V160" s="7">
        <f>IF($B160="","",Q160-U160)</f>
        <v/>
      </c>
      <c r="W160" s="7">
        <f>IF($B160="","",V160-J160)</f>
        <v/>
      </c>
      <c r="X160">
        <f>IF($B160="","",IF(COUNTIF($B$2:$B160,$B160)=1,1,0))</f>
        <v/>
      </c>
      <c r="Y160">
        <f>IF($X160=1,SUMPRODUCT(--($AB$2:$AB$301&lt;$AB160))+1,"")</f>
        <v/>
      </c>
      <c r="Z160">
        <f>IF($B160="","",IF(OR($M160=TRUE(),$M160="TRUE"),1,0))</f>
        <v/>
      </c>
      <c r="AA160">
        <f>IF($B160="","",IF($S160="Yes",1,0))</f>
        <v/>
      </c>
      <c r="AB160">
        <f>IF($X160=1,IFERROR(IF(VALUE($B160)&lt;100000000,VALUE($B160),1000000000),IFERROR(IF(VALUE(MID($B160,2,20))&lt;100000000,VALUE(MID($B160,2,20)),1000000000),1000000000))+ROW()/100000,"")</f>
        <v/>
      </c>
    </row>
    <row r="161">
      <c r="C161" s="11" t="n"/>
      <c r="J161" s="7">
        <f>IF($B161="","",I161*Q161/100)</f>
        <v/>
      </c>
      <c r="P161" s="7" t="n"/>
      <c r="Q161" s="7" t="n"/>
      <c r="T161">
        <f>IF($B161="","",IF($AA161=1,0,IF($Z161=1,Settings!$C$6,Settings!$C$7))*100)</f>
        <v/>
      </c>
      <c r="U161" s="7">
        <f>IF($B161="","",Q161*T161/100)</f>
        <v/>
      </c>
      <c r="V161" s="7">
        <f>IF($B161="","",Q161-U161)</f>
        <v/>
      </c>
      <c r="W161" s="7">
        <f>IF($B161="","",V161-J161)</f>
        <v/>
      </c>
      <c r="X161">
        <f>IF($B161="","",IF(COUNTIF($B$2:$B161,$B161)=1,1,0))</f>
        <v/>
      </c>
      <c r="Y161">
        <f>IF($X161=1,SUMPRODUCT(--($AB$2:$AB$301&lt;$AB161))+1,"")</f>
        <v/>
      </c>
      <c r="Z161">
        <f>IF($B161="","",IF(OR($M161=TRUE(),$M161="TRUE"),1,0))</f>
        <v/>
      </c>
      <c r="AA161">
        <f>IF($B161="","",IF($S161="Yes",1,0))</f>
        <v/>
      </c>
      <c r="AB161">
        <f>IF($X161=1,IFERROR(IF(VALUE($B161)&lt;100000000,VALUE($B161),1000000000),IFERROR(IF(VALUE(MID($B161,2,20))&lt;100000000,VALUE(MID($B161,2,20)),1000000000),1000000000))+ROW()/100000,"")</f>
        <v/>
      </c>
    </row>
    <row r="162">
      <c r="C162" s="11" t="n"/>
      <c r="J162" s="7">
        <f>IF($B162="","",I162*Q162/100)</f>
        <v/>
      </c>
      <c r="P162" s="7" t="n"/>
      <c r="Q162" s="7" t="n"/>
      <c r="T162">
        <f>IF($B162="","",IF($AA162=1,0,IF($Z162=1,Settings!$C$6,Settings!$C$7))*100)</f>
        <v/>
      </c>
      <c r="U162" s="7">
        <f>IF($B162="","",Q162*T162/100)</f>
        <v/>
      </c>
      <c r="V162" s="7">
        <f>IF($B162="","",Q162-U162)</f>
        <v/>
      </c>
      <c r="W162" s="7">
        <f>IF($B162="","",V162-J162)</f>
        <v/>
      </c>
      <c r="X162">
        <f>IF($B162="","",IF(COUNTIF($B$2:$B162,$B162)=1,1,0))</f>
        <v/>
      </c>
      <c r="Y162">
        <f>IF($X162=1,SUMPRODUCT(--($AB$2:$AB$301&lt;$AB162))+1,"")</f>
        <v/>
      </c>
      <c r="Z162">
        <f>IF($B162="","",IF(OR($M162=TRUE(),$M162="TRUE"),1,0))</f>
        <v/>
      </c>
      <c r="AA162">
        <f>IF($B162="","",IF($S162="Yes",1,0))</f>
        <v/>
      </c>
      <c r="AB162">
        <f>IF($X162=1,IFERROR(IF(VALUE($B162)&lt;100000000,VALUE($B162),1000000000),IFERROR(IF(VALUE(MID($B162,2,20))&lt;100000000,VALUE(MID($B162,2,20)),1000000000),1000000000))+ROW()/100000,"")</f>
        <v/>
      </c>
    </row>
    <row r="163">
      <c r="C163" s="11" t="n"/>
      <c r="J163" s="7">
        <f>IF($B163="","",I163*Q163/100)</f>
        <v/>
      </c>
      <c r="P163" s="7" t="n"/>
      <c r="Q163" s="7" t="n"/>
      <c r="T163">
        <f>IF($B163="","",IF($AA163=1,0,IF($Z163=1,Settings!$C$6,Settings!$C$7))*100)</f>
        <v/>
      </c>
      <c r="U163" s="7">
        <f>IF($B163="","",Q163*T163/100)</f>
        <v/>
      </c>
      <c r="V163" s="7">
        <f>IF($B163="","",Q163-U163)</f>
        <v/>
      </c>
      <c r="W163" s="7">
        <f>IF($B163="","",V163-J163)</f>
        <v/>
      </c>
      <c r="X163">
        <f>IF($B163="","",IF(COUNTIF($B$2:$B163,$B163)=1,1,0))</f>
        <v/>
      </c>
      <c r="Y163">
        <f>IF($X163=1,SUMPRODUCT(--($AB$2:$AB$301&lt;$AB163))+1,"")</f>
        <v/>
      </c>
      <c r="Z163">
        <f>IF($B163="","",IF(OR($M163=TRUE(),$M163="TRUE"),1,0))</f>
        <v/>
      </c>
      <c r="AA163">
        <f>IF($B163="","",IF($S163="Yes",1,0))</f>
        <v/>
      </c>
      <c r="AB163">
        <f>IF($X163=1,IFERROR(IF(VALUE($B163)&lt;100000000,VALUE($B163),1000000000),IFERROR(IF(VALUE(MID($B163,2,20))&lt;100000000,VALUE(MID($B163,2,20)),1000000000),1000000000))+ROW()/100000,"")</f>
        <v/>
      </c>
    </row>
    <row r="164">
      <c r="C164" s="11" t="n"/>
      <c r="J164" s="7">
        <f>IF($B164="","",I164*Q164/100)</f>
        <v/>
      </c>
      <c r="P164" s="7" t="n"/>
      <c r="Q164" s="7" t="n"/>
      <c r="T164">
        <f>IF($B164="","",IF($AA164=1,0,IF($Z164=1,Settings!$C$6,Settings!$C$7))*100)</f>
        <v/>
      </c>
      <c r="U164" s="7">
        <f>IF($B164="","",Q164*T164/100)</f>
        <v/>
      </c>
      <c r="V164" s="7">
        <f>IF($B164="","",Q164-U164)</f>
        <v/>
      </c>
      <c r="W164" s="7">
        <f>IF($B164="","",V164-J164)</f>
        <v/>
      </c>
      <c r="X164">
        <f>IF($B164="","",IF(COUNTIF($B$2:$B164,$B164)=1,1,0))</f>
        <v/>
      </c>
      <c r="Y164">
        <f>IF($X164=1,SUMPRODUCT(--($AB$2:$AB$301&lt;$AB164))+1,"")</f>
        <v/>
      </c>
      <c r="Z164">
        <f>IF($B164="","",IF(OR($M164=TRUE(),$M164="TRUE"),1,0))</f>
        <v/>
      </c>
      <c r="AA164">
        <f>IF($B164="","",IF($S164="Yes",1,0))</f>
        <v/>
      </c>
      <c r="AB164">
        <f>IF($X164=1,IFERROR(IF(VALUE($B164)&lt;100000000,VALUE($B164),1000000000),IFERROR(IF(VALUE(MID($B164,2,20))&lt;100000000,VALUE(MID($B164,2,20)),1000000000),1000000000))+ROW()/100000,"")</f>
        <v/>
      </c>
    </row>
    <row r="165">
      <c r="C165" s="11" t="n"/>
      <c r="J165" s="7">
        <f>IF($B165="","",I165*Q165/100)</f>
        <v/>
      </c>
      <c r="P165" s="7" t="n"/>
      <c r="Q165" s="7" t="n"/>
      <c r="T165">
        <f>IF($B165="","",IF($AA165=1,0,IF($Z165=1,Settings!$C$6,Settings!$C$7))*100)</f>
        <v/>
      </c>
      <c r="U165" s="7">
        <f>IF($B165="","",Q165*T165/100)</f>
        <v/>
      </c>
      <c r="V165" s="7">
        <f>IF($B165="","",Q165-U165)</f>
        <v/>
      </c>
      <c r="W165" s="7">
        <f>IF($B165="","",V165-J165)</f>
        <v/>
      </c>
      <c r="X165">
        <f>IF($B165="","",IF(COUNTIF($B$2:$B165,$B165)=1,1,0))</f>
        <v/>
      </c>
      <c r="Y165">
        <f>IF($X165=1,SUMPRODUCT(--($AB$2:$AB$301&lt;$AB165))+1,"")</f>
        <v/>
      </c>
      <c r="Z165">
        <f>IF($B165="","",IF(OR($M165=TRUE(),$M165="TRUE"),1,0))</f>
        <v/>
      </c>
      <c r="AA165">
        <f>IF($B165="","",IF($S165="Yes",1,0))</f>
        <v/>
      </c>
      <c r="AB165">
        <f>IF($X165=1,IFERROR(IF(VALUE($B165)&lt;100000000,VALUE($B165),1000000000),IFERROR(IF(VALUE(MID($B165,2,20))&lt;100000000,VALUE(MID($B165,2,20)),1000000000),1000000000))+ROW()/100000,"")</f>
        <v/>
      </c>
    </row>
    <row r="166">
      <c r="C166" s="11" t="n"/>
      <c r="J166" s="7">
        <f>IF($B166="","",I166*Q166/100)</f>
        <v/>
      </c>
      <c r="P166" s="7" t="n"/>
      <c r="Q166" s="7" t="n"/>
      <c r="T166">
        <f>IF($B166="","",IF($AA166=1,0,IF($Z166=1,Settings!$C$6,Settings!$C$7))*100)</f>
        <v/>
      </c>
      <c r="U166" s="7">
        <f>IF($B166="","",Q166*T166/100)</f>
        <v/>
      </c>
      <c r="V166" s="7">
        <f>IF($B166="","",Q166-U166)</f>
        <v/>
      </c>
      <c r="W166" s="7">
        <f>IF($B166="","",V166-J166)</f>
        <v/>
      </c>
      <c r="X166">
        <f>IF($B166="","",IF(COUNTIF($B$2:$B166,$B166)=1,1,0))</f>
        <v/>
      </c>
      <c r="Y166">
        <f>IF($X166=1,SUMPRODUCT(--($AB$2:$AB$301&lt;$AB166))+1,"")</f>
        <v/>
      </c>
      <c r="Z166">
        <f>IF($B166="","",IF(OR($M166=TRUE(),$M166="TRUE"),1,0))</f>
        <v/>
      </c>
      <c r="AA166">
        <f>IF($B166="","",IF($S166="Yes",1,0))</f>
        <v/>
      </c>
      <c r="AB166">
        <f>IF($X166=1,IFERROR(IF(VALUE($B166)&lt;100000000,VALUE($B166),1000000000),IFERROR(IF(VALUE(MID($B166,2,20))&lt;100000000,VALUE(MID($B166,2,20)),1000000000),1000000000))+ROW()/100000,"")</f>
        <v/>
      </c>
    </row>
    <row r="167">
      <c r="C167" s="11" t="n"/>
      <c r="J167" s="7">
        <f>IF($B167="","",I167*Q167/100)</f>
        <v/>
      </c>
      <c r="P167" s="7" t="n"/>
      <c r="Q167" s="7" t="n"/>
      <c r="T167">
        <f>IF($B167="","",IF($AA167=1,0,IF($Z167=1,Settings!$C$6,Settings!$C$7))*100)</f>
        <v/>
      </c>
      <c r="U167" s="7">
        <f>IF($B167="","",Q167*T167/100)</f>
        <v/>
      </c>
      <c r="V167" s="7">
        <f>IF($B167="","",Q167-U167)</f>
        <v/>
      </c>
      <c r="W167" s="7">
        <f>IF($B167="","",V167-J167)</f>
        <v/>
      </c>
      <c r="X167">
        <f>IF($B167="","",IF(COUNTIF($B$2:$B167,$B167)=1,1,0))</f>
        <v/>
      </c>
      <c r="Y167">
        <f>IF($X167=1,SUMPRODUCT(--($AB$2:$AB$301&lt;$AB167))+1,"")</f>
        <v/>
      </c>
      <c r="Z167">
        <f>IF($B167="","",IF(OR($M167=TRUE(),$M167="TRUE"),1,0))</f>
        <v/>
      </c>
      <c r="AA167">
        <f>IF($B167="","",IF($S167="Yes",1,0))</f>
        <v/>
      </c>
      <c r="AB167">
        <f>IF($X167=1,IFERROR(IF(VALUE($B167)&lt;100000000,VALUE($B167),1000000000),IFERROR(IF(VALUE(MID($B167,2,20))&lt;100000000,VALUE(MID($B167,2,20)),1000000000),1000000000))+ROW()/100000,"")</f>
        <v/>
      </c>
    </row>
    <row r="168">
      <c r="C168" s="11" t="n"/>
      <c r="J168" s="7">
        <f>IF($B168="","",I168*Q168/100)</f>
        <v/>
      </c>
      <c r="P168" s="7" t="n"/>
      <c r="Q168" s="7" t="n"/>
      <c r="T168">
        <f>IF($B168="","",IF($AA168=1,0,IF($Z168=1,Settings!$C$6,Settings!$C$7))*100)</f>
        <v/>
      </c>
      <c r="U168" s="7">
        <f>IF($B168="","",Q168*T168/100)</f>
        <v/>
      </c>
      <c r="V168" s="7">
        <f>IF($B168="","",Q168-U168)</f>
        <v/>
      </c>
      <c r="W168" s="7">
        <f>IF($B168="","",V168-J168)</f>
        <v/>
      </c>
      <c r="X168">
        <f>IF($B168="","",IF(COUNTIF($B$2:$B168,$B168)=1,1,0))</f>
        <v/>
      </c>
      <c r="Y168">
        <f>IF($X168=1,SUMPRODUCT(--($AB$2:$AB$301&lt;$AB168))+1,"")</f>
        <v/>
      </c>
      <c r="Z168">
        <f>IF($B168="","",IF(OR($M168=TRUE(),$M168="TRUE"),1,0))</f>
        <v/>
      </c>
      <c r="AA168">
        <f>IF($B168="","",IF($S168="Yes",1,0))</f>
        <v/>
      </c>
      <c r="AB168">
        <f>IF($X168=1,IFERROR(IF(VALUE($B168)&lt;100000000,VALUE($B168),1000000000),IFERROR(IF(VALUE(MID($B168,2,20))&lt;100000000,VALUE(MID($B168,2,20)),1000000000),1000000000))+ROW()/100000,"")</f>
        <v/>
      </c>
    </row>
    <row r="169">
      <c r="C169" s="11" t="n"/>
      <c r="J169" s="7">
        <f>IF($B169="","",I169*Q169/100)</f>
        <v/>
      </c>
      <c r="P169" s="7" t="n"/>
      <c r="Q169" s="7" t="n"/>
      <c r="T169">
        <f>IF($B169="","",IF($AA169=1,0,IF($Z169=1,Settings!$C$6,Settings!$C$7))*100)</f>
        <v/>
      </c>
      <c r="U169" s="7">
        <f>IF($B169="","",Q169*T169/100)</f>
        <v/>
      </c>
      <c r="V169" s="7">
        <f>IF($B169="","",Q169-U169)</f>
        <v/>
      </c>
      <c r="W169" s="7">
        <f>IF($B169="","",V169-J169)</f>
        <v/>
      </c>
      <c r="X169">
        <f>IF($B169="","",IF(COUNTIF($B$2:$B169,$B169)=1,1,0))</f>
        <v/>
      </c>
      <c r="Y169">
        <f>IF($X169=1,SUMPRODUCT(--($AB$2:$AB$301&lt;$AB169))+1,"")</f>
        <v/>
      </c>
      <c r="Z169">
        <f>IF($B169="","",IF(OR($M169=TRUE(),$M169="TRUE"),1,0))</f>
        <v/>
      </c>
      <c r="AA169">
        <f>IF($B169="","",IF($S169="Yes",1,0))</f>
        <v/>
      </c>
      <c r="AB169">
        <f>IF($X169=1,IFERROR(IF(VALUE($B169)&lt;100000000,VALUE($B169),1000000000),IFERROR(IF(VALUE(MID($B169,2,20))&lt;100000000,VALUE(MID($B169,2,20)),1000000000),1000000000))+ROW()/100000,"")</f>
        <v/>
      </c>
    </row>
    <row r="170">
      <c r="C170" s="11" t="n"/>
      <c r="J170" s="7">
        <f>IF($B170="","",I170*Q170/100)</f>
        <v/>
      </c>
      <c r="P170" s="7" t="n"/>
      <c r="Q170" s="7" t="n"/>
      <c r="T170">
        <f>IF($B170="","",IF($AA170=1,0,IF($Z170=1,Settings!$C$6,Settings!$C$7))*100)</f>
        <v/>
      </c>
      <c r="U170" s="7">
        <f>IF($B170="","",Q170*T170/100)</f>
        <v/>
      </c>
      <c r="V170" s="7">
        <f>IF($B170="","",Q170-U170)</f>
        <v/>
      </c>
      <c r="W170" s="7">
        <f>IF($B170="","",V170-J170)</f>
        <v/>
      </c>
      <c r="X170">
        <f>IF($B170="","",IF(COUNTIF($B$2:$B170,$B170)=1,1,0))</f>
        <v/>
      </c>
      <c r="Y170">
        <f>IF($X170=1,SUMPRODUCT(--($AB$2:$AB$301&lt;$AB170))+1,"")</f>
        <v/>
      </c>
      <c r="Z170">
        <f>IF($B170="","",IF(OR($M170=TRUE(),$M170="TRUE"),1,0))</f>
        <v/>
      </c>
      <c r="AA170">
        <f>IF($B170="","",IF($S170="Yes",1,0))</f>
        <v/>
      </c>
      <c r="AB170">
        <f>IF($X170=1,IFERROR(IF(VALUE($B170)&lt;100000000,VALUE($B170),1000000000),IFERROR(IF(VALUE(MID($B170,2,20))&lt;100000000,VALUE(MID($B170,2,20)),1000000000),1000000000))+ROW()/100000,"")</f>
        <v/>
      </c>
    </row>
    <row r="171">
      <c r="C171" s="11" t="n"/>
      <c r="J171" s="7">
        <f>IF($B171="","",I171*Q171/100)</f>
        <v/>
      </c>
      <c r="P171" s="7" t="n"/>
      <c r="Q171" s="7" t="n"/>
      <c r="T171">
        <f>IF($B171="","",IF($AA171=1,0,IF($Z171=1,Settings!$C$6,Settings!$C$7))*100)</f>
        <v/>
      </c>
      <c r="U171" s="7">
        <f>IF($B171="","",Q171*T171/100)</f>
        <v/>
      </c>
      <c r="V171" s="7">
        <f>IF($B171="","",Q171-U171)</f>
        <v/>
      </c>
      <c r="W171" s="7">
        <f>IF($B171="","",V171-J171)</f>
        <v/>
      </c>
      <c r="X171">
        <f>IF($B171="","",IF(COUNTIF($B$2:$B171,$B171)=1,1,0))</f>
        <v/>
      </c>
      <c r="Y171">
        <f>IF($X171=1,SUMPRODUCT(--($AB$2:$AB$301&lt;$AB171))+1,"")</f>
        <v/>
      </c>
      <c r="Z171">
        <f>IF($B171="","",IF(OR($M171=TRUE(),$M171="TRUE"),1,0))</f>
        <v/>
      </c>
      <c r="AA171">
        <f>IF($B171="","",IF($S171="Yes",1,0))</f>
        <v/>
      </c>
      <c r="AB171">
        <f>IF($X171=1,IFERROR(IF(VALUE($B171)&lt;100000000,VALUE($B171),1000000000),IFERROR(IF(VALUE(MID($B171,2,20))&lt;100000000,VALUE(MID($B171,2,20)),1000000000),1000000000))+ROW()/100000,"")</f>
        <v/>
      </c>
    </row>
    <row r="172">
      <c r="C172" s="11" t="n"/>
      <c r="J172" s="7">
        <f>IF($B172="","",I172*Q172/100)</f>
        <v/>
      </c>
      <c r="P172" s="7" t="n"/>
      <c r="Q172" s="7" t="n"/>
      <c r="T172">
        <f>IF($B172="","",IF($AA172=1,0,IF($Z172=1,Settings!$C$6,Settings!$C$7))*100)</f>
        <v/>
      </c>
      <c r="U172" s="7">
        <f>IF($B172="","",Q172*T172/100)</f>
        <v/>
      </c>
      <c r="V172" s="7">
        <f>IF($B172="","",Q172-U172)</f>
        <v/>
      </c>
      <c r="W172" s="7">
        <f>IF($B172="","",V172-J172)</f>
        <v/>
      </c>
      <c r="X172">
        <f>IF($B172="","",IF(COUNTIF($B$2:$B172,$B172)=1,1,0))</f>
        <v/>
      </c>
      <c r="Y172">
        <f>IF($X172=1,SUMPRODUCT(--($AB$2:$AB$301&lt;$AB172))+1,"")</f>
        <v/>
      </c>
      <c r="Z172">
        <f>IF($B172="","",IF(OR($M172=TRUE(),$M172="TRUE"),1,0))</f>
        <v/>
      </c>
      <c r="AA172">
        <f>IF($B172="","",IF($S172="Yes",1,0))</f>
        <v/>
      </c>
      <c r="AB172">
        <f>IF($X172=1,IFERROR(IF(VALUE($B172)&lt;100000000,VALUE($B172),1000000000),IFERROR(IF(VALUE(MID($B172,2,20))&lt;100000000,VALUE(MID($B172,2,20)),1000000000),1000000000))+ROW()/100000,"")</f>
        <v/>
      </c>
    </row>
    <row r="173">
      <c r="C173" s="11" t="n"/>
      <c r="J173" s="7">
        <f>IF($B173="","",I173*Q173/100)</f>
        <v/>
      </c>
      <c r="P173" s="7" t="n"/>
      <c r="Q173" s="7" t="n"/>
      <c r="T173">
        <f>IF($B173="","",IF($AA173=1,0,IF($Z173=1,Settings!$C$6,Settings!$C$7))*100)</f>
        <v/>
      </c>
      <c r="U173" s="7">
        <f>IF($B173="","",Q173*T173/100)</f>
        <v/>
      </c>
      <c r="V173" s="7">
        <f>IF($B173="","",Q173-U173)</f>
        <v/>
      </c>
      <c r="W173" s="7">
        <f>IF($B173="","",V173-J173)</f>
        <v/>
      </c>
      <c r="X173">
        <f>IF($B173="","",IF(COUNTIF($B$2:$B173,$B173)=1,1,0))</f>
        <v/>
      </c>
      <c r="Y173">
        <f>IF($X173=1,SUMPRODUCT(--($AB$2:$AB$301&lt;$AB173))+1,"")</f>
        <v/>
      </c>
      <c r="Z173">
        <f>IF($B173="","",IF(OR($M173=TRUE(),$M173="TRUE"),1,0))</f>
        <v/>
      </c>
      <c r="AA173">
        <f>IF($B173="","",IF($S173="Yes",1,0))</f>
        <v/>
      </c>
      <c r="AB173">
        <f>IF($X173=1,IFERROR(IF(VALUE($B173)&lt;100000000,VALUE($B173),1000000000),IFERROR(IF(VALUE(MID($B173,2,20))&lt;100000000,VALUE(MID($B173,2,20)),1000000000),1000000000))+ROW()/100000,"")</f>
        <v/>
      </c>
    </row>
    <row r="174">
      <c r="C174" s="11" t="n"/>
      <c r="J174" s="7">
        <f>IF($B174="","",I174*Q174/100)</f>
        <v/>
      </c>
      <c r="P174" s="7" t="n"/>
      <c r="Q174" s="7" t="n"/>
      <c r="T174">
        <f>IF($B174="","",IF($AA174=1,0,IF($Z174=1,Settings!$C$6,Settings!$C$7))*100)</f>
        <v/>
      </c>
      <c r="U174" s="7">
        <f>IF($B174="","",Q174*T174/100)</f>
        <v/>
      </c>
      <c r="V174" s="7">
        <f>IF($B174="","",Q174-U174)</f>
        <v/>
      </c>
      <c r="W174" s="7">
        <f>IF($B174="","",V174-J174)</f>
        <v/>
      </c>
      <c r="X174">
        <f>IF($B174="","",IF(COUNTIF($B$2:$B174,$B174)=1,1,0))</f>
        <v/>
      </c>
      <c r="Y174">
        <f>IF($X174=1,SUMPRODUCT(--($AB$2:$AB$301&lt;$AB174))+1,"")</f>
        <v/>
      </c>
      <c r="Z174">
        <f>IF($B174="","",IF(OR($M174=TRUE(),$M174="TRUE"),1,0))</f>
        <v/>
      </c>
      <c r="AA174">
        <f>IF($B174="","",IF($S174="Yes",1,0))</f>
        <v/>
      </c>
      <c r="AB174">
        <f>IF($X174=1,IFERROR(IF(VALUE($B174)&lt;100000000,VALUE($B174),1000000000),IFERROR(IF(VALUE(MID($B174,2,20))&lt;100000000,VALUE(MID($B174,2,20)),1000000000),1000000000))+ROW()/100000,"")</f>
        <v/>
      </c>
    </row>
    <row r="175">
      <c r="C175" s="11" t="n"/>
      <c r="J175" s="7">
        <f>IF($B175="","",I175*Q175/100)</f>
        <v/>
      </c>
      <c r="P175" s="7" t="n"/>
      <c r="Q175" s="7" t="n"/>
      <c r="T175">
        <f>IF($B175="","",IF($AA175=1,0,IF($Z175=1,Settings!$C$6,Settings!$C$7))*100)</f>
        <v/>
      </c>
      <c r="U175" s="7">
        <f>IF($B175="","",Q175*T175/100)</f>
        <v/>
      </c>
      <c r="V175" s="7">
        <f>IF($B175="","",Q175-U175)</f>
        <v/>
      </c>
      <c r="W175" s="7">
        <f>IF($B175="","",V175-J175)</f>
        <v/>
      </c>
      <c r="X175">
        <f>IF($B175="","",IF(COUNTIF($B$2:$B175,$B175)=1,1,0))</f>
        <v/>
      </c>
      <c r="Y175">
        <f>IF($X175=1,SUMPRODUCT(--($AB$2:$AB$301&lt;$AB175))+1,"")</f>
        <v/>
      </c>
      <c r="Z175">
        <f>IF($B175="","",IF(OR($M175=TRUE(),$M175="TRUE"),1,0))</f>
        <v/>
      </c>
      <c r="AA175">
        <f>IF($B175="","",IF($S175="Yes",1,0))</f>
        <v/>
      </c>
      <c r="AB175">
        <f>IF($X175=1,IFERROR(IF(VALUE($B175)&lt;100000000,VALUE($B175),1000000000),IFERROR(IF(VALUE(MID($B175,2,20))&lt;100000000,VALUE(MID($B175,2,20)),1000000000),1000000000))+ROW()/100000,"")</f>
        <v/>
      </c>
    </row>
    <row r="176">
      <c r="C176" s="11" t="n"/>
      <c r="J176" s="7">
        <f>IF($B176="","",I176*Q176/100)</f>
        <v/>
      </c>
      <c r="P176" s="7" t="n"/>
      <c r="Q176" s="7" t="n"/>
      <c r="T176">
        <f>IF($B176="","",IF($AA176=1,0,IF($Z176=1,Settings!$C$6,Settings!$C$7))*100)</f>
        <v/>
      </c>
      <c r="U176" s="7">
        <f>IF($B176="","",Q176*T176/100)</f>
        <v/>
      </c>
      <c r="V176" s="7">
        <f>IF($B176="","",Q176-U176)</f>
        <v/>
      </c>
      <c r="W176" s="7">
        <f>IF($B176="","",V176-J176)</f>
        <v/>
      </c>
      <c r="X176">
        <f>IF($B176="","",IF(COUNTIF($B$2:$B176,$B176)=1,1,0))</f>
        <v/>
      </c>
      <c r="Y176">
        <f>IF($X176=1,SUMPRODUCT(--($AB$2:$AB$301&lt;$AB176))+1,"")</f>
        <v/>
      </c>
      <c r="Z176">
        <f>IF($B176="","",IF(OR($M176=TRUE(),$M176="TRUE"),1,0))</f>
        <v/>
      </c>
      <c r="AA176">
        <f>IF($B176="","",IF($S176="Yes",1,0))</f>
        <v/>
      </c>
      <c r="AB176">
        <f>IF($X176=1,IFERROR(IF(VALUE($B176)&lt;100000000,VALUE($B176),1000000000),IFERROR(IF(VALUE(MID($B176,2,20))&lt;100000000,VALUE(MID($B176,2,20)),1000000000),1000000000))+ROW()/100000,"")</f>
        <v/>
      </c>
    </row>
    <row r="177">
      <c r="C177" s="11" t="n"/>
      <c r="J177" s="7">
        <f>IF($B177="","",I177*Q177/100)</f>
        <v/>
      </c>
      <c r="P177" s="7" t="n"/>
      <c r="Q177" s="7" t="n"/>
      <c r="T177">
        <f>IF($B177="","",IF($AA177=1,0,IF($Z177=1,Settings!$C$6,Settings!$C$7))*100)</f>
        <v/>
      </c>
      <c r="U177" s="7">
        <f>IF($B177="","",Q177*T177/100)</f>
        <v/>
      </c>
      <c r="V177" s="7">
        <f>IF($B177="","",Q177-U177)</f>
        <v/>
      </c>
      <c r="W177" s="7">
        <f>IF($B177="","",V177-J177)</f>
        <v/>
      </c>
      <c r="X177">
        <f>IF($B177="","",IF(COUNTIF($B$2:$B177,$B177)=1,1,0))</f>
        <v/>
      </c>
      <c r="Y177">
        <f>IF($X177=1,SUMPRODUCT(--($AB$2:$AB$301&lt;$AB177))+1,"")</f>
        <v/>
      </c>
      <c r="Z177">
        <f>IF($B177="","",IF(OR($M177=TRUE(),$M177="TRUE"),1,0))</f>
        <v/>
      </c>
      <c r="AA177">
        <f>IF($B177="","",IF($S177="Yes",1,0))</f>
        <v/>
      </c>
      <c r="AB177">
        <f>IF($X177=1,IFERROR(IF(VALUE($B177)&lt;100000000,VALUE($B177),1000000000),IFERROR(IF(VALUE(MID($B177,2,20))&lt;100000000,VALUE(MID($B177,2,20)),1000000000),1000000000))+ROW()/100000,"")</f>
        <v/>
      </c>
    </row>
    <row r="178">
      <c r="C178" s="11" t="n"/>
      <c r="J178" s="7">
        <f>IF($B178="","",I178*Q178/100)</f>
        <v/>
      </c>
      <c r="P178" s="7" t="n"/>
      <c r="Q178" s="7" t="n"/>
      <c r="T178">
        <f>IF($B178="","",IF($AA178=1,0,IF($Z178=1,Settings!$C$6,Settings!$C$7))*100)</f>
        <v/>
      </c>
      <c r="U178" s="7">
        <f>IF($B178="","",Q178*T178/100)</f>
        <v/>
      </c>
      <c r="V178" s="7">
        <f>IF($B178="","",Q178-U178)</f>
        <v/>
      </c>
      <c r="W178" s="7">
        <f>IF($B178="","",V178-J178)</f>
        <v/>
      </c>
      <c r="X178">
        <f>IF($B178="","",IF(COUNTIF($B$2:$B178,$B178)=1,1,0))</f>
        <v/>
      </c>
      <c r="Y178">
        <f>IF($X178=1,SUMPRODUCT(--($AB$2:$AB$301&lt;$AB178))+1,"")</f>
        <v/>
      </c>
      <c r="Z178">
        <f>IF($B178="","",IF(OR($M178=TRUE(),$M178="TRUE"),1,0))</f>
        <v/>
      </c>
      <c r="AA178">
        <f>IF($B178="","",IF($S178="Yes",1,0))</f>
        <v/>
      </c>
      <c r="AB178">
        <f>IF($X178=1,IFERROR(IF(VALUE($B178)&lt;100000000,VALUE($B178),1000000000),IFERROR(IF(VALUE(MID($B178,2,20))&lt;100000000,VALUE(MID($B178,2,20)),1000000000),1000000000))+ROW()/100000,"")</f>
        <v/>
      </c>
    </row>
    <row r="179">
      <c r="C179" s="11" t="n"/>
      <c r="J179" s="7">
        <f>IF($B179="","",I179*Q179/100)</f>
        <v/>
      </c>
      <c r="P179" s="7" t="n"/>
      <c r="Q179" s="7" t="n"/>
      <c r="T179">
        <f>IF($B179="","",IF($AA179=1,0,IF($Z179=1,Settings!$C$6,Settings!$C$7))*100)</f>
        <v/>
      </c>
      <c r="U179" s="7">
        <f>IF($B179="","",Q179*T179/100)</f>
        <v/>
      </c>
      <c r="V179" s="7">
        <f>IF($B179="","",Q179-U179)</f>
        <v/>
      </c>
      <c r="W179" s="7">
        <f>IF($B179="","",V179-J179)</f>
        <v/>
      </c>
      <c r="X179">
        <f>IF($B179="","",IF(COUNTIF($B$2:$B179,$B179)=1,1,0))</f>
        <v/>
      </c>
      <c r="Y179">
        <f>IF($X179=1,SUMPRODUCT(--($AB$2:$AB$301&lt;$AB179))+1,"")</f>
        <v/>
      </c>
      <c r="Z179">
        <f>IF($B179="","",IF(OR($M179=TRUE(),$M179="TRUE"),1,0))</f>
        <v/>
      </c>
      <c r="AA179">
        <f>IF($B179="","",IF($S179="Yes",1,0))</f>
        <v/>
      </c>
      <c r="AB179">
        <f>IF($X179=1,IFERROR(IF(VALUE($B179)&lt;100000000,VALUE($B179),1000000000),IFERROR(IF(VALUE(MID($B179,2,20))&lt;100000000,VALUE(MID($B179,2,20)),1000000000),1000000000))+ROW()/100000,"")</f>
        <v/>
      </c>
    </row>
    <row r="180">
      <c r="C180" s="11" t="n"/>
      <c r="J180" s="7">
        <f>IF($B180="","",I180*Q180/100)</f>
        <v/>
      </c>
      <c r="P180" s="7" t="n"/>
      <c r="Q180" s="7" t="n"/>
      <c r="T180">
        <f>IF($B180="","",IF($AA180=1,0,IF($Z180=1,Settings!$C$6,Settings!$C$7))*100)</f>
        <v/>
      </c>
      <c r="U180" s="7">
        <f>IF($B180="","",Q180*T180/100)</f>
        <v/>
      </c>
      <c r="V180" s="7">
        <f>IF($B180="","",Q180-U180)</f>
        <v/>
      </c>
      <c r="W180" s="7">
        <f>IF($B180="","",V180-J180)</f>
        <v/>
      </c>
      <c r="X180">
        <f>IF($B180="","",IF(COUNTIF($B$2:$B180,$B180)=1,1,0))</f>
        <v/>
      </c>
      <c r="Y180">
        <f>IF($X180=1,SUMPRODUCT(--($AB$2:$AB$301&lt;$AB180))+1,"")</f>
        <v/>
      </c>
      <c r="Z180">
        <f>IF($B180="","",IF(OR($M180=TRUE(),$M180="TRUE"),1,0))</f>
        <v/>
      </c>
      <c r="AA180">
        <f>IF($B180="","",IF($S180="Yes",1,0))</f>
        <v/>
      </c>
      <c r="AB180">
        <f>IF($X180=1,IFERROR(IF(VALUE($B180)&lt;100000000,VALUE($B180),1000000000),IFERROR(IF(VALUE(MID($B180,2,20))&lt;100000000,VALUE(MID($B180,2,20)),1000000000),1000000000))+ROW()/100000,"")</f>
        <v/>
      </c>
    </row>
    <row r="181">
      <c r="C181" s="11" t="n"/>
      <c r="J181" s="7">
        <f>IF($B181="","",I181*Q181/100)</f>
        <v/>
      </c>
      <c r="P181" s="7" t="n"/>
      <c r="Q181" s="7" t="n"/>
      <c r="T181">
        <f>IF($B181="","",IF($AA181=1,0,IF($Z181=1,Settings!$C$6,Settings!$C$7))*100)</f>
        <v/>
      </c>
      <c r="U181" s="7">
        <f>IF($B181="","",Q181*T181/100)</f>
        <v/>
      </c>
      <c r="V181" s="7">
        <f>IF($B181="","",Q181-U181)</f>
        <v/>
      </c>
      <c r="W181" s="7">
        <f>IF($B181="","",V181-J181)</f>
        <v/>
      </c>
      <c r="X181">
        <f>IF($B181="","",IF(COUNTIF($B$2:$B181,$B181)=1,1,0))</f>
        <v/>
      </c>
      <c r="Y181">
        <f>IF($X181=1,SUMPRODUCT(--($AB$2:$AB$301&lt;$AB181))+1,"")</f>
        <v/>
      </c>
      <c r="Z181">
        <f>IF($B181="","",IF(OR($M181=TRUE(),$M181="TRUE"),1,0))</f>
        <v/>
      </c>
      <c r="AA181">
        <f>IF($B181="","",IF($S181="Yes",1,0))</f>
        <v/>
      </c>
      <c r="AB181">
        <f>IF($X181=1,IFERROR(IF(VALUE($B181)&lt;100000000,VALUE($B181),1000000000),IFERROR(IF(VALUE(MID($B181,2,20))&lt;100000000,VALUE(MID($B181,2,20)),1000000000),1000000000))+ROW()/100000,"")</f>
        <v/>
      </c>
    </row>
    <row r="182">
      <c r="C182" s="11" t="n"/>
      <c r="J182" s="7">
        <f>IF($B182="","",I182*Q182/100)</f>
        <v/>
      </c>
      <c r="P182" s="7" t="n"/>
      <c r="Q182" s="7" t="n"/>
      <c r="T182">
        <f>IF($B182="","",IF($AA182=1,0,IF($Z182=1,Settings!$C$6,Settings!$C$7))*100)</f>
        <v/>
      </c>
      <c r="U182" s="7">
        <f>IF($B182="","",Q182*T182/100)</f>
        <v/>
      </c>
      <c r="V182" s="7">
        <f>IF($B182="","",Q182-U182)</f>
        <v/>
      </c>
      <c r="W182" s="7">
        <f>IF($B182="","",V182-J182)</f>
        <v/>
      </c>
      <c r="X182">
        <f>IF($B182="","",IF(COUNTIF($B$2:$B182,$B182)=1,1,0))</f>
        <v/>
      </c>
      <c r="Y182">
        <f>IF($X182=1,SUMPRODUCT(--($AB$2:$AB$301&lt;$AB182))+1,"")</f>
        <v/>
      </c>
      <c r="Z182">
        <f>IF($B182="","",IF(OR($M182=TRUE(),$M182="TRUE"),1,0))</f>
        <v/>
      </c>
      <c r="AA182">
        <f>IF($B182="","",IF($S182="Yes",1,0))</f>
        <v/>
      </c>
      <c r="AB182">
        <f>IF($X182=1,IFERROR(IF(VALUE($B182)&lt;100000000,VALUE($B182),1000000000),IFERROR(IF(VALUE(MID($B182,2,20))&lt;100000000,VALUE(MID($B182,2,20)),1000000000),1000000000))+ROW()/100000,"")</f>
        <v/>
      </c>
    </row>
    <row r="183">
      <c r="C183" s="11" t="n"/>
      <c r="J183" s="7">
        <f>IF($B183="","",I183*Q183/100)</f>
        <v/>
      </c>
      <c r="P183" s="7" t="n"/>
      <c r="Q183" s="7" t="n"/>
      <c r="T183">
        <f>IF($B183="","",IF($AA183=1,0,IF($Z183=1,Settings!$C$6,Settings!$C$7))*100)</f>
        <v/>
      </c>
      <c r="U183" s="7">
        <f>IF($B183="","",Q183*T183/100)</f>
        <v/>
      </c>
      <c r="V183" s="7">
        <f>IF($B183="","",Q183-U183)</f>
        <v/>
      </c>
      <c r="W183" s="7">
        <f>IF($B183="","",V183-J183)</f>
        <v/>
      </c>
      <c r="X183">
        <f>IF($B183="","",IF(COUNTIF($B$2:$B183,$B183)=1,1,0))</f>
        <v/>
      </c>
      <c r="Y183">
        <f>IF($X183=1,SUMPRODUCT(--($AB$2:$AB$301&lt;$AB183))+1,"")</f>
        <v/>
      </c>
      <c r="Z183">
        <f>IF($B183="","",IF(OR($M183=TRUE(),$M183="TRUE"),1,0))</f>
        <v/>
      </c>
      <c r="AA183">
        <f>IF($B183="","",IF($S183="Yes",1,0))</f>
        <v/>
      </c>
      <c r="AB183">
        <f>IF($X183=1,IFERROR(IF(VALUE($B183)&lt;100000000,VALUE($B183),1000000000),IFERROR(IF(VALUE(MID($B183,2,20))&lt;100000000,VALUE(MID($B183,2,20)),1000000000),1000000000))+ROW()/100000,"")</f>
        <v/>
      </c>
    </row>
    <row r="184">
      <c r="C184" s="11" t="n"/>
      <c r="J184" s="7">
        <f>IF($B184="","",I184*Q184/100)</f>
        <v/>
      </c>
      <c r="P184" s="7" t="n"/>
      <c r="Q184" s="7" t="n"/>
      <c r="T184">
        <f>IF($B184="","",IF($AA184=1,0,IF($Z184=1,Settings!$C$6,Settings!$C$7))*100)</f>
        <v/>
      </c>
      <c r="U184" s="7">
        <f>IF($B184="","",Q184*T184/100)</f>
        <v/>
      </c>
      <c r="V184" s="7">
        <f>IF($B184="","",Q184-U184)</f>
        <v/>
      </c>
      <c r="W184" s="7">
        <f>IF($B184="","",V184-J184)</f>
        <v/>
      </c>
      <c r="X184">
        <f>IF($B184="","",IF(COUNTIF($B$2:$B184,$B184)=1,1,0))</f>
        <v/>
      </c>
      <c r="Y184">
        <f>IF($X184=1,SUMPRODUCT(--($AB$2:$AB$301&lt;$AB184))+1,"")</f>
        <v/>
      </c>
      <c r="Z184">
        <f>IF($B184="","",IF(OR($M184=TRUE(),$M184="TRUE"),1,0))</f>
        <v/>
      </c>
      <c r="AA184">
        <f>IF($B184="","",IF($S184="Yes",1,0))</f>
        <v/>
      </c>
      <c r="AB184">
        <f>IF($X184=1,IFERROR(IF(VALUE($B184)&lt;100000000,VALUE($B184),1000000000),IFERROR(IF(VALUE(MID($B184,2,20))&lt;100000000,VALUE(MID($B184,2,20)),1000000000),1000000000))+ROW()/100000,"")</f>
        <v/>
      </c>
    </row>
    <row r="185">
      <c r="C185" s="11" t="n"/>
      <c r="J185" s="7">
        <f>IF($B185="","",I185*Q185/100)</f>
        <v/>
      </c>
      <c r="P185" s="7" t="n"/>
      <c r="Q185" s="7" t="n"/>
      <c r="T185">
        <f>IF($B185="","",IF($AA185=1,0,IF($Z185=1,Settings!$C$6,Settings!$C$7))*100)</f>
        <v/>
      </c>
      <c r="U185" s="7">
        <f>IF($B185="","",Q185*T185/100)</f>
        <v/>
      </c>
      <c r="V185" s="7">
        <f>IF($B185="","",Q185-U185)</f>
        <v/>
      </c>
      <c r="W185" s="7">
        <f>IF($B185="","",V185-J185)</f>
        <v/>
      </c>
      <c r="X185">
        <f>IF($B185="","",IF(COUNTIF($B$2:$B185,$B185)=1,1,0))</f>
        <v/>
      </c>
      <c r="Y185">
        <f>IF($X185=1,SUMPRODUCT(--($AB$2:$AB$301&lt;$AB185))+1,"")</f>
        <v/>
      </c>
      <c r="Z185">
        <f>IF($B185="","",IF(OR($M185=TRUE(),$M185="TRUE"),1,0))</f>
        <v/>
      </c>
      <c r="AA185">
        <f>IF($B185="","",IF($S185="Yes",1,0))</f>
        <v/>
      </c>
      <c r="AB185">
        <f>IF($X185=1,IFERROR(IF(VALUE($B185)&lt;100000000,VALUE($B185),1000000000),IFERROR(IF(VALUE(MID($B185,2,20))&lt;100000000,VALUE(MID($B185,2,20)),1000000000),1000000000))+ROW()/100000,"")</f>
        <v/>
      </c>
    </row>
    <row r="186">
      <c r="C186" s="11" t="n"/>
      <c r="J186" s="7">
        <f>IF($B186="","",I186*Q186/100)</f>
        <v/>
      </c>
      <c r="P186" s="7" t="n"/>
      <c r="Q186" s="7" t="n"/>
      <c r="T186">
        <f>IF($B186="","",IF($AA186=1,0,IF($Z186=1,Settings!$C$6,Settings!$C$7))*100)</f>
        <v/>
      </c>
      <c r="U186" s="7">
        <f>IF($B186="","",Q186*T186/100)</f>
        <v/>
      </c>
      <c r="V186" s="7">
        <f>IF($B186="","",Q186-U186)</f>
        <v/>
      </c>
      <c r="W186" s="7">
        <f>IF($B186="","",V186-J186)</f>
        <v/>
      </c>
      <c r="X186">
        <f>IF($B186="","",IF(COUNTIF($B$2:$B186,$B186)=1,1,0))</f>
        <v/>
      </c>
      <c r="Y186">
        <f>IF($X186=1,SUMPRODUCT(--($AB$2:$AB$301&lt;$AB186))+1,"")</f>
        <v/>
      </c>
      <c r="Z186">
        <f>IF($B186="","",IF(OR($M186=TRUE(),$M186="TRUE"),1,0))</f>
        <v/>
      </c>
      <c r="AA186">
        <f>IF($B186="","",IF($S186="Yes",1,0))</f>
        <v/>
      </c>
      <c r="AB186">
        <f>IF($X186=1,IFERROR(IF(VALUE($B186)&lt;100000000,VALUE($B186),1000000000),IFERROR(IF(VALUE(MID($B186,2,20))&lt;100000000,VALUE(MID($B186,2,20)),1000000000),1000000000))+ROW()/100000,"")</f>
        <v/>
      </c>
    </row>
    <row r="187">
      <c r="C187" s="11" t="n"/>
      <c r="J187" s="7">
        <f>IF($B187="","",I187*Q187/100)</f>
        <v/>
      </c>
      <c r="P187" s="7" t="n"/>
      <c r="Q187" s="7" t="n"/>
      <c r="T187">
        <f>IF($B187="","",IF($AA187=1,0,IF($Z187=1,Settings!$C$6,Settings!$C$7))*100)</f>
        <v/>
      </c>
      <c r="U187" s="7">
        <f>IF($B187="","",Q187*T187/100)</f>
        <v/>
      </c>
      <c r="V187" s="7">
        <f>IF($B187="","",Q187-U187)</f>
        <v/>
      </c>
      <c r="W187" s="7">
        <f>IF($B187="","",V187-J187)</f>
        <v/>
      </c>
      <c r="X187">
        <f>IF($B187="","",IF(COUNTIF($B$2:$B187,$B187)=1,1,0))</f>
        <v/>
      </c>
      <c r="Y187">
        <f>IF($X187=1,SUMPRODUCT(--($AB$2:$AB$301&lt;$AB187))+1,"")</f>
        <v/>
      </c>
      <c r="Z187">
        <f>IF($B187="","",IF(OR($M187=TRUE(),$M187="TRUE"),1,0))</f>
        <v/>
      </c>
      <c r="AA187">
        <f>IF($B187="","",IF($S187="Yes",1,0))</f>
        <v/>
      </c>
      <c r="AB187">
        <f>IF($X187=1,IFERROR(IF(VALUE($B187)&lt;100000000,VALUE($B187),1000000000),IFERROR(IF(VALUE(MID($B187,2,20))&lt;100000000,VALUE(MID($B187,2,20)),1000000000),1000000000))+ROW()/100000,"")</f>
        <v/>
      </c>
    </row>
    <row r="188">
      <c r="C188" s="11" t="n"/>
      <c r="J188" s="7">
        <f>IF($B188="","",I188*Q188/100)</f>
        <v/>
      </c>
      <c r="P188" s="7" t="n"/>
      <c r="Q188" s="7" t="n"/>
      <c r="T188">
        <f>IF($B188="","",IF($AA188=1,0,IF($Z188=1,Settings!$C$6,Settings!$C$7))*100)</f>
        <v/>
      </c>
      <c r="U188" s="7">
        <f>IF($B188="","",Q188*T188/100)</f>
        <v/>
      </c>
      <c r="V188" s="7">
        <f>IF($B188="","",Q188-U188)</f>
        <v/>
      </c>
      <c r="W188" s="7">
        <f>IF($B188="","",V188-J188)</f>
        <v/>
      </c>
      <c r="X188">
        <f>IF($B188="","",IF(COUNTIF($B$2:$B188,$B188)=1,1,0))</f>
        <v/>
      </c>
      <c r="Y188">
        <f>IF($X188=1,SUMPRODUCT(--($AB$2:$AB$301&lt;$AB188))+1,"")</f>
        <v/>
      </c>
      <c r="Z188">
        <f>IF($B188="","",IF(OR($M188=TRUE(),$M188="TRUE"),1,0))</f>
        <v/>
      </c>
      <c r="AA188">
        <f>IF($B188="","",IF($S188="Yes",1,0))</f>
        <v/>
      </c>
      <c r="AB188">
        <f>IF($X188=1,IFERROR(IF(VALUE($B188)&lt;100000000,VALUE($B188),1000000000),IFERROR(IF(VALUE(MID($B188,2,20))&lt;100000000,VALUE(MID($B188,2,20)),1000000000),1000000000))+ROW()/100000,"")</f>
        <v/>
      </c>
    </row>
    <row r="189">
      <c r="C189" s="11" t="n"/>
      <c r="J189" s="7">
        <f>IF($B189="","",I189*Q189/100)</f>
        <v/>
      </c>
      <c r="P189" s="7" t="n"/>
      <c r="Q189" s="7" t="n"/>
      <c r="T189">
        <f>IF($B189="","",IF($AA189=1,0,IF($Z189=1,Settings!$C$6,Settings!$C$7))*100)</f>
        <v/>
      </c>
      <c r="U189" s="7">
        <f>IF($B189="","",Q189*T189/100)</f>
        <v/>
      </c>
      <c r="V189" s="7">
        <f>IF($B189="","",Q189-U189)</f>
        <v/>
      </c>
      <c r="W189" s="7">
        <f>IF($B189="","",V189-J189)</f>
        <v/>
      </c>
      <c r="X189">
        <f>IF($B189="","",IF(COUNTIF($B$2:$B189,$B189)=1,1,0))</f>
        <v/>
      </c>
      <c r="Y189">
        <f>IF($X189=1,SUMPRODUCT(--($AB$2:$AB$301&lt;$AB189))+1,"")</f>
        <v/>
      </c>
      <c r="Z189">
        <f>IF($B189="","",IF(OR($M189=TRUE(),$M189="TRUE"),1,0))</f>
        <v/>
      </c>
      <c r="AA189">
        <f>IF($B189="","",IF($S189="Yes",1,0))</f>
        <v/>
      </c>
      <c r="AB189">
        <f>IF($X189=1,IFERROR(IF(VALUE($B189)&lt;100000000,VALUE($B189),1000000000),IFERROR(IF(VALUE(MID($B189,2,20))&lt;100000000,VALUE(MID($B189,2,20)),1000000000),1000000000))+ROW()/100000,"")</f>
        <v/>
      </c>
    </row>
    <row r="190">
      <c r="C190" s="11" t="n"/>
      <c r="J190" s="7">
        <f>IF($B190="","",I190*Q190/100)</f>
        <v/>
      </c>
      <c r="P190" s="7" t="n"/>
      <c r="Q190" s="7" t="n"/>
      <c r="T190">
        <f>IF($B190="","",IF($AA190=1,0,IF($Z190=1,Settings!$C$6,Settings!$C$7))*100)</f>
        <v/>
      </c>
      <c r="U190" s="7">
        <f>IF($B190="","",Q190*T190/100)</f>
        <v/>
      </c>
      <c r="V190" s="7">
        <f>IF($B190="","",Q190-U190)</f>
        <v/>
      </c>
      <c r="W190" s="7">
        <f>IF($B190="","",V190-J190)</f>
        <v/>
      </c>
      <c r="X190">
        <f>IF($B190="","",IF(COUNTIF($B$2:$B190,$B190)=1,1,0))</f>
        <v/>
      </c>
      <c r="Y190">
        <f>IF($X190=1,SUMPRODUCT(--($AB$2:$AB$301&lt;$AB190))+1,"")</f>
        <v/>
      </c>
      <c r="Z190">
        <f>IF($B190="","",IF(OR($M190=TRUE(),$M190="TRUE"),1,0))</f>
        <v/>
      </c>
      <c r="AA190">
        <f>IF($B190="","",IF($S190="Yes",1,0))</f>
        <v/>
      </c>
      <c r="AB190">
        <f>IF($X190=1,IFERROR(IF(VALUE($B190)&lt;100000000,VALUE($B190),1000000000),IFERROR(IF(VALUE(MID($B190,2,20))&lt;100000000,VALUE(MID($B190,2,20)),1000000000),1000000000))+ROW()/100000,"")</f>
        <v/>
      </c>
    </row>
    <row r="191">
      <c r="C191" s="11" t="n"/>
      <c r="J191" s="7">
        <f>IF($B191="","",I191*Q191/100)</f>
        <v/>
      </c>
      <c r="P191" s="7" t="n"/>
      <c r="Q191" s="7" t="n"/>
      <c r="T191">
        <f>IF($B191="","",IF($AA191=1,0,IF($Z191=1,Settings!$C$6,Settings!$C$7))*100)</f>
        <v/>
      </c>
      <c r="U191" s="7">
        <f>IF($B191="","",Q191*T191/100)</f>
        <v/>
      </c>
      <c r="V191" s="7">
        <f>IF($B191="","",Q191-U191)</f>
        <v/>
      </c>
      <c r="W191" s="7">
        <f>IF($B191="","",V191-J191)</f>
        <v/>
      </c>
      <c r="X191">
        <f>IF($B191="","",IF(COUNTIF($B$2:$B191,$B191)=1,1,0))</f>
        <v/>
      </c>
      <c r="Y191">
        <f>IF($X191=1,SUMPRODUCT(--($AB$2:$AB$301&lt;$AB191))+1,"")</f>
        <v/>
      </c>
      <c r="Z191">
        <f>IF($B191="","",IF(OR($M191=TRUE(),$M191="TRUE"),1,0))</f>
        <v/>
      </c>
      <c r="AA191">
        <f>IF($B191="","",IF($S191="Yes",1,0))</f>
        <v/>
      </c>
      <c r="AB191">
        <f>IF($X191=1,IFERROR(IF(VALUE($B191)&lt;100000000,VALUE($B191),1000000000),IFERROR(IF(VALUE(MID($B191,2,20))&lt;100000000,VALUE(MID($B191,2,20)),1000000000),1000000000))+ROW()/100000,"")</f>
        <v/>
      </c>
    </row>
    <row r="192">
      <c r="C192" s="11" t="n"/>
      <c r="J192" s="7">
        <f>IF($B192="","",I192*Q192/100)</f>
        <v/>
      </c>
      <c r="P192" s="7" t="n"/>
      <c r="Q192" s="7" t="n"/>
      <c r="T192">
        <f>IF($B192="","",IF($AA192=1,0,IF($Z192=1,Settings!$C$6,Settings!$C$7))*100)</f>
        <v/>
      </c>
      <c r="U192" s="7">
        <f>IF($B192="","",Q192*T192/100)</f>
        <v/>
      </c>
      <c r="V192" s="7">
        <f>IF($B192="","",Q192-U192)</f>
        <v/>
      </c>
      <c r="W192" s="7">
        <f>IF($B192="","",V192-J192)</f>
        <v/>
      </c>
      <c r="X192">
        <f>IF($B192="","",IF(COUNTIF($B$2:$B192,$B192)=1,1,0))</f>
        <v/>
      </c>
      <c r="Y192">
        <f>IF($X192=1,SUMPRODUCT(--($AB$2:$AB$301&lt;$AB192))+1,"")</f>
        <v/>
      </c>
      <c r="Z192">
        <f>IF($B192="","",IF(OR($M192=TRUE(),$M192="TRUE"),1,0))</f>
        <v/>
      </c>
      <c r="AA192">
        <f>IF($B192="","",IF($S192="Yes",1,0))</f>
        <v/>
      </c>
      <c r="AB192">
        <f>IF($X192=1,IFERROR(IF(VALUE($B192)&lt;100000000,VALUE($B192),1000000000),IFERROR(IF(VALUE(MID($B192,2,20))&lt;100000000,VALUE(MID($B192,2,20)),1000000000),1000000000))+ROW()/100000,"")</f>
        <v/>
      </c>
    </row>
    <row r="193">
      <c r="C193" s="11" t="n"/>
      <c r="J193" s="7">
        <f>IF($B193="","",I193*Q193/100)</f>
        <v/>
      </c>
      <c r="P193" s="7" t="n"/>
      <c r="Q193" s="7" t="n"/>
      <c r="T193">
        <f>IF($B193="","",IF($AA193=1,0,IF($Z193=1,Settings!$C$6,Settings!$C$7))*100)</f>
        <v/>
      </c>
      <c r="U193" s="7">
        <f>IF($B193="","",Q193*T193/100)</f>
        <v/>
      </c>
      <c r="V193" s="7">
        <f>IF($B193="","",Q193-U193)</f>
        <v/>
      </c>
      <c r="W193" s="7">
        <f>IF($B193="","",V193-J193)</f>
        <v/>
      </c>
      <c r="X193">
        <f>IF($B193="","",IF(COUNTIF($B$2:$B193,$B193)=1,1,0))</f>
        <v/>
      </c>
      <c r="Y193">
        <f>IF($X193=1,SUMPRODUCT(--($AB$2:$AB$301&lt;$AB193))+1,"")</f>
        <v/>
      </c>
      <c r="Z193">
        <f>IF($B193="","",IF(OR($M193=TRUE(),$M193="TRUE"),1,0))</f>
        <v/>
      </c>
      <c r="AA193">
        <f>IF($B193="","",IF($S193="Yes",1,0))</f>
        <v/>
      </c>
      <c r="AB193">
        <f>IF($X193=1,IFERROR(IF(VALUE($B193)&lt;100000000,VALUE($B193),1000000000),IFERROR(IF(VALUE(MID($B193,2,20))&lt;100000000,VALUE(MID($B193,2,20)),1000000000),1000000000))+ROW()/100000,"")</f>
        <v/>
      </c>
    </row>
    <row r="194">
      <c r="C194" s="11" t="n"/>
      <c r="J194" s="7">
        <f>IF($B194="","",I194*Q194/100)</f>
        <v/>
      </c>
      <c r="P194" s="7" t="n"/>
      <c r="Q194" s="7" t="n"/>
      <c r="T194">
        <f>IF($B194="","",IF($AA194=1,0,IF($Z194=1,Settings!$C$6,Settings!$C$7))*100)</f>
        <v/>
      </c>
      <c r="U194" s="7">
        <f>IF($B194="","",Q194*T194/100)</f>
        <v/>
      </c>
      <c r="V194" s="7">
        <f>IF($B194="","",Q194-U194)</f>
        <v/>
      </c>
      <c r="W194" s="7">
        <f>IF($B194="","",V194-J194)</f>
        <v/>
      </c>
      <c r="X194">
        <f>IF($B194="","",IF(COUNTIF($B$2:$B194,$B194)=1,1,0))</f>
        <v/>
      </c>
      <c r="Y194">
        <f>IF($X194=1,SUMPRODUCT(--($AB$2:$AB$301&lt;$AB194))+1,"")</f>
        <v/>
      </c>
      <c r="Z194">
        <f>IF($B194="","",IF(OR($M194=TRUE(),$M194="TRUE"),1,0))</f>
        <v/>
      </c>
      <c r="AA194">
        <f>IF($B194="","",IF($S194="Yes",1,0))</f>
        <v/>
      </c>
      <c r="AB194">
        <f>IF($X194=1,IFERROR(IF(VALUE($B194)&lt;100000000,VALUE($B194),1000000000),IFERROR(IF(VALUE(MID($B194,2,20))&lt;100000000,VALUE(MID($B194,2,20)),1000000000),1000000000))+ROW()/100000,"")</f>
        <v/>
      </c>
    </row>
    <row r="195">
      <c r="C195" s="11" t="n"/>
      <c r="J195" s="7">
        <f>IF($B195="","",I195*Q195/100)</f>
        <v/>
      </c>
      <c r="P195" s="7" t="n"/>
      <c r="Q195" s="7" t="n"/>
      <c r="T195">
        <f>IF($B195="","",IF($AA195=1,0,IF($Z195=1,Settings!$C$6,Settings!$C$7))*100)</f>
        <v/>
      </c>
      <c r="U195" s="7">
        <f>IF($B195="","",Q195*T195/100)</f>
        <v/>
      </c>
      <c r="V195" s="7">
        <f>IF($B195="","",Q195-U195)</f>
        <v/>
      </c>
      <c r="W195" s="7">
        <f>IF($B195="","",V195-J195)</f>
        <v/>
      </c>
      <c r="X195">
        <f>IF($B195="","",IF(COUNTIF($B$2:$B195,$B195)=1,1,0))</f>
        <v/>
      </c>
      <c r="Y195">
        <f>IF($X195=1,SUMPRODUCT(--($AB$2:$AB$301&lt;$AB195))+1,"")</f>
        <v/>
      </c>
      <c r="Z195">
        <f>IF($B195="","",IF(OR($M195=TRUE(),$M195="TRUE"),1,0))</f>
        <v/>
      </c>
      <c r="AA195">
        <f>IF($B195="","",IF($S195="Yes",1,0))</f>
        <v/>
      </c>
      <c r="AB195">
        <f>IF($X195=1,IFERROR(IF(VALUE($B195)&lt;100000000,VALUE($B195),1000000000),IFERROR(IF(VALUE(MID($B195,2,20))&lt;100000000,VALUE(MID($B195,2,20)),1000000000),1000000000))+ROW()/100000,"")</f>
        <v/>
      </c>
    </row>
    <row r="196">
      <c r="C196" s="11" t="n"/>
      <c r="J196" s="7">
        <f>IF($B196="","",I196*Q196/100)</f>
        <v/>
      </c>
      <c r="P196" s="7" t="n"/>
      <c r="Q196" s="7" t="n"/>
      <c r="T196">
        <f>IF($B196="","",IF($AA196=1,0,IF($Z196=1,Settings!$C$6,Settings!$C$7))*100)</f>
        <v/>
      </c>
      <c r="U196" s="7">
        <f>IF($B196="","",Q196*T196/100)</f>
        <v/>
      </c>
      <c r="V196" s="7">
        <f>IF($B196="","",Q196-U196)</f>
        <v/>
      </c>
      <c r="W196" s="7">
        <f>IF($B196="","",V196-J196)</f>
        <v/>
      </c>
      <c r="X196">
        <f>IF($B196="","",IF(COUNTIF($B$2:$B196,$B196)=1,1,0))</f>
        <v/>
      </c>
      <c r="Y196">
        <f>IF($X196=1,SUMPRODUCT(--($AB$2:$AB$301&lt;$AB196))+1,"")</f>
        <v/>
      </c>
      <c r="Z196">
        <f>IF($B196="","",IF(OR($M196=TRUE(),$M196="TRUE"),1,0))</f>
        <v/>
      </c>
      <c r="AA196">
        <f>IF($B196="","",IF($S196="Yes",1,0))</f>
        <v/>
      </c>
      <c r="AB196">
        <f>IF($X196=1,IFERROR(IF(VALUE($B196)&lt;100000000,VALUE($B196),1000000000),IFERROR(IF(VALUE(MID($B196,2,20))&lt;100000000,VALUE(MID($B196,2,20)),1000000000),1000000000))+ROW()/100000,"")</f>
        <v/>
      </c>
    </row>
    <row r="197">
      <c r="C197" s="11" t="n"/>
      <c r="J197" s="7">
        <f>IF($B197="","",I197*Q197/100)</f>
        <v/>
      </c>
      <c r="P197" s="7" t="n"/>
      <c r="Q197" s="7" t="n"/>
      <c r="T197">
        <f>IF($B197="","",IF($AA197=1,0,IF($Z197=1,Settings!$C$6,Settings!$C$7))*100)</f>
        <v/>
      </c>
      <c r="U197" s="7">
        <f>IF($B197="","",Q197*T197/100)</f>
        <v/>
      </c>
      <c r="V197" s="7">
        <f>IF($B197="","",Q197-U197)</f>
        <v/>
      </c>
      <c r="W197" s="7">
        <f>IF($B197="","",V197-J197)</f>
        <v/>
      </c>
      <c r="X197">
        <f>IF($B197="","",IF(COUNTIF($B$2:$B197,$B197)=1,1,0))</f>
        <v/>
      </c>
      <c r="Y197">
        <f>IF($X197=1,SUMPRODUCT(--($AB$2:$AB$301&lt;$AB197))+1,"")</f>
        <v/>
      </c>
      <c r="Z197">
        <f>IF($B197="","",IF(OR($M197=TRUE(),$M197="TRUE"),1,0))</f>
        <v/>
      </c>
      <c r="AA197">
        <f>IF($B197="","",IF($S197="Yes",1,0))</f>
        <v/>
      </c>
      <c r="AB197">
        <f>IF($X197=1,IFERROR(IF(VALUE($B197)&lt;100000000,VALUE($B197),1000000000),IFERROR(IF(VALUE(MID($B197,2,20))&lt;100000000,VALUE(MID($B197,2,20)),1000000000),1000000000))+ROW()/100000,"")</f>
        <v/>
      </c>
    </row>
    <row r="198">
      <c r="C198" s="11" t="n"/>
      <c r="J198" s="7">
        <f>IF($B198="","",I198*Q198/100)</f>
        <v/>
      </c>
      <c r="P198" s="7" t="n"/>
      <c r="Q198" s="7" t="n"/>
      <c r="T198">
        <f>IF($B198="","",IF($AA198=1,0,IF($Z198=1,Settings!$C$6,Settings!$C$7))*100)</f>
        <v/>
      </c>
      <c r="U198" s="7">
        <f>IF($B198="","",Q198*T198/100)</f>
        <v/>
      </c>
      <c r="V198" s="7">
        <f>IF($B198="","",Q198-U198)</f>
        <v/>
      </c>
      <c r="W198" s="7">
        <f>IF($B198="","",V198-J198)</f>
        <v/>
      </c>
      <c r="X198">
        <f>IF($B198="","",IF(COUNTIF($B$2:$B198,$B198)=1,1,0))</f>
        <v/>
      </c>
      <c r="Y198">
        <f>IF($X198=1,SUMPRODUCT(--($AB$2:$AB$301&lt;$AB198))+1,"")</f>
        <v/>
      </c>
      <c r="Z198">
        <f>IF($B198="","",IF(OR($M198=TRUE(),$M198="TRUE"),1,0))</f>
        <v/>
      </c>
      <c r="AA198">
        <f>IF($B198="","",IF($S198="Yes",1,0))</f>
        <v/>
      </c>
      <c r="AB198">
        <f>IF($X198=1,IFERROR(IF(VALUE($B198)&lt;100000000,VALUE($B198),1000000000),IFERROR(IF(VALUE(MID($B198,2,20))&lt;100000000,VALUE(MID($B198,2,20)),1000000000),1000000000))+ROW()/100000,"")</f>
        <v/>
      </c>
    </row>
    <row r="199">
      <c r="C199" s="11" t="n"/>
      <c r="J199" s="7">
        <f>IF($B199="","",I199*Q199/100)</f>
        <v/>
      </c>
      <c r="P199" s="7" t="n"/>
      <c r="Q199" s="7" t="n"/>
      <c r="T199">
        <f>IF($B199="","",IF($AA199=1,0,IF($Z199=1,Settings!$C$6,Settings!$C$7))*100)</f>
        <v/>
      </c>
      <c r="U199" s="7">
        <f>IF($B199="","",Q199*T199/100)</f>
        <v/>
      </c>
      <c r="V199" s="7">
        <f>IF($B199="","",Q199-U199)</f>
        <v/>
      </c>
      <c r="W199" s="7">
        <f>IF($B199="","",V199-J199)</f>
        <v/>
      </c>
      <c r="X199">
        <f>IF($B199="","",IF(COUNTIF($B$2:$B199,$B199)=1,1,0))</f>
        <v/>
      </c>
      <c r="Y199">
        <f>IF($X199=1,SUMPRODUCT(--($AB$2:$AB$301&lt;$AB199))+1,"")</f>
        <v/>
      </c>
      <c r="Z199">
        <f>IF($B199="","",IF(OR($M199=TRUE(),$M199="TRUE"),1,0))</f>
        <v/>
      </c>
      <c r="AA199">
        <f>IF($B199="","",IF($S199="Yes",1,0))</f>
        <v/>
      </c>
      <c r="AB199">
        <f>IF($X199=1,IFERROR(IF(VALUE($B199)&lt;100000000,VALUE($B199),1000000000),IFERROR(IF(VALUE(MID($B199,2,20))&lt;100000000,VALUE(MID($B199,2,20)),1000000000),1000000000))+ROW()/100000,"")</f>
        <v/>
      </c>
    </row>
    <row r="200">
      <c r="C200" s="11" t="n"/>
      <c r="J200" s="7">
        <f>IF($B200="","",I200*Q200/100)</f>
        <v/>
      </c>
      <c r="P200" s="7" t="n"/>
      <c r="Q200" s="7" t="n"/>
      <c r="T200">
        <f>IF($B200="","",IF($AA200=1,0,IF($Z200=1,Settings!$C$6,Settings!$C$7))*100)</f>
        <v/>
      </c>
      <c r="U200" s="7">
        <f>IF($B200="","",Q200*T200/100)</f>
        <v/>
      </c>
      <c r="V200" s="7">
        <f>IF($B200="","",Q200-U200)</f>
        <v/>
      </c>
      <c r="W200" s="7">
        <f>IF($B200="","",V200-J200)</f>
        <v/>
      </c>
      <c r="X200">
        <f>IF($B200="","",IF(COUNTIF($B$2:$B200,$B200)=1,1,0))</f>
        <v/>
      </c>
      <c r="Y200">
        <f>IF($X200=1,SUMPRODUCT(--($AB$2:$AB$301&lt;$AB200))+1,"")</f>
        <v/>
      </c>
      <c r="Z200">
        <f>IF($B200="","",IF(OR($M200=TRUE(),$M200="TRUE"),1,0))</f>
        <v/>
      </c>
      <c r="AA200">
        <f>IF($B200="","",IF($S200="Yes",1,0))</f>
        <v/>
      </c>
      <c r="AB200">
        <f>IF($X200=1,IFERROR(IF(VALUE($B200)&lt;100000000,VALUE($B200),1000000000),IFERROR(IF(VALUE(MID($B200,2,20))&lt;100000000,VALUE(MID($B200,2,20)),1000000000),1000000000))+ROW()/100000,"")</f>
        <v/>
      </c>
    </row>
    <row r="201">
      <c r="C201" s="11" t="n"/>
      <c r="J201" s="7">
        <f>IF($B201="","",I201*Q201/100)</f>
        <v/>
      </c>
      <c r="P201" s="7" t="n"/>
      <c r="Q201" s="7" t="n"/>
      <c r="T201">
        <f>IF($B201="","",IF($AA201=1,0,IF($Z201=1,Settings!$C$6,Settings!$C$7))*100)</f>
        <v/>
      </c>
      <c r="U201" s="7">
        <f>IF($B201="","",Q201*T201/100)</f>
        <v/>
      </c>
      <c r="V201" s="7">
        <f>IF($B201="","",Q201-U201)</f>
        <v/>
      </c>
      <c r="W201" s="7">
        <f>IF($B201="","",V201-J201)</f>
        <v/>
      </c>
      <c r="X201">
        <f>IF($B201="","",IF(COUNTIF($B$2:$B201,$B201)=1,1,0))</f>
        <v/>
      </c>
      <c r="Y201">
        <f>IF($X201=1,SUMPRODUCT(--($AB$2:$AB$301&lt;$AB201))+1,"")</f>
        <v/>
      </c>
      <c r="Z201">
        <f>IF($B201="","",IF(OR($M201=TRUE(),$M201="TRUE"),1,0))</f>
        <v/>
      </c>
      <c r="AA201">
        <f>IF($B201="","",IF($S201="Yes",1,0))</f>
        <v/>
      </c>
      <c r="AB201">
        <f>IF($X201=1,IFERROR(IF(VALUE($B201)&lt;100000000,VALUE($B201),1000000000),IFERROR(IF(VALUE(MID($B201,2,20))&lt;100000000,VALUE(MID($B201,2,20)),1000000000),1000000000))+ROW()/100000,"")</f>
        <v/>
      </c>
    </row>
    <row r="202">
      <c r="C202" s="11" t="n"/>
      <c r="J202" s="7">
        <f>IF($B202="","",I202*Q202/100)</f>
        <v/>
      </c>
      <c r="P202" s="7" t="n"/>
      <c r="Q202" s="7" t="n"/>
      <c r="T202">
        <f>IF($B202="","",IF($AA202=1,0,IF($Z202=1,Settings!$C$6,Settings!$C$7))*100)</f>
        <v/>
      </c>
      <c r="U202" s="7">
        <f>IF($B202="","",Q202*T202/100)</f>
        <v/>
      </c>
      <c r="V202" s="7">
        <f>IF($B202="","",Q202-U202)</f>
        <v/>
      </c>
      <c r="W202" s="7">
        <f>IF($B202="","",V202-J202)</f>
        <v/>
      </c>
      <c r="X202">
        <f>IF($B202="","",IF(COUNTIF($B$2:$B202,$B202)=1,1,0))</f>
        <v/>
      </c>
      <c r="Y202">
        <f>IF($X202=1,SUMPRODUCT(--($AB$2:$AB$301&lt;$AB202))+1,"")</f>
        <v/>
      </c>
      <c r="Z202">
        <f>IF($B202="","",IF(OR($M202=TRUE(),$M202="TRUE"),1,0))</f>
        <v/>
      </c>
      <c r="AA202">
        <f>IF($B202="","",IF($S202="Yes",1,0))</f>
        <v/>
      </c>
      <c r="AB202">
        <f>IF($X202=1,IFERROR(IF(VALUE($B202)&lt;100000000,VALUE($B202),1000000000),IFERROR(IF(VALUE(MID($B202,2,20))&lt;100000000,VALUE(MID($B202,2,20)),1000000000),1000000000))+ROW()/100000,"")</f>
        <v/>
      </c>
    </row>
    <row r="203">
      <c r="C203" s="11" t="n"/>
      <c r="J203" s="7">
        <f>IF($B203="","",I203*Q203/100)</f>
        <v/>
      </c>
      <c r="P203" s="7" t="n"/>
      <c r="Q203" s="7" t="n"/>
      <c r="T203">
        <f>IF($B203="","",IF($AA203=1,0,IF($Z203=1,Settings!$C$6,Settings!$C$7))*100)</f>
        <v/>
      </c>
      <c r="U203" s="7">
        <f>IF($B203="","",Q203*T203/100)</f>
        <v/>
      </c>
      <c r="V203" s="7">
        <f>IF($B203="","",Q203-U203)</f>
        <v/>
      </c>
      <c r="W203" s="7">
        <f>IF($B203="","",V203-J203)</f>
        <v/>
      </c>
      <c r="X203">
        <f>IF($B203="","",IF(COUNTIF($B$2:$B203,$B203)=1,1,0))</f>
        <v/>
      </c>
      <c r="Y203">
        <f>IF($X203=1,SUMPRODUCT(--($AB$2:$AB$301&lt;$AB203))+1,"")</f>
        <v/>
      </c>
      <c r="Z203">
        <f>IF($B203="","",IF(OR($M203=TRUE(),$M203="TRUE"),1,0))</f>
        <v/>
      </c>
      <c r="AA203">
        <f>IF($B203="","",IF($S203="Yes",1,0))</f>
        <v/>
      </c>
      <c r="AB203">
        <f>IF($X203=1,IFERROR(IF(VALUE($B203)&lt;100000000,VALUE($B203),1000000000),IFERROR(IF(VALUE(MID($B203,2,20))&lt;100000000,VALUE(MID($B203,2,20)),1000000000),1000000000))+ROW()/100000,"")</f>
        <v/>
      </c>
    </row>
    <row r="204">
      <c r="C204" s="11" t="n"/>
      <c r="J204" s="7">
        <f>IF($B204="","",I204*Q204/100)</f>
        <v/>
      </c>
      <c r="P204" s="7" t="n"/>
      <c r="Q204" s="7" t="n"/>
      <c r="T204">
        <f>IF($B204="","",IF($AA204=1,0,IF($Z204=1,Settings!$C$6,Settings!$C$7))*100)</f>
        <v/>
      </c>
      <c r="U204" s="7">
        <f>IF($B204="","",Q204*T204/100)</f>
        <v/>
      </c>
      <c r="V204" s="7">
        <f>IF($B204="","",Q204-U204)</f>
        <v/>
      </c>
      <c r="W204" s="7">
        <f>IF($B204="","",V204-J204)</f>
        <v/>
      </c>
      <c r="X204">
        <f>IF($B204="","",IF(COUNTIF($B$2:$B204,$B204)=1,1,0))</f>
        <v/>
      </c>
      <c r="Y204">
        <f>IF($X204=1,SUMPRODUCT(--($AB$2:$AB$301&lt;$AB204))+1,"")</f>
        <v/>
      </c>
      <c r="Z204">
        <f>IF($B204="","",IF(OR($M204=TRUE(),$M204="TRUE"),1,0))</f>
        <v/>
      </c>
      <c r="AA204">
        <f>IF($B204="","",IF($S204="Yes",1,0))</f>
        <v/>
      </c>
      <c r="AB204">
        <f>IF($X204=1,IFERROR(IF(VALUE($B204)&lt;100000000,VALUE($B204),1000000000),IFERROR(IF(VALUE(MID($B204,2,20))&lt;100000000,VALUE(MID($B204,2,20)),1000000000),1000000000))+ROW()/100000,"")</f>
        <v/>
      </c>
    </row>
    <row r="205">
      <c r="C205" s="11" t="n"/>
      <c r="J205" s="7">
        <f>IF($B205="","",I205*Q205/100)</f>
        <v/>
      </c>
      <c r="P205" s="7" t="n"/>
      <c r="Q205" s="7" t="n"/>
      <c r="T205">
        <f>IF($B205="","",IF($AA205=1,0,IF($Z205=1,Settings!$C$6,Settings!$C$7))*100)</f>
        <v/>
      </c>
      <c r="U205" s="7">
        <f>IF($B205="","",Q205*T205/100)</f>
        <v/>
      </c>
      <c r="V205" s="7">
        <f>IF($B205="","",Q205-U205)</f>
        <v/>
      </c>
      <c r="W205" s="7">
        <f>IF($B205="","",V205-J205)</f>
        <v/>
      </c>
      <c r="X205">
        <f>IF($B205="","",IF(COUNTIF($B$2:$B205,$B205)=1,1,0))</f>
        <v/>
      </c>
      <c r="Y205">
        <f>IF($X205=1,SUMPRODUCT(--($AB$2:$AB$301&lt;$AB205))+1,"")</f>
        <v/>
      </c>
      <c r="Z205">
        <f>IF($B205="","",IF(OR($M205=TRUE(),$M205="TRUE"),1,0))</f>
        <v/>
      </c>
      <c r="AA205">
        <f>IF($B205="","",IF($S205="Yes",1,0))</f>
        <v/>
      </c>
      <c r="AB205">
        <f>IF($X205=1,IFERROR(IF(VALUE($B205)&lt;100000000,VALUE($B205),1000000000),IFERROR(IF(VALUE(MID($B205,2,20))&lt;100000000,VALUE(MID($B205,2,20)),1000000000),1000000000))+ROW()/100000,"")</f>
        <v/>
      </c>
    </row>
    <row r="206">
      <c r="C206" s="11" t="n"/>
      <c r="J206" s="7">
        <f>IF($B206="","",I206*Q206/100)</f>
        <v/>
      </c>
      <c r="P206" s="7" t="n"/>
      <c r="Q206" s="7" t="n"/>
      <c r="T206">
        <f>IF($B206="","",IF($AA206=1,0,IF($Z206=1,Settings!$C$6,Settings!$C$7))*100)</f>
        <v/>
      </c>
      <c r="U206" s="7">
        <f>IF($B206="","",Q206*T206/100)</f>
        <v/>
      </c>
      <c r="V206" s="7">
        <f>IF($B206="","",Q206-U206)</f>
        <v/>
      </c>
      <c r="W206" s="7">
        <f>IF($B206="","",V206-J206)</f>
        <v/>
      </c>
      <c r="X206">
        <f>IF($B206="","",IF(COUNTIF($B$2:$B206,$B206)=1,1,0))</f>
        <v/>
      </c>
      <c r="Y206">
        <f>IF($X206=1,SUMPRODUCT(--($AB$2:$AB$301&lt;$AB206))+1,"")</f>
        <v/>
      </c>
      <c r="Z206">
        <f>IF($B206="","",IF(OR($M206=TRUE(),$M206="TRUE"),1,0))</f>
        <v/>
      </c>
      <c r="AA206">
        <f>IF($B206="","",IF($S206="Yes",1,0))</f>
        <v/>
      </c>
      <c r="AB206">
        <f>IF($X206=1,IFERROR(IF(VALUE($B206)&lt;100000000,VALUE($B206),1000000000),IFERROR(IF(VALUE(MID($B206,2,20))&lt;100000000,VALUE(MID($B206,2,20)),1000000000),1000000000))+ROW()/100000,"")</f>
        <v/>
      </c>
    </row>
    <row r="207">
      <c r="C207" s="11" t="n"/>
      <c r="J207" s="7">
        <f>IF($B207="","",I207*Q207/100)</f>
        <v/>
      </c>
      <c r="P207" s="7" t="n"/>
      <c r="Q207" s="7" t="n"/>
      <c r="T207">
        <f>IF($B207="","",IF($AA207=1,0,IF($Z207=1,Settings!$C$6,Settings!$C$7))*100)</f>
        <v/>
      </c>
      <c r="U207" s="7">
        <f>IF($B207="","",Q207*T207/100)</f>
        <v/>
      </c>
      <c r="V207" s="7">
        <f>IF($B207="","",Q207-U207)</f>
        <v/>
      </c>
      <c r="W207" s="7">
        <f>IF($B207="","",V207-J207)</f>
        <v/>
      </c>
      <c r="X207">
        <f>IF($B207="","",IF(COUNTIF($B$2:$B207,$B207)=1,1,0))</f>
        <v/>
      </c>
      <c r="Y207">
        <f>IF($X207=1,SUMPRODUCT(--($AB$2:$AB$301&lt;$AB207))+1,"")</f>
        <v/>
      </c>
      <c r="Z207">
        <f>IF($B207="","",IF(OR($M207=TRUE(),$M207="TRUE"),1,0))</f>
        <v/>
      </c>
      <c r="AA207">
        <f>IF($B207="","",IF($S207="Yes",1,0))</f>
        <v/>
      </c>
      <c r="AB207">
        <f>IF($X207=1,IFERROR(IF(VALUE($B207)&lt;100000000,VALUE($B207),1000000000),IFERROR(IF(VALUE(MID($B207,2,20))&lt;100000000,VALUE(MID($B207,2,20)),1000000000),1000000000))+ROW()/100000,"")</f>
        <v/>
      </c>
    </row>
    <row r="208">
      <c r="C208" s="11" t="n"/>
      <c r="J208" s="7">
        <f>IF($B208="","",I208*Q208/100)</f>
        <v/>
      </c>
      <c r="P208" s="7" t="n"/>
      <c r="Q208" s="7" t="n"/>
      <c r="T208">
        <f>IF($B208="","",IF($AA208=1,0,IF($Z208=1,Settings!$C$6,Settings!$C$7))*100)</f>
        <v/>
      </c>
      <c r="U208" s="7">
        <f>IF($B208="","",Q208*T208/100)</f>
        <v/>
      </c>
      <c r="V208" s="7">
        <f>IF($B208="","",Q208-U208)</f>
        <v/>
      </c>
      <c r="W208" s="7">
        <f>IF($B208="","",V208-J208)</f>
        <v/>
      </c>
      <c r="X208">
        <f>IF($B208="","",IF(COUNTIF($B$2:$B208,$B208)=1,1,0))</f>
        <v/>
      </c>
      <c r="Y208">
        <f>IF($X208=1,SUMPRODUCT(--($AB$2:$AB$301&lt;$AB208))+1,"")</f>
        <v/>
      </c>
      <c r="Z208">
        <f>IF($B208="","",IF(OR($M208=TRUE(),$M208="TRUE"),1,0))</f>
        <v/>
      </c>
      <c r="AA208">
        <f>IF($B208="","",IF($S208="Yes",1,0))</f>
        <v/>
      </c>
      <c r="AB208">
        <f>IF($X208=1,IFERROR(IF(VALUE($B208)&lt;100000000,VALUE($B208),1000000000),IFERROR(IF(VALUE(MID($B208,2,20))&lt;100000000,VALUE(MID($B208,2,20)),1000000000),1000000000))+ROW()/100000,"")</f>
        <v/>
      </c>
    </row>
    <row r="209">
      <c r="C209" s="11" t="n"/>
      <c r="J209" s="7">
        <f>IF($B209="","",I209*Q209/100)</f>
        <v/>
      </c>
      <c r="P209" s="7" t="n"/>
      <c r="Q209" s="7" t="n"/>
      <c r="T209">
        <f>IF($B209="","",IF($AA209=1,0,IF($Z209=1,Settings!$C$6,Settings!$C$7))*100)</f>
        <v/>
      </c>
      <c r="U209" s="7">
        <f>IF($B209="","",Q209*T209/100)</f>
        <v/>
      </c>
      <c r="V209" s="7">
        <f>IF($B209="","",Q209-U209)</f>
        <v/>
      </c>
      <c r="W209" s="7">
        <f>IF($B209="","",V209-J209)</f>
        <v/>
      </c>
      <c r="X209">
        <f>IF($B209="","",IF(COUNTIF($B$2:$B209,$B209)=1,1,0))</f>
        <v/>
      </c>
      <c r="Y209">
        <f>IF($X209=1,SUMPRODUCT(--($AB$2:$AB$301&lt;$AB209))+1,"")</f>
        <v/>
      </c>
      <c r="Z209">
        <f>IF($B209="","",IF(OR($M209=TRUE(),$M209="TRUE"),1,0))</f>
        <v/>
      </c>
      <c r="AA209">
        <f>IF($B209="","",IF($S209="Yes",1,0))</f>
        <v/>
      </c>
      <c r="AB209">
        <f>IF($X209=1,IFERROR(IF(VALUE($B209)&lt;100000000,VALUE($B209),1000000000),IFERROR(IF(VALUE(MID($B209,2,20))&lt;100000000,VALUE(MID($B209,2,20)),1000000000),1000000000))+ROW()/100000,"")</f>
        <v/>
      </c>
    </row>
    <row r="210">
      <c r="C210" s="11" t="n"/>
      <c r="J210" s="7">
        <f>IF($B210="","",I210*Q210/100)</f>
        <v/>
      </c>
      <c r="P210" s="7" t="n"/>
      <c r="Q210" s="7" t="n"/>
      <c r="T210">
        <f>IF($B210="","",IF($AA210=1,0,IF($Z210=1,Settings!$C$6,Settings!$C$7))*100)</f>
        <v/>
      </c>
      <c r="U210" s="7">
        <f>IF($B210="","",Q210*T210/100)</f>
        <v/>
      </c>
      <c r="V210" s="7">
        <f>IF($B210="","",Q210-U210)</f>
        <v/>
      </c>
      <c r="W210" s="7">
        <f>IF($B210="","",V210-J210)</f>
        <v/>
      </c>
      <c r="X210">
        <f>IF($B210="","",IF(COUNTIF($B$2:$B210,$B210)=1,1,0))</f>
        <v/>
      </c>
      <c r="Y210">
        <f>IF($X210=1,SUMPRODUCT(--($AB$2:$AB$301&lt;$AB210))+1,"")</f>
        <v/>
      </c>
      <c r="Z210">
        <f>IF($B210="","",IF(OR($M210=TRUE(),$M210="TRUE"),1,0))</f>
        <v/>
      </c>
      <c r="AA210">
        <f>IF($B210="","",IF($S210="Yes",1,0))</f>
        <v/>
      </c>
      <c r="AB210">
        <f>IF($X210=1,IFERROR(IF(VALUE($B210)&lt;100000000,VALUE($B210),1000000000),IFERROR(IF(VALUE(MID($B210,2,20))&lt;100000000,VALUE(MID($B210,2,20)),1000000000),1000000000))+ROW()/100000,"")</f>
        <v/>
      </c>
    </row>
    <row r="211">
      <c r="C211" s="11" t="n"/>
      <c r="J211" s="7">
        <f>IF($B211="","",I211*Q211/100)</f>
        <v/>
      </c>
      <c r="P211" s="7" t="n"/>
      <c r="Q211" s="7" t="n"/>
      <c r="T211">
        <f>IF($B211="","",IF($AA211=1,0,IF($Z211=1,Settings!$C$6,Settings!$C$7))*100)</f>
        <v/>
      </c>
      <c r="U211" s="7">
        <f>IF($B211="","",Q211*T211/100)</f>
        <v/>
      </c>
      <c r="V211" s="7">
        <f>IF($B211="","",Q211-U211)</f>
        <v/>
      </c>
      <c r="W211" s="7">
        <f>IF($B211="","",V211-J211)</f>
        <v/>
      </c>
      <c r="X211">
        <f>IF($B211="","",IF(COUNTIF($B$2:$B211,$B211)=1,1,0))</f>
        <v/>
      </c>
      <c r="Y211">
        <f>IF($X211=1,SUMPRODUCT(--($AB$2:$AB$301&lt;$AB211))+1,"")</f>
        <v/>
      </c>
      <c r="Z211">
        <f>IF($B211="","",IF(OR($M211=TRUE(),$M211="TRUE"),1,0))</f>
        <v/>
      </c>
      <c r="AA211">
        <f>IF($B211="","",IF($S211="Yes",1,0))</f>
        <v/>
      </c>
      <c r="AB211">
        <f>IF($X211=1,IFERROR(IF(VALUE($B211)&lt;100000000,VALUE($B211),1000000000),IFERROR(IF(VALUE(MID($B211,2,20))&lt;100000000,VALUE(MID($B211,2,20)),1000000000),1000000000))+ROW()/100000,"")</f>
        <v/>
      </c>
    </row>
    <row r="212">
      <c r="C212" s="11" t="n"/>
      <c r="J212" s="7">
        <f>IF($B212="","",I212*Q212/100)</f>
        <v/>
      </c>
      <c r="P212" s="7" t="n"/>
      <c r="Q212" s="7" t="n"/>
      <c r="T212">
        <f>IF($B212="","",IF($AA212=1,0,IF($Z212=1,Settings!$C$6,Settings!$C$7))*100)</f>
        <v/>
      </c>
      <c r="U212" s="7">
        <f>IF($B212="","",Q212*T212/100)</f>
        <v/>
      </c>
      <c r="V212" s="7">
        <f>IF($B212="","",Q212-U212)</f>
        <v/>
      </c>
      <c r="W212" s="7">
        <f>IF($B212="","",V212-J212)</f>
        <v/>
      </c>
      <c r="X212">
        <f>IF($B212="","",IF(COUNTIF($B$2:$B212,$B212)=1,1,0))</f>
        <v/>
      </c>
      <c r="Y212">
        <f>IF($X212=1,SUMPRODUCT(--($AB$2:$AB$301&lt;$AB212))+1,"")</f>
        <v/>
      </c>
      <c r="Z212">
        <f>IF($B212="","",IF(OR($M212=TRUE(),$M212="TRUE"),1,0))</f>
        <v/>
      </c>
      <c r="AA212">
        <f>IF($B212="","",IF($S212="Yes",1,0))</f>
        <v/>
      </c>
      <c r="AB212">
        <f>IF($X212=1,IFERROR(IF(VALUE($B212)&lt;100000000,VALUE($B212),1000000000),IFERROR(IF(VALUE(MID($B212,2,20))&lt;100000000,VALUE(MID($B212,2,20)),1000000000),1000000000))+ROW()/100000,"")</f>
        <v/>
      </c>
    </row>
    <row r="213">
      <c r="C213" s="11" t="n"/>
      <c r="J213" s="7">
        <f>IF($B213="","",I213*Q213/100)</f>
        <v/>
      </c>
      <c r="P213" s="7" t="n"/>
      <c r="Q213" s="7" t="n"/>
      <c r="T213">
        <f>IF($B213="","",IF($AA213=1,0,IF($Z213=1,Settings!$C$6,Settings!$C$7))*100)</f>
        <v/>
      </c>
      <c r="U213" s="7">
        <f>IF($B213="","",Q213*T213/100)</f>
        <v/>
      </c>
      <c r="V213" s="7">
        <f>IF($B213="","",Q213-U213)</f>
        <v/>
      </c>
      <c r="W213" s="7">
        <f>IF($B213="","",V213-J213)</f>
        <v/>
      </c>
      <c r="X213">
        <f>IF($B213="","",IF(COUNTIF($B$2:$B213,$B213)=1,1,0))</f>
        <v/>
      </c>
      <c r="Y213">
        <f>IF($X213=1,SUMPRODUCT(--($AB$2:$AB$301&lt;$AB213))+1,"")</f>
        <v/>
      </c>
      <c r="Z213">
        <f>IF($B213="","",IF(OR($M213=TRUE(),$M213="TRUE"),1,0))</f>
        <v/>
      </c>
      <c r="AA213">
        <f>IF($B213="","",IF($S213="Yes",1,0))</f>
        <v/>
      </c>
      <c r="AB213">
        <f>IF($X213=1,IFERROR(IF(VALUE($B213)&lt;100000000,VALUE($B213),1000000000),IFERROR(IF(VALUE(MID($B213,2,20))&lt;100000000,VALUE(MID($B213,2,20)),1000000000),1000000000))+ROW()/100000,"")</f>
        <v/>
      </c>
    </row>
    <row r="214">
      <c r="C214" s="11" t="n"/>
      <c r="J214" s="7">
        <f>IF($B214="","",I214*Q214/100)</f>
        <v/>
      </c>
      <c r="P214" s="7" t="n"/>
      <c r="Q214" s="7" t="n"/>
      <c r="T214">
        <f>IF($B214="","",IF($AA214=1,0,IF($Z214=1,Settings!$C$6,Settings!$C$7))*100)</f>
        <v/>
      </c>
      <c r="U214" s="7">
        <f>IF($B214="","",Q214*T214/100)</f>
        <v/>
      </c>
      <c r="V214" s="7">
        <f>IF($B214="","",Q214-U214)</f>
        <v/>
      </c>
      <c r="W214" s="7">
        <f>IF($B214="","",V214-J214)</f>
        <v/>
      </c>
      <c r="X214">
        <f>IF($B214="","",IF(COUNTIF($B$2:$B214,$B214)=1,1,0))</f>
        <v/>
      </c>
      <c r="Y214">
        <f>IF($X214=1,SUMPRODUCT(--($AB$2:$AB$301&lt;$AB214))+1,"")</f>
        <v/>
      </c>
      <c r="Z214">
        <f>IF($B214="","",IF(OR($M214=TRUE(),$M214="TRUE"),1,0))</f>
        <v/>
      </c>
      <c r="AA214">
        <f>IF($B214="","",IF($S214="Yes",1,0))</f>
        <v/>
      </c>
      <c r="AB214">
        <f>IF($X214=1,IFERROR(IF(VALUE($B214)&lt;100000000,VALUE($B214),1000000000),IFERROR(IF(VALUE(MID($B214,2,20))&lt;100000000,VALUE(MID($B214,2,20)),1000000000),1000000000))+ROW()/100000,"")</f>
        <v/>
      </c>
    </row>
    <row r="215">
      <c r="C215" s="11" t="n"/>
      <c r="J215" s="7">
        <f>IF($B215="","",I215*Q215/100)</f>
        <v/>
      </c>
      <c r="P215" s="7" t="n"/>
      <c r="Q215" s="7" t="n"/>
      <c r="T215">
        <f>IF($B215="","",IF($AA215=1,0,IF($Z215=1,Settings!$C$6,Settings!$C$7))*100)</f>
        <v/>
      </c>
      <c r="U215" s="7">
        <f>IF($B215="","",Q215*T215/100)</f>
        <v/>
      </c>
      <c r="V215" s="7">
        <f>IF($B215="","",Q215-U215)</f>
        <v/>
      </c>
      <c r="W215" s="7">
        <f>IF($B215="","",V215-J215)</f>
        <v/>
      </c>
      <c r="X215">
        <f>IF($B215="","",IF(COUNTIF($B$2:$B215,$B215)=1,1,0))</f>
        <v/>
      </c>
      <c r="Y215">
        <f>IF($X215=1,SUMPRODUCT(--($AB$2:$AB$301&lt;$AB215))+1,"")</f>
        <v/>
      </c>
      <c r="Z215">
        <f>IF($B215="","",IF(OR($M215=TRUE(),$M215="TRUE"),1,0))</f>
        <v/>
      </c>
      <c r="AA215">
        <f>IF($B215="","",IF($S215="Yes",1,0))</f>
        <v/>
      </c>
      <c r="AB215">
        <f>IF($X215=1,IFERROR(IF(VALUE($B215)&lt;100000000,VALUE($B215),1000000000),IFERROR(IF(VALUE(MID($B215,2,20))&lt;100000000,VALUE(MID($B215,2,20)),1000000000),1000000000))+ROW()/100000,"")</f>
        <v/>
      </c>
    </row>
    <row r="216">
      <c r="C216" s="11" t="n"/>
      <c r="J216" s="7">
        <f>IF($B216="","",I216*Q216/100)</f>
        <v/>
      </c>
      <c r="P216" s="7" t="n"/>
      <c r="Q216" s="7" t="n"/>
      <c r="T216">
        <f>IF($B216="","",IF($AA216=1,0,IF($Z216=1,Settings!$C$6,Settings!$C$7))*100)</f>
        <v/>
      </c>
      <c r="U216" s="7">
        <f>IF($B216="","",Q216*T216/100)</f>
        <v/>
      </c>
      <c r="V216" s="7">
        <f>IF($B216="","",Q216-U216)</f>
        <v/>
      </c>
      <c r="W216" s="7">
        <f>IF($B216="","",V216-J216)</f>
        <v/>
      </c>
      <c r="X216">
        <f>IF($B216="","",IF(COUNTIF($B$2:$B216,$B216)=1,1,0))</f>
        <v/>
      </c>
      <c r="Y216">
        <f>IF($X216=1,SUMPRODUCT(--($AB$2:$AB$301&lt;$AB216))+1,"")</f>
        <v/>
      </c>
      <c r="Z216">
        <f>IF($B216="","",IF(OR($M216=TRUE(),$M216="TRUE"),1,0))</f>
        <v/>
      </c>
      <c r="AA216">
        <f>IF($B216="","",IF($S216="Yes",1,0))</f>
        <v/>
      </c>
      <c r="AB216">
        <f>IF($X216=1,IFERROR(IF(VALUE($B216)&lt;100000000,VALUE($B216),1000000000),IFERROR(IF(VALUE(MID($B216,2,20))&lt;100000000,VALUE(MID($B216,2,20)),1000000000),1000000000))+ROW()/100000,"")</f>
        <v/>
      </c>
    </row>
    <row r="217">
      <c r="C217" s="11" t="n"/>
      <c r="J217" s="7">
        <f>IF($B217="","",I217*Q217/100)</f>
        <v/>
      </c>
      <c r="P217" s="7" t="n"/>
      <c r="Q217" s="7" t="n"/>
      <c r="T217">
        <f>IF($B217="","",IF($AA217=1,0,IF($Z217=1,Settings!$C$6,Settings!$C$7))*100)</f>
        <v/>
      </c>
      <c r="U217" s="7">
        <f>IF($B217="","",Q217*T217/100)</f>
        <v/>
      </c>
      <c r="V217" s="7">
        <f>IF($B217="","",Q217-U217)</f>
        <v/>
      </c>
      <c r="W217" s="7">
        <f>IF($B217="","",V217-J217)</f>
        <v/>
      </c>
      <c r="X217">
        <f>IF($B217="","",IF(COUNTIF($B$2:$B217,$B217)=1,1,0))</f>
        <v/>
      </c>
      <c r="Y217">
        <f>IF($X217=1,SUMPRODUCT(--($AB$2:$AB$301&lt;$AB217))+1,"")</f>
        <v/>
      </c>
      <c r="Z217">
        <f>IF($B217="","",IF(OR($M217=TRUE(),$M217="TRUE"),1,0))</f>
        <v/>
      </c>
      <c r="AA217">
        <f>IF($B217="","",IF($S217="Yes",1,0))</f>
        <v/>
      </c>
      <c r="AB217">
        <f>IF($X217=1,IFERROR(IF(VALUE($B217)&lt;100000000,VALUE($B217),1000000000),IFERROR(IF(VALUE(MID($B217,2,20))&lt;100000000,VALUE(MID($B217,2,20)),1000000000),1000000000))+ROW()/100000,"")</f>
        <v/>
      </c>
    </row>
    <row r="218">
      <c r="C218" s="11" t="n"/>
      <c r="J218" s="7">
        <f>IF($B218="","",I218*Q218/100)</f>
        <v/>
      </c>
      <c r="P218" s="7" t="n"/>
      <c r="Q218" s="7" t="n"/>
      <c r="T218">
        <f>IF($B218="","",IF($AA218=1,0,IF($Z218=1,Settings!$C$6,Settings!$C$7))*100)</f>
        <v/>
      </c>
      <c r="U218" s="7">
        <f>IF($B218="","",Q218*T218/100)</f>
        <v/>
      </c>
      <c r="V218" s="7">
        <f>IF($B218="","",Q218-U218)</f>
        <v/>
      </c>
      <c r="W218" s="7">
        <f>IF($B218="","",V218-J218)</f>
        <v/>
      </c>
      <c r="X218">
        <f>IF($B218="","",IF(COUNTIF($B$2:$B218,$B218)=1,1,0))</f>
        <v/>
      </c>
      <c r="Y218">
        <f>IF($X218=1,SUMPRODUCT(--($AB$2:$AB$301&lt;$AB218))+1,"")</f>
        <v/>
      </c>
      <c r="Z218">
        <f>IF($B218="","",IF(OR($M218=TRUE(),$M218="TRUE"),1,0))</f>
        <v/>
      </c>
      <c r="AA218">
        <f>IF($B218="","",IF($S218="Yes",1,0))</f>
        <v/>
      </c>
      <c r="AB218">
        <f>IF($X218=1,IFERROR(IF(VALUE($B218)&lt;100000000,VALUE($B218),1000000000),IFERROR(IF(VALUE(MID($B218,2,20))&lt;100000000,VALUE(MID($B218,2,20)),1000000000),1000000000))+ROW()/100000,"")</f>
        <v/>
      </c>
    </row>
    <row r="219">
      <c r="C219" s="11" t="n"/>
      <c r="J219" s="7">
        <f>IF($B219="","",I219*Q219/100)</f>
        <v/>
      </c>
      <c r="P219" s="7" t="n"/>
      <c r="Q219" s="7" t="n"/>
      <c r="T219">
        <f>IF($B219="","",IF($AA219=1,0,IF($Z219=1,Settings!$C$6,Settings!$C$7))*100)</f>
        <v/>
      </c>
      <c r="U219" s="7">
        <f>IF($B219="","",Q219*T219/100)</f>
        <v/>
      </c>
      <c r="V219" s="7">
        <f>IF($B219="","",Q219-U219)</f>
        <v/>
      </c>
      <c r="W219" s="7">
        <f>IF($B219="","",V219-J219)</f>
        <v/>
      </c>
      <c r="X219">
        <f>IF($B219="","",IF(COUNTIF($B$2:$B219,$B219)=1,1,0))</f>
        <v/>
      </c>
      <c r="Y219">
        <f>IF($X219=1,SUMPRODUCT(--($AB$2:$AB$301&lt;$AB219))+1,"")</f>
        <v/>
      </c>
      <c r="Z219">
        <f>IF($B219="","",IF(OR($M219=TRUE(),$M219="TRUE"),1,0))</f>
        <v/>
      </c>
      <c r="AA219">
        <f>IF($B219="","",IF($S219="Yes",1,0))</f>
        <v/>
      </c>
      <c r="AB219">
        <f>IF($X219=1,IFERROR(IF(VALUE($B219)&lt;100000000,VALUE($B219),1000000000),IFERROR(IF(VALUE(MID($B219,2,20))&lt;100000000,VALUE(MID($B219,2,20)),1000000000),1000000000))+ROW()/100000,"")</f>
        <v/>
      </c>
    </row>
    <row r="220">
      <c r="C220" s="11" t="n"/>
      <c r="J220" s="7">
        <f>IF($B220="","",I220*Q220/100)</f>
        <v/>
      </c>
      <c r="P220" s="7" t="n"/>
      <c r="Q220" s="7" t="n"/>
      <c r="T220">
        <f>IF($B220="","",IF($AA220=1,0,IF($Z220=1,Settings!$C$6,Settings!$C$7))*100)</f>
        <v/>
      </c>
      <c r="U220" s="7">
        <f>IF($B220="","",Q220*T220/100)</f>
        <v/>
      </c>
      <c r="V220" s="7">
        <f>IF($B220="","",Q220-U220)</f>
        <v/>
      </c>
      <c r="W220" s="7">
        <f>IF($B220="","",V220-J220)</f>
        <v/>
      </c>
      <c r="X220">
        <f>IF($B220="","",IF(COUNTIF($B$2:$B220,$B220)=1,1,0))</f>
        <v/>
      </c>
      <c r="Y220">
        <f>IF($X220=1,SUMPRODUCT(--($AB$2:$AB$301&lt;$AB220))+1,"")</f>
        <v/>
      </c>
      <c r="Z220">
        <f>IF($B220="","",IF(OR($M220=TRUE(),$M220="TRUE"),1,0))</f>
        <v/>
      </c>
      <c r="AA220">
        <f>IF($B220="","",IF($S220="Yes",1,0))</f>
        <v/>
      </c>
      <c r="AB220">
        <f>IF($X220=1,IFERROR(IF(VALUE($B220)&lt;100000000,VALUE($B220),1000000000),IFERROR(IF(VALUE(MID($B220,2,20))&lt;100000000,VALUE(MID($B220,2,20)),1000000000),1000000000))+ROW()/100000,"")</f>
        <v/>
      </c>
    </row>
    <row r="221">
      <c r="C221" s="11" t="n"/>
      <c r="J221" s="7">
        <f>IF($B221="","",I221*Q221/100)</f>
        <v/>
      </c>
      <c r="P221" s="7" t="n"/>
      <c r="Q221" s="7" t="n"/>
      <c r="T221">
        <f>IF($B221="","",IF($AA221=1,0,IF($Z221=1,Settings!$C$6,Settings!$C$7))*100)</f>
        <v/>
      </c>
      <c r="U221" s="7">
        <f>IF($B221="","",Q221*T221/100)</f>
        <v/>
      </c>
      <c r="V221" s="7">
        <f>IF($B221="","",Q221-U221)</f>
        <v/>
      </c>
      <c r="W221" s="7">
        <f>IF($B221="","",V221-J221)</f>
        <v/>
      </c>
      <c r="X221">
        <f>IF($B221="","",IF(COUNTIF($B$2:$B221,$B221)=1,1,0))</f>
        <v/>
      </c>
      <c r="Y221">
        <f>IF($X221=1,SUMPRODUCT(--($AB$2:$AB$301&lt;$AB221))+1,"")</f>
        <v/>
      </c>
      <c r="Z221">
        <f>IF($B221="","",IF(OR($M221=TRUE(),$M221="TRUE"),1,0))</f>
        <v/>
      </c>
      <c r="AA221">
        <f>IF($B221="","",IF($S221="Yes",1,0))</f>
        <v/>
      </c>
      <c r="AB221">
        <f>IF($X221=1,IFERROR(IF(VALUE($B221)&lt;100000000,VALUE($B221),1000000000),IFERROR(IF(VALUE(MID($B221,2,20))&lt;100000000,VALUE(MID($B221,2,20)),1000000000),1000000000))+ROW()/100000,"")</f>
        <v/>
      </c>
    </row>
    <row r="222">
      <c r="C222" s="11" t="n"/>
      <c r="J222" s="7">
        <f>IF($B222="","",I222*Q222/100)</f>
        <v/>
      </c>
      <c r="P222" s="7" t="n"/>
      <c r="Q222" s="7" t="n"/>
      <c r="T222">
        <f>IF($B222="","",IF($AA222=1,0,IF($Z222=1,Settings!$C$6,Settings!$C$7))*100)</f>
        <v/>
      </c>
      <c r="U222" s="7">
        <f>IF($B222="","",Q222*T222/100)</f>
        <v/>
      </c>
      <c r="V222" s="7">
        <f>IF($B222="","",Q222-U222)</f>
        <v/>
      </c>
      <c r="W222" s="7">
        <f>IF($B222="","",V222-J222)</f>
        <v/>
      </c>
      <c r="X222">
        <f>IF($B222="","",IF(COUNTIF($B$2:$B222,$B222)=1,1,0))</f>
        <v/>
      </c>
      <c r="Y222">
        <f>IF($X222=1,SUMPRODUCT(--($AB$2:$AB$301&lt;$AB222))+1,"")</f>
        <v/>
      </c>
      <c r="Z222">
        <f>IF($B222="","",IF(OR($M222=TRUE(),$M222="TRUE"),1,0))</f>
        <v/>
      </c>
      <c r="AA222">
        <f>IF($B222="","",IF($S222="Yes",1,0))</f>
        <v/>
      </c>
      <c r="AB222">
        <f>IF($X222=1,IFERROR(IF(VALUE($B222)&lt;100000000,VALUE($B222),1000000000),IFERROR(IF(VALUE(MID($B222,2,20))&lt;100000000,VALUE(MID($B222,2,20)),1000000000),1000000000))+ROW()/100000,"")</f>
        <v/>
      </c>
    </row>
    <row r="223">
      <c r="C223" s="11" t="n"/>
      <c r="J223" s="7">
        <f>IF($B223="","",I223*Q223/100)</f>
        <v/>
      </c>
      <c r="P223" s="7" t="n"/>
      <c r="Q223" s="7" t="n"/>
      <c r="T223">
        <f>IF($B223="","",IF($AA223=1,0,IF($Z223=1,Settings!$C$6,Settings!$C$7))*100)</f>
        <v/>
      </c>
      <c r="U223" s="7">
        <f>IF($B223="","",Q223*T223/100)</f>
        <v/>
      </c>
      <c r="V223" s="7">
        <f>IF($B223="","",Q223-U223)</f>
        <v/>
      </c>
      <c r="W223" s="7">
        <f>IF($B223="","",V223-J223)</f>
        <v/>
      </c>
      <c r="X223">
        <f>IF($B223="","",IF(COUNTIF($B$2:$B223,$B223)=1,1,0))</f>
        <v/>
      </c>
      <c r="Y223">
        <f>IF($X223=1,SUMPRODUCT(--($AB$2:$AB$301&lt;$AB223))+1,"")</f>
        <v/>
      </c>
      <c r="Z223">
        <f>IF($B223="","",IF(OR($M223=TRUE(),$M223="TRUE"),1,0))</f>
        <v/>
      </c>
      <c r="AA223">
        <f>IF($B223="","",IF($S223="Yes",1,0))</f>
        <v/>
      </c>
      <c r="AB223">
        <f>IF($X223=1,IFERROR(IF(VALUE($B223)&lt;100000000,VALUE($B223),1000000000),IFERROR(IF(VALUE(MID($B223,2,20))&lt;100000000,VALUE(MID($B223,2,20)),1000000000),1000000000))+ROW()/100000,"")</f>
        <v/>
      </c>
    </row>
    <row r="224">
      <c r="C224" s="11" t="n"/>
      <c r="J224" s="7">
        <f>IF($B224="","",I224*Q224/100)</f>
        <v/>
      </c>
      <c r="P224" s="7" t="n"/>
      <c r="Q224" s="7" t="n"/>
      <c r="T224">
        <f>IF($B224="","",IF($AA224=1,0,IF($Z224=1,Settings!$C$6,Settings!$C$7))*100)</f>
        <v/>
      </c>
      <c r="U224" s="7">
        <f>IF($B224="","",Q224*T224/100)</f>
        <v/>
      </c>
      <c r="V224" s="7">
        <f>IF($B224="","",Q224-U224)</f>
        <v/>
      </c>
      <c r="W224" s="7">
        <f>IF($B224="","",V224-J224)</f>
        <v/>
      </c>
      <c r="X224">
        <f>IF($B224="","",IF(COUNTIF($B$2:$B224,$B224)=1,1,0))</f>
        <v/>
      </c>
      <c r="Y224">
        <f>IF($X224=1,SUMPRODUCT(--($AB$2:$AB$301&lt;$AB224))+1,"")</f>
        <v/>
      </c>
      <c r="Z224">
        <f>IF($B224="","",IF(OR($M224=TRUE(),$M224="TRUE"),1,0))</f>
        <v/>
      </c>
      <c r="AA224">
        <f>IF($B224="","",IF($S224="Yes",1,0))</f>
        <v/>
      </c>
      <c r="AB224">
        <f>IF($X224=1,IFERROR(IF(VALUE($B224)&lt;100000000,VALUE($B224),1000000000),IFERROR(IF(VALUE(MID($B224,2,20))&lt;100000000,VALUE(MID($B224,2,20)),1000000000),1000000000))+ROW()/100000,"")</f>
        <v/>
      </c>
    </row>
    <row r="225">
      <c r="C225" s="11" t="n"/>
      <c r="J225" s="7">
        <f>IF($B225="","",I225*Q225/100)</f>
        <v/>
      </c>
      <c r="P225" s="7" t="n"/>
      <c r="Q225" s="7" t="n"/>
      <c r="T225">
        <f>IF($B225="","",IF($AA225=1,0,IF($Z225=1,Settings!$C$6,Settings!$C$7))*100)</f>
        <v/>
      </c>
      <c r="U225" s="7">
        <f>IF($B225="","",Q225*T225/100)</f>
        <v/>
      </c>
      <c r="V225" s="7">
        <f>IF($B225="","",Q225-U225)</f>
        <v/>
      </c>
      <c r="W225" s="7">
        <f>IF($B225="","",V225-J225)</f>
        <v/>
      </c>
      <c r="X225">
        <f>IF($B225="","",IF(COUNTIF($B$2:$B225,$B225)=1,1,0))</f>
        <v/>
      </c>
      <c r="Y225">
        <f>IF($X225=1,SUMPRODUCT(--($AB$2:$AB$301&lt;$AB225))+1,"")</f>
        <v/>
      </c>
      <c r="Z225">
        <f>IF($B225="","",IF(OR($M225=TRUE(),$M225="TRUE"),1,0))</f>
        <v/>
      </c>
      <c r="AA225">
        <f>IF($B225="","",IF($S225="Yes",1,0))</f>
        <v/>
      </c>
      <c r="AB225">
        <f>IF($X225=1,IFERROR(IF(VALUE($B225)&lt;100000000,VALUE($B225),1000000000),IFERROR(IF(VALUE(MID($B225,2,20))&lt;100000000,VALUE(MID($B225,2,20)),1000000000),1000000000))+ROW()/100000,"")</f>
        <v/>
      </c>
    </row>
    <row r="226">
      <c r="C226" s="11" t="n"/>
      <c r="J226" s="7">
        <f>IF($B226="","",I226*Q226/100)</f>
        <v/>
      </c>
      <c r="P226" s="7" t="n"/>
      <c r="Q226" s="7" t="n"/>
      <c r="T226">
        <f>IF($B226="","",IF($AA226=1,0,IF($Z226=1,Settings!$C$6,Settings!$C$7))*100)</f>
        <v/>
      </c>
      <c r="U226" s="7">
        <f>IF($B226="","",Q226*T226/100)</f>
        <v/>
      </c>
      <c r="V226" s="7">
        <f>IF($B226="","",Q226-U226)</f>
        <v/>
      </c>
      <c r="W226" s="7">
        <f>IF($B226="","",V226-J226)</f>
        <v/>
      </c>
      <c r="X226">
        <f>IF($B226="","",IF(COUNTIF($B$2:$B226,$B226)=1,1,0))</f>
        <v/>
      </c>
      <c r="Y226">
        <f>IF($X226=1,SUMPRODUCT(--($AB$2:$AB$301&lt;$AB226))+1,"")</f>
        <v/>
      </c>
      <c r="Z226">
        <f>IF($B226="","",IF(OR($M226=TRUE(),$M226="TRUE"),1,0))</f>
        <v/>
      </c>
      <c r="AA226">
        <f>IF($B226="","",IF($S226="Yes",1,0))</f>
        <v/>
      </c>
      <c r="AB226">
        <f>IF($X226=1,IFERROR(IF(VALUE($B226)&lt;100000000,VALUE($B226),1000000000),IFERROR(IF(VALUE(MID($B226,2,20))&lt;100000000,VALUE(MID($B226,2,20)),1000000000),1000000000))+ROW()/100000,"")</f>
        <v/>
      </c>
    </row>
    <row r="227">
      <c r="C227" s="11" t="n"/>
      <c r="J227" s="7">
        <f>IF($B227="","",I227*Q227/100)</f>
        <v/>
      </c>
      <c r="P227" s="7" t="n"/>
      <c r="Q227" s="7" t="n"/>
      <c r="T227">
        <f>IF($B227="","",IF($AA227=1,0,IF($Z227=1,Settings!$C$6,Settings!$C$7))*100)</f>
        <v/>
      </c>
      <c r="U227" s="7">
        <f>IF($B227="","",Q227*T227/100)</f>
        <v/>
      </c>
      <c r="V227" s="7">
        <f>IF($B227="","",Q227-U227)</f>
        <v/>
      </c>
      <c r="W227" s="7">
        <f>IF($B227="","",V227-J227)</f>
        <v/>
      </c>
      <c r="X227">
        <f>IF($B227="","",IF(COUNTIF($B$2:$B227,$B227)=1,1,0))</f>
        <v/>
      </c>
      <c r="Y227">
        <f>IF($X227=1,SUMPRODUCT(--($AB$2:$AB$301&lt;$AB227))+1,"")</f>
        <v/>
      </c>
      <c r="Z227">
        <f>IF($B227="","",IF(OR($M227=TRUE(),$M227="TRUE"),1,0))</f>
        <v/>
      </c>
      <c r="AA227">
        <f>IF($B227="","",IF($S227="Yes",1,0))</f>
        <v/>
      </c>
      <c r="AB227">
        <f>IF($X227=1,IFERROR(IF(VALUE($B227)&lt;100000000,VALUE($B227),1000000000),IFERROR(IF(VALUE(MID($B227,2,20))&lt;100000000,VALUE(MID($B227,2,20)),1000000000),1000000000))+ROW()/100000,"")</f>
        <v/>
      </c>
    </row>
    <row r="228">
      <c r="C228" s="11" t="n"/>
      <c r="J228" s="7">
        <f>IF($B228="","",I228*Q228/100)</f>
        <v/>
      </c>
      <c r="P228" s="7" t="n"/>
      <c r="Q228" s="7" t="n"/>
      <c r="T228">
        <f>IF($B228="","",IF($AA228=1,0,IF($Z228=1,Settings!$C$6,Settings!$C$7))*100)</f>
        <v/>
      </c>
      <c r="U228" s="7">
        <f>IF($B228="","",Q228*T228/100)</f>
        <v/>
      </c>
      <c r="V228" s="7">
        <f>IF($B228="","",Q228-U228)</f>
        <v/>
      </c>
      <c r="W228" s="7">
        <f>IF($B228="","",V228-J228)</f>
        <v/>
      </c>
      <c r="X228">
        <f>IF($B228="","",IF(COUNTIF($B$2:$B228,$B228)=1,1,0))</f>
        <v/>
      </c>
      <c r="Y228">
        <f>IF($X228=1,SUMPRODUCT(--($AB$2:$AB$301&lt;$AB228))+1,"")</f>
        <v/>
      </c>
      <c r="Z228">
        <f>IF($B228="","",IF(OR($M228=TRUE(),$M228="TRUE"),1,0))</f>
        <v/>
      </c>
      <c r="AA228">
        <f>IF($B228="","",IF($S228="Yes",1,0))</f>
        <v/>
      </c>
      <c r="AB228">
        <f>IF($X228=1,IFERROR(IF(VALUE($B228)&lt;100000000,VALUE($B228),1000000000),IFERROR(IF(VALUE(MID($B228,2,20))&lt;100000000,VALUE(MID($B228,2,20)),1000000000),1000000000))+ROW()/100000,"")</f>
        <v/>
      </c>
    </row>
    <row r="229">
      <c r="C229" s="11" t="n"/>
      <c r="J229" s="7">
        <f>IF($B229="","",I229*Q229/100)</f>
        <v/>
      </c>
      <c r="P229" s="7" t="n"/>
      <c r="Q229" s="7" t="n"/>
      <c r="T229">
        <f>IF($B229="","",IF($AA229=1,0,IF($Z229=1,Settings!$C$6,Settings!$C$7))*100)</f>
        <v/>
      </c>
      <c r="U229" s="7">
        <f>IF($B229="","",Q229*T229/100)</f>
        <v/>
      </c>
      <c r="V229" s="7">
        <f>IF($B229="","",Q229-U229)</f>
        <v/>
      </c>
      <c r="W229" s="7">
        <f>IF($B229="","",V229-J229)</f>
        <v/>
      </c>
      <c r="X229">
        <f>IF($B229="","",IF(COUNTIF($B$2:$B229,$B229)=1,1,0))</f>
        <v/>
      </c>
      <c r="Y229">
        <f>IF($X229=1,SUMPRODUCT(--($AB$2:$AB$301&lt;$AB229))+1,"")</f>
        <v/>
      </c>
      <c r="Z229">
        <f>IF($B229="","",IF(OR($M229=TRUE(),$M229="TRUE"),1,0))</f>
        <v/>
      </c>
      <c r="AA229">
        <f>IF($B229="","",IF($S229="Yes",1,0))</f>
        <v/>
      </c>
      <c r="AB229">
        <f>IF($X229=1,IFERROR(IF(VALUE($B229)&lt;100000000,VALUE($B229),1000000000),IFERROR(IF(VALUE(MID($B229,2,20))&lt;100000000,VALUE(MID($B229,2,20)),1000000000),1000000000))+ROW()/100000,"")</f>
        <v/>
      </c>
    </row>
    <row r="230">
      <c r="C230" s="11" t="n"/>
      <c r="J230" s="7">
        <f>IF($B230="","",I230*Q230/100)</f>
        <v/>
      </c>
      <c r="P230" s="7" t="n"/>
      <c r="Q230" s="7" t="n"/>
      <c r="T230">
        <f>IF($B230="","",IF($AA230=1,0,IF($Z230=1,Settings!$C$6,Settings!$C$7))*100)</f>
        <v/>
      </c>
      <c r="U230" s="7">
        <f>IF($B230="","",Q230*T230/100)</f>
        <v/>
      </c>
      <c r="V230" s="7">
        <f>IF($B230="","",Q230-U230)</f>
        <v/>
      </c>
      <c r="W230" s="7">
        <f>IF($B230="","",V230-J230)</f>
        <v/>
      </c>
      <c r="X230">
        <f>IF($B230="","",IF(COUNTIF($B$2:$B230,$B230)=1,1,0))</f>
        <v/>
      </c>
      <c r="Y230">
        <f>IF($X230=1,SUMPRODUCT(--($AB$2:$AB$301&lt;$AB230))+1,"")</f>
        <v/>
      </c>
      <c r="Z230">
        <f>IF($B230="","",IF(OR($M230=TRUE(),$M230="TRUE"),1,0))</f>
        <v/>
      </c>
      <c r="AA230">
        <f>IF($B230="","",IF($S230="Yes",1,0))</f>
        <v/>
      </c>
      <c r="AB230">
        <f>IF($X230=1,IFERROR(IF(VALUE($B230)&lt;100000000,VALUE($B230),1000000000),IFERROR(IF(VALUE(MID($B230,2,20))&lt;100000000,VALUE(MID($B230,2,20)),1000000000),1000000000))+ROW()/100000,"")</f>
        <v/>
      </c>
    </row>
    <row r="231">
      <c r="C231" s="11" t="n"/>
      <c r="J231" s="7">
        <f>IF($B231="","",I231*Q231/100)</f>
        <v/>
      </c>
      <c r="P231" s="7" t="n"/>
      <c r="Q231" s="7" t="n"/>
      <c r="T231">
        <f>IF($B231="","",IF($AA231=1,0,IF($Z231=1,Settings!$C$6,Settings!$C$7))*100)</f>
        <v/>
      </c>
      <c r="U231" s="7">
        <f>IF($B231="","",Q231*T231/100)</f>
        <v/>
      </c>
      <c r="V231" s="7">
        <f>IF($B231="","",Q231-U231)</f>
        <v/>
      </c>
      <c r="W231" s="7">
        <f>IF($B231="","",V231-J231)</f>
        <v/>
      </c>
      <c r="X231">
        <f>IF($B231="","",IF(COUNTIF($B$2:$B231,$B231)=1,1,0))</f>
        <v/>
      </c>
      <c r="Y231">
        <f>IF($X231=1,SUMPRODUCT(--($AB$2:$AB$301&lt;$AB231))+1,"")</f>
        <v/>
      </c>
      <c r="Z231">
        <f>IF($B231="","",IF(OR($M231=TRUE(),$M231="TRUE"),1,0))</f>
        <v/>
      </c>
      <c r="AA231">
        <f>IF($B231="","",IF($S231="Yes",1,0))</f>
        <v/>
      </c>
      <c r="AB231">
        <f>IF($X231=1,IFERROR(IF(VALUE($B231)&lt;100000000,VALUE($B231),1000000000),IFERROR(IF(VALUE(MID($B231,2,20))&lt;100000000,VALUE(MID($B231,2,20)),1000000000),1000000000))+ROW()/100000,"")</f>
        <v/>
      </c>
    </row>
    <row r="232">
      <c r="C232" s="11" t="n"/>
      <c r="J232" s="7">
        <f>IF($B232="","",I232*Q232/100)</f>
        <v/>
      </c>
      <c r="P232" s="7" t="n"/>
      <c r="Q232" s="7" t="n"/>
      <c r="T232">
        <f>IF($B232="","",IF($AA232=1,0,IF($Z232=1,Settings!$C$6,Settings!$C$7))*100)</f>
        <v/>
      </c>
      <c r="U232" s="7">
        <f>IF($B232="","",Q232*T232/100)</f>
        <v/>
      </c>
      <c r="V232" s="7">
        <f>IF($B232="","",Q232-U232)</f>
        <v/>
      </c>
      <c r="W232" s="7">
        <f>IF($B232="","",V232-J232)</f>
        <v/>
      </c>
      <c r="X232">
        <f>IF($B232="","",IF(COUNTIF($B$2:$B232,$B232)=1,1,0))</f>
        <v/>
      </c>
      <c r="Y232">
        <f>IF($X232=1,SUMPRODUCT(--($AB$2:$AB$301&lt;$AB232))+1,"")</f>
        <v/>
      </c>
      <c r="Z232">
        <f>IF($B232="","",IF(OR($M232=TRUE(),$M232="TRUE"),1,0))</f>
        <v/>
      </c>
      <c r="AA232">
        <f>IF($B232="","",IF($S232="Yes",1,0))</f>
        <v/>
      </c>
      <c r="AB232">
        <f>IF($X232=1,IFERROR(IF(VALUE($B232)&lt;100000000,VALUE($B232),1000000000),IFERROR(IF(VALUE(MID($B232,2,20))&lt;100000000,VALUE(MID($B232,2,20)),1000000000),1000000000))+ROW()/100000,"")</f>
        <v/>
      </c>
    </row>
    <row r="233">
      <c r="C233" s="11" t="n"/>
      <c r="J233" s="7">
        <f>IF($B233="","",I233*Q233/100)</f>
        <v/>
      </c>
      <c r="P233" s="7" t="n"/>
      <c r="Q233" s="7" t="n"/>
      <c r="T233">
        <f>IF($B233="","",IF($AA233=1,0,IF($Z233=1,Settings!$C$6,Settings!$C$7))*100)</f>
        <v/>
      </c>
      <c r="U233" s="7">
        <f>IF($B233="","",Q233*T233/100)</f>
        <v/>
      </c>
      <c r="V233" s="7">
        <f>IF($B233="","",Q233-U233)</f>
        <v/>
      </c>
      <c r="W233" s="7">
        <f>IF($B233="","",V233-J233)</f>
        <v/>
      </c>
      <c r="X233">
        <f>IF($B233="","",IF(COUNTIF($B$2:$B233,$B233)=1,1,0))</f>
        <v/>
      </c>
      <c r="Y233">
        <f>IF($X233=1,SUMPRODUCT(--($AB$2:$AB$301&lt;$AB233))+1,"")</f>
        <v/>
      </c>
      <c r="Z233">
        <f>IF($B233="","",IF(OR($M233=TRUE(),$M233="TRUE"),1,0))</f>
        <v/>
      </c>
      <c r="AA233">
        <f>IF($B233="","",IF($S233="Yes",1,0))</f>
        <v/>
      </c>
      <c r="AB233">
        <f>IF($X233=1,IFERROR(IF(VALUE($B233)&lt;100000000,VALUE($B233),1000000000),IFERROR(IF(VALUE(MID($B233,2,20))&lt;100000000,VALUE(MID($B233,2,20)),1000000000),1000000000))+ROW()/100000,"")</f>
        <v/>
      </c>
    </row>
    <row r="234">
      <c r="C234" s="11" t="n"/>
      <c r="J234" s="7">
        <f>IF($B234="","",I234*Q234/100)</f>
        <v/>
      </c>
      <c r="P234" s="7" t="n"/>
      <c r="Q234" s="7" t="n"/>
      <c r="T234">
        <f>IF($B234="","",IF($AA234=1,0,IF($Z234=1,Settings!$C$6,Settings!$C$7))*100)</f>
        <v/>
      </c>
      <c r="U234" s="7">
        <f>IF($B234="","",Q234*T234/100)</f>
        <v/>
      </c>
      <c r="V234" s="7">
        <f>IF($B234="","",Q234-U234)</f>
        <v/>
      </c>
      <c r="W234" s="7">
        <f>IF($B234="","",V234-J234)</f>
        <v/>
      </c>
      <c r="X234">
        <f>IF($B234="","",IF(COUNTIF($B$2:$B234,$B234)=1,1,0))</f>
        <v/>
      </c>
      <c r="Y234">
        <f>IF($X234=1,SUMPRODUCT(--($AB$2:$AB$301&lt;$AB234))+1,"")</f>
        <v/>
      </c>
      <c r="Z234">
        <f>IF($B234="","",IF(OR($M234=TRUE(),$M234="TRUE"),1,0))</f>
        <v/>
      </c>
      <c r="AA234">
        <f>IF($B234="","",IF($S234="Yes",1,0))</f>
        <v/>
      </c>
      <c r="AB234">
        <f>IF($X234=1,IFERROR(IF(VALUE($B234)&lt;100000000,VALUE($B234),1000000000),IFERROR(IF(VALUE(MID($B234,2,20))&lt;100000000,VALUE(MID($B234,2,20)),1000000000),1000000000))+ROW()/100000,"")</f>
        <v/>
      </c>
    </row>
    <row r="235">
      <c r="C235" s="11" t="n"/>
      <c r="J235" s="7">
        <f>IF($B235="","",I235*Q235/100)</f>
        <v/>
      </c>
      <c r="P235" s="7" t="n"/>
      <c r="Q235" s="7" t="n"/>
      <c r="T235">
        <f>IF($B235="","",IF($AA235=1,0,IF($Z235=1,Settings!$C$6,Settings!$C$7))*100)</f>
        <v/>
      </c>
      <c r="U235" s="7">
        <f>IF($B235="","",Q235*T235/100)</f>
        <v/>
      </c>
      <c r="V235" s="7">
        <f>IF($B235="","",Q235-U235)</f>
        <v/>
      </c>
      <c r="W235" s="7">
        <f>IF($B235="","",V235-J235)</f>
        <v/>
      </c>
      <c r="X235">
        <f>IF($B235="","",IF(COUNTIF($B$2:$B235,$B235)=1,1,0))</f>
        <v/>
      </c>
      <c r="Y235">
        <f>IF($X235=1,SUMPRODUCT(--($AB$2:$AB$301&lt;$AB235))+1,"")</f>
        <v/>
      </c>
      <c r="Z235">
        <f>IF($B235="","",IF(OR($M235=TRUE(),$M235="TRUE"),1,0))</f>
        <v/>
      </c>
      <c r="AA235">
        <f>IF($B235="","",IF($S235="Yes",1,0))</f>
        <v/>
      </c>
      <c r="AB235">
        <f>IF($X235=1,IFERROR(IF(VALUE($B235)&lt;100000000,VALUE($B235),1000000000),IFERROR(IF(VALUE(MID($B235,2,20))&lt;100000000,VALUE(MID($B235,2,20)),1000000000),1000000000))+ROW()/100000,"")</f>
        <v/>
      </c>
    </row>
    <row r="236">
      <c r="C236" s="11" t="n"/>
      <c r="J236" s="7">
        <f>IF($B236="","",I236*Q236/100)</f>
        <v/>
      </c>
      <c r="P236" s="7" t="n"/>
      <c r="Q236" s="7" t="n"/>
      <c r="T236">
        <f>IF($B236="","",IF($AA236=1,0,IF($Z236=1,Settings!$C$6,Settings!$C$7))*100)</f>
        <v/>
      </c>
      <c r="U236" s="7">
        <f>IF($B236="","",Q236*T236/100)</f>
        <v/>
      </c>
      <c r="V236" s="7">
        <f>IF($B236="","",Q236-U236)</f>
        <v/>
      </c>
      <c r="W236" s="7">
        <f>IF($B236="","",V236-J236)</f>
        <v/>
      </c>
      <c r="X236">
        <f>IF($B236="","",IF(COUNTIF($B$2:$B236,$B236)=1,1,0))</f>
        <v/>
      </c>
      <c r="Y236">
        <f>IF($X236=1,SUMPRODUCT(--($AB$2:$AB$301&lt;$AB236))+1,"")</f>
        <v/>
      </c>
      <c r="Z236">
        <f>IF($B236="","",IF(OR($M236=TRUE(),$M236="TRUE"),1,0))</f>
        <v/>
      </c>
      <c r="AA236">
        <f>IF($B236="","",IF($S236="Yes",1,0))</f>
        <v/>
      </c>
      <c r="AB236">
        <f>IF($X236=1,IFERROR(IF(VALUE($B236)&lt;100000000,VALUE($B236),1000000000),IFERROR(IF(VALUE(MID($B236,2,20))&lt;100000000,VALUE(MID($B236,2,20)),1000000000),1000000000))+ROW()/100000,"")</f>
        <v/>
      </c>
    </row>
    <row r="237">
      <c r="C237" s="11" t="n"/>
      <c r="J237" s="7">
        <f>IF($B237="","",I237*Q237/100)</f>
        <v/>
      </c>
      <c r="P237" s="7" t="n"/>
      <c r="Q237" s="7" t="n"/>
      <c r="T237">
        <f>IF($B237="","",IF($AA237=1,0,IF($Z237=1,Settings!$C$6,Settings!$C$7))*100)</f>
        <v/>
      </c>
      <c r="U237" s="7">
        <f>IF($B237="","",Q237*T237/100)</f>
        <v/>
      </c>
      <c r="V237" s="7">
        <f>IF($B237="","",Q237-U237)</f>
        <v/>
      </c>
      <c r="W237" s="7">
        <f>IF($B237="","",V237-J237)</f>
        <v/>
      </c>
      <c r="X237">
        <f>IF($B237="","",IF(COUNTIF($B$2:$B237,$B237)=1,1,0))</f>
        <v/>
      </c>
      <c r="Y237">
        <f>IF($X237=1,SUMPRODUCT(--($AB$2:$AB$301&lt;$AB237))+1,"")</f>
        <v/>
      </c>
      <c r="Z237">
        <f>IF($B237="","",IF(OR($M237=TRUE(),$M237="TRUE"),1,0))</f>
        <v/>
      </c>
      <c r="AA237">
        <f>IF($B237="","",IF($S237="Yes",1,0))</f>
        <v/>
      </c>
      <c r="AB237">
        <f>IF($X237=1,IFERROR(IF(VALUE($B237)&lt;100000000,VALUE($B237),1000000000),IFERROR(IF(VALUE(MID($B237,2,20))&lt;100000000,VALUE(MID($B237,2,20)),1000000000),1000000000))+ROW()/100000,"")</f>
        <v/>
      </c>
    </row>
    <row r="238">
      <c r="C238" s="11" t="n"/>
      <c r="J238" s="7">
        <f>IF($B238="","",I238*Q238/100)</f>
        <v/>
      </c>
      <c r="P238" s="7" t="n"/>
      <c r="Q238" s="7" t="n"/>
      <c r="T238">
        <f>IF($B238="","",IF($AA238=1,0,IF($Z238=1,Settings!$C$6,Settings!$C$7))*100)</f>
        <v/>
      </c>
      <c r="U238" s="7">
        <f>IF($B238="","",Q238*T238/100)</f>
        <v/>
      </c>
      <c r="V238" s="7">
        <f>IF($B238="","",Q238-U238)</f>
        <v/>
      </c>
      <c r="W238" s="7">
        <f>IF($B238="","",V238-J238)</f>
        <v/>
      </c>
      <c r="X238">
        <f>IF($B238="","",IF(COUNTIF($B$2:$B238,$B238)=1,1,0))</f>
        <v/>
      </c>
      <c r="Y238">
        <f>IF($X238=1,SUMPRODUCT(--($AB$2:$AB$301&lt;$AB238))+1,"")</f>
        <v/>
      </c>
      <c r="Z238">
        <f>IF($B238="","",IF(OR($M238=TRUE(),$M238="TRUE"),1,0))</f>
        <v/>
      </c>
      <c r="AA238">
        <f>IF($B238="","",IF($S238="Yes",1,0))</f>
        <v/>
      </c>
      <c r="AB238">
        <f>IF($X238=1,IFERROR(IF(VALUE($B238)&lt;100000000,VALUE($B238),1000000000),IFERROR(IF(VALUE(MID($B238,2,20))&lt;100000000,VALUE(MID($B238,2,20)),1000000000),1000000000))+ROW()/100000,"")</f>
        <v/>
      </c>
    </row>
    <row r="239">
      <c r="C239" s="11" t="n"/>
      <c r="J239" s="7">
        <f>IF($B239="","",I239*Q239/100)</f>
        <v/>
      </c>
      <c r="P239" s="7" t="n"/>
      <c r="Q239" s="7" t="n"/>
      <c r="T239">
        <f>IF($B239="","",IF($AA239=1,0,IF($Z239=1,Settings!$C$6,Settings!$C$7))*100)</f>
        <v/>
      </c>
      <c r="U239" s="7">
        <f>IF($B239="","",Q239*T239/100)</f>
        <v/>
      </c>
      <c r="V239" s="7">
        <f>IF($B239="","",Q239-U239)</f>
        <v/>
      </c>
      <c r="W239" s="7">
        <f>IF($B239="","",V239-J239)</f>
        <v/>
      </c>
      <c r="X239">
        <f>IF($B239="","",IF(COUNTIF($B$2:$B239,$B239)=1,1,0))</f>
        <v/>
      </c>
      <c r="Y239">
        <f>IF($X239=1,SUMPRODUCT(--($AB$2:$AB$301&lt;$AB239))+1,"")</f>
        <v/>
      </c>
      <c r="Z239">
        <f>IF($B239="","",IF(OR($M239=TRUE(),$M239="TRUE"),1,0))</f>
        <v/>
      </c>
      <c r="AA239">
        <f>IF($B239="","",IF($S239="Yes",1,0))</f>
        <v/>
      </c>
      <c r="AB239">
        <f>IF($X239=1,IFERROR(IF(VALUE($B239)&lt;100000000,VALUE($B239),1000000000),IFERROR(IF(VALUE(MID($B239,2,20))&lt;100000000,VALUE(MID($B239,2,20)),1000000000),1000000000))+ROW()/100000,"")</f>
        <v/>
      </c>
    </row>
    <row r="240">
      <c r="C240" s="11" t="n"/>
      <c r="J240" s="7">
        <f>IF($B240="","",I240*Q240/100)</f>
        <v/>
      </c>
      <c r="P240" s="7" t="n"/>
      <c r="Q240" s="7" t="n"/>
      <c r="T240">
        <f>IF($B240="","",IF($AA240=1,0,IF($Z240=1,Settings!$C$6,Settings!$C$7))*100)</f>
        <v/>
      </c>
      <c r="U240" s="7">
        <f>IF($B240="","",Q240*T240/100)</f>
        <v/>
      </c>
      <c r="V240" s="7">
        <f>IF($B240="","",Q240-U240)</f>
        <v/>
      </c>
      <c r="W240" s="7">
        <f>IF($B240="","",V240-J240)</f>
        <v/>
      </c>
      <c r="X240">
        <f>IF($B240="","",IF(COUNTIF($B$2:$B240,$B240)=1,1,0))</f>
        <v/>
      </c>
      <c r="Y240">
        <f>IF($X240=1,SUMPRODUCT(--($AB$2:$AB$301&lt;$AB240))+1,"")</f>
        <v/>
      </c>
      <c r="Z240">
        <f>IF($B240="","",IF(OR($M240=TRUE(),$M240="TRUE"),1,0))</f>
        <v/>
      </c>
      <c r="AA240">
        <f>IF($B240="","",IF($S240="Yes",1,0))</f>
        <v/>
      </c>
      <c r="AB240">
        <f>IF($X240=1,IFERROR(IF(VALUE($B240)&lt;100000000,VALUE($B240),1000000000),IFERROR(IF(VALUE(MID($B240,2,20))&lt;100000000,VALUE(MID($B240,2,20)),1000000000),1000000000))+ROW()/100000,"")</f>
        <v/>
      </c>
    </row>
    <row r="241">
      <c r="C241" s="11" t="n"/>
      <c r="J241" s="7">
        <f>IF($B241="","",I241*Q241/100)</f>
        <v/>
      </c>
      <c r="P241" s="7" t="n"/>
      <c r="Q241" s="7" t="n"/>
      <c r="T241">
        <f>IF($B241="","",IF($AA241=1,0,IF($Z241=1,Settings!$C$6,Settings!$C$7))*100)</f>
        <v/>
      </c>
      <c r="U241" s="7">
        <f>IF($B241="","",Q241*T241/100)</f>
        <v/>
      </c>
      <c r="V241" s="7">
        <f>IF($B241="","",Q241-U241)</f>
        <v/>
      </c>
      <c r="W241" s="7">
        <f>IF($B241="","",V241-J241)</f>
        <v/>
      </c>
      <c r="X241">
        <f>IF($B241="","",IF(COUNTIF($B$2:$B241,$B241)=1,1,0))</f>
        <v/>
      </c>
      <c r="Y241">
        <f>IF($X241=1,SUMPRODUCT(--($AB$2:$AB$301&lt;$AB241))+1,"")</f>
        <v/>
      </c>
      <c r="Z241">
        <f>IF($B241="","",IF(OR($M241=TRUE(),$M241="TRUE"),1,0))</f>
        <v/>
      </c>
      <c r="AA241">
        <f>IF($B241="","",IF($S241="Yes",1,0))</f>
        <v/>
      </c>
      <c r="AB241">
        <f>IF($X241=1,IFERROR(IF(VALUE($B241)&lt;100000000,VALUE($B241),1000000000),IFERROR(IF(VALUE(MID($B241,2,20))&lt;100000000,VALUE(MID($B241,2,20)),1000000000),1000000000))+ROW()/100000,"")</f>
        <v/>
      </c>
    </row>
    <row r="242">
      <c r="C242" s="11" t="n"/>
      <c r="J242" s="7">
        <f>IF($B242="","",I242*Q242/100)</f>
        <v/>
      </c>
      <c r="P242" s="7" t="n"/>
      <c r="Q242" s="7" t="n"/>
      <c r="T242">
        <f>IF($B242="","",IF($AA242=1,0,IF($Z242=1,Settings!$C$6,Settings!$C$7))*100)</f>
        <v/>
      </c>
      <c r="U242" s="7">
        <f>IF($B242="","",Q242*T242/100)</f>
        <v/>
      </c>
      <c r="V242" s="7">
        <f>IF($B242="","",Q242-U242)</f>
        <v/>
      </c>
      <c r="W242" s="7">
        <f>IF($B242="","",V242-J242)</f>
        <v/>
      </c>
      <c r="X242">
        <f>IF($B242="","",IF(COUNTIF($B$2:$B242,$B242)=1,1,0))</f>
        <v/>
      </c>
      <c r="Y242">
        <f>IF($X242=1,SUMPRODUCT(--($AB$2:$AB$301&lt;$AB242))+1,"")</f>
        <v/>
      </c>
      <c r="Z242">
        <f>IF($B242="","",IF(OR($M242=TRUE(),$M242="TRUE"),1,0))</f>
        <v/>
      </c>
      <c r="AA242">
        <f>IF($B242="","",IF($S242="Yes",1,0))</f>
        <v/>
      </c>
      <c r="AB242">
        <f>IF($X242=1,IFERROR(IF(VALUE($B242)&lt;100000000,VALUE($B242),1000000000),IFERROR(IF(VALUE(MID($B242,2,20))&lt;100000000,VALUE(MID($B242,2,20)),1000000000),1000000000))+ROW()/100000,"")</f>
        <v/>
      </c>
    </row>
    <row r="243">
      <c r="C243" s="11" t="n"/>
      <c r="J243" s="7">
        <f>IF($B243="","",I243*Q243/100)</f>
        <v/>
      </c>
      <c r="P243" s="7" t="n"/>
      <c r="Q243" s="7" t="n"/>
      <c r="T243">
        <f>IF($B243="","",IF($AA243=1,0,IF($Z243=1,Settings!$C$6,Settings!$C$7))*100)</f>
        <v/>
      </c>
      <c r="U243" s="7">
        <f>IF($B243="","",Q243*T243/100)</f>
        <v/>
      </c>
      <c r="V243" s="7">
        <f>IF($B243="","",Q243-U243)</f>
        <v/>
      </c>
      <c r="W243" s="7">
        <f>IF($B243="","",V243-J243)</f>
        <v/>
      </c>
      <c r="X243">
        <f>IF($B243="","",IF(COUNTIF($B$2:$B243,$B243)=1,1,0))</f>
        <v/>
      </c>
      <c r="Y243">
        <f>IF($X243=1,SUMPRODUCT(--($AB$2:$AB$301&lt;$AB243))+1,"")</f>
        <v/>
      </c>
      <c r="Z243">
        <f>IF($B243="","",IF(OR($M243=TRUE(),$M243="TRUE"),1,0))</f>
        <v/>
      </c>
      <c r="AA243">
        <f>IF($B243="","",IF($S243="Yes",1,0))</f>
        <v/>
      </c>
      <c r="AB243">
        <f>IF($X243=1,IFERROR(IF(VALUE($B243)&lt;100000000,VALUE($B243),1000000000),IFERROR(IF(VALUE(MID($B243,2,20))&lt;100000000,VALUE(MID($B243,2,20)),1000000000),1000000000))+ROW()/100000,"")</f>
        <v/>
      </c>
    </row>
    <row r="244">
      <c r="C244" s="11" t="n"/>
      <c r="J244" s="7">
        <f>IF($B244="","",I244*Q244/100)</f>
        <v/>
      </c>
      <c r="P244" s="7" t="n"/>
      <c r="Q244" s="7" t="n"/>
      <c r="T244">
        <f>IF($B244="","",IF($AA244=1,0,IF($Z244=1,Settings!$C$6,Settings!$C$7))*100)</f>
        <v/>
      </c>
      <c r="U244" s="7">
        <f>IF($B244="","",Q244*T244/100)</f>
        <v/>
      </c>
      <c r="V244" s="7">
        <f>IF($B244="","",Q244-U244)</f>
        <v/>
      </c>
      <c r="W244" s="7">
        <f>IF($B244="","",V244-J244)</f>
        <v/>
      </c>
      <c r="X244">
        <f>IF($B244="","",IF(COUNTIF($B$2:$B244,$B244)=1,1,0))</f>
        <v/>
      </c>
      <c r="Y244">
        <f>IF($X244=1,SUMPRODUCT(--($AB$2:$AB$301&lt;$AB244))+1,"")</f>
        <v/>
      </c>
      <c r="Z244">
        <f>IF($B244="","",IF(OR($M244=TRUE(),$M244="TRUE"),1,0))</f>
        <v/>
      </c>
      <c r="AA244">
        <f>IF($B244="","",IF($S244="Yes",1,0))</f>
        <v/>
      </c>
      <c r="AB244">
        <f>IF($X244=1,IFERROR(IF(VALUE($B244)&lt;100000000,VALUE($B244),1000000000),IFERROR(IF(VALUE(MID($B244,2,20))&lt;100000000,VALUE(MID($B244,2,20)),1000000000),1000000000))+ROW()/100000,"")</f>
        <v/>
      </c>
    </row>
    <row r="245">
      <c r="C245" s="11" t="n"/>
      <c r="J245" s="7">
        <f>IF($B245="","",I245*Q245/100)</f>
        <v/>
      </c>
      <c r="P245" s="7" t="n"/>
      <c r="Q245" s="7" t="n"/>
      <c r="T245">
        <f>IF($B245="","",IF($AA245=1,0,IF($Z245=1,Settings!$C$6,Settings!$C$7))*100)</f>
        <v/>
      </c>
      <c r="U245" s="7">
        <f>IF($B245="","",Q245*T245/100)</f>
        <v/>
      </c>
      <c r="V245" s="7">
        <f>IF($B245="","",Q245-U245)</f>
        <v/>
      </c>
      <c r="W245" s="7">
        <f>IF($B245="","",V245-J245)</f>
        <v/>
      </c>
      <c r="X245">
        <f>IF($B245="","",IF(COUNTIF($B$2:$B245,$B245)=1,1,0))</f>
        <v/>
      </c>
      <c r="Y245">
        <f>IF($X245=1,SUMPRODUCT(--($AB$2:$AB$301&lt;$AB245))+1,"")</f>
        <v/>
      </c>
      <c r="Z245">
        <f>IF($B245="","",IF(OR($M245=TRUE(),$M245="TRUE"),1,0))</f>
        <v/>
      </c>
      <c r="AA245">
        <f>IF($B245="","",IF($S245="Yes",1,0))</f>
        <v/>
      </c>
      <c r="AB245">
        <f>IF($X245=1,IFERROR(IF(VALUE($B245)&lt;100000000,VALUE($B245),1000000000),IFERROR(IF(VALUE(MID($B245,2,20))&lt;100000000,VALUE(MID($B245,2,20)),1000000000),1000000000))+ROW()/100000,"")</f>
        <v/>
      </c>
    </row>
    <row r="246">
      <c r="C246" s="11" t="n"/>
      <c r="J246" s="7">
        <f>IF($B246="","",I246*Q246/100)</f>
        <v/>
      </c>
      <c r="P246" s="7" t="n"/>
      <c r="Q246" s="7" t="n"/>
      <c r="T246">
        <f>IF($B246="","",IF($AA246=1,0,IF($Z246=1,Settings!$C$6,Settings!$C$7))*100)</f>
        <v/>
      </c>
      <c r="U246" s="7">
        <f>IF($B246="","",Q246*T246/100)</f>
        <v/>
      </c>
      <c r="V246" s="7">
        <f>IF($B246="","",Q246-U246)</f>
        <v/>
      </c>
      <c r="W246" s="7">
        <f>IF($B246="","",V246-J246)</f>
        <v/>
      </c>
      <c r="X246">
        <f>IF($B246="","",IF(COUNTIF($B$2:$B246,$B246)=1,1,0))</f>
        <v/>
      </c>
      <c r="Y246">
        <f>IF($X246=1,SUMPRODUCT(--($AB$2:$AB$301&lt;$AB246))+1,"")</f>
        <v/>
      </c>
      <c r="Z246">
        <f>IF($B246="","",IF(OR($M246=TRUE(),$M246="TRUE"),1,0))</f>
        <v/>
      </c>
      <c r="AA246">
        <f>IF($B246="","",IF($S246="Yes",1,0))</f>
        <v/>
      </c>
      <c r="AB246">
        <f>IF($X246=1,IFERROR(IF(VALUE($B246)&lt;100000000,VALUE($B246),1000000000),IFERROR(IF(VALUE(MID($B246,2,20))&lt;100000000,VALUE(MID($B246,2,20)),1000000000),1000000000))+ROW()/100000,"")</f>
        <v/>
      </c>
    </row>
    <row r="247">
      <c r="C247" s="11" t="n"/>
      <c r="J247" s="7">
        <f>IF($B247="","",I247*Q247/100)</f>
        <v/>
      </c>
      <c r="P247" s="7" t="n"/>
      <c r="Q247" s="7" t="n"/>
      <c r="T247">
        <f>IF($B247="","",IF($AA247=1,0,IF($Z247=1,Settings!$C$6,Settings!$C$7))*100)</f>
        <v/>
      </c>
      <c r="U247" s="7">
        <f>IF($B247="","",Q247*T247/100)</f>
        <v/>
      </c>
      <c r="V247" s="7">
        <f>IF($B247="","",Q247-U247)</f>
        <v/>
      </c>
      <c r="W247" s="7">
        <f>IF($B247="","",V247-J247)</f>
        <v/>
      </c>
      <c r="X247">
        <f>IF($B247="","",IF(COUNTIF($B$2:$B247,$B247)=1,1,0))</f>
        <v/>
      </c>
      <c r="Y247">
        <f>IF($X247=1,SUMPRODUCT(--($AB$2:$AB$301&lt;$AB247))+1,"")</f>
        <v/>
      </c>
      <c r="Z247">
        <f>IF($B247="","",IF(OR($M247=TRUE(),$M247="TRUE"),1,0))</f>
        <v/>
      </c>
      <c r="AA247">
        <f>IF($B247="","",IF($S247="Yes",1,0))</f>
        <v/>
      </c>
      <c r="AB247">
        <f>IF($X247=1,IFERROR(IF(VALUE($B247)&lt;100000000,VALUE($B247),1000000000),IFERROR(IF(VALUE(MID($B247,2,20))&lt;100000000,VALUE(MID($B247,2,20)),1000000000),1000000000))+ROW()/100000,"")</f>
        <v/>
      </c>
    </row>
    <row r="248">
      <c r="C248" s="11" t="n"/>
      <c r="J248" s="7">
        <f>IF($B248="","",I248*Q248/100)</f>
        <v/>
      </c>
      <c r="P248" s="7" t="n"/>
      <c r="Q248" s="7" t="n"/>
      <c r="T248">
        <f>IF($B248="","",IF($AA248=1,0,IF($Z248=1,Settings!$C$6,Settings!$C$7))*100)</f>
        <v/>
      </c>
      <c r="U248" s="7">
        <f>IF($B248="","",Q248*T248/100)</f>
        <v/>
      </c>
      <c r="V248" s="7">
        <f>IF($B248="","",Q248-U248)</f>
        <v/>
      </c>
      <c r="W248" s="7">
        <f>IF($B248="","",V248-J248)</f>
        <v/>
      </c>
      <c r="X248">
        <f>IF($B248="","",IF(COUNTIF($B$2:$B248,$B248)=1,1,0))</f>
        <v/>
      </c>
      <c r="Y248">
        <f>IF($X248=1,SUMPRODUCT(--($AB$2:$AB$301&lt;$AB248))+1,"")</f>
        <v/>
      </c>
      <c r="Z248">
        <f>IF($B248="","",IF(OR($M248=TRUE(),$M248="TRUE"),1,0))</f>
        <v/>
      </c>
      <c r="AA248">
        <f>IF($B248="","",IF($S248="Yes",1,0))</f>
        <v/>
      </c>
      <c r="AB248">
        <f>IF($X248=1,IFERROR(IF(VALUE($B248)&lt;100000000,VALUE($B248),1000000000),IFERROR(IF(VALUE(MID($B248,2,20))&lt;100000000,VALUE(MID($B248,2,20)),1000000000),1000000000))+ROW()/100000,"")</f>
        <v/>
      </c>
    </row>
    <row r="249">
      <c r="C249" s="11" t="n"/>
      <c r="J249" s="7">
        <f>IF($B249="","",I249*Q249/100)</f>
        <v/>
      </c>
      <c r="P249" s="7" t="n"/>
      <c r="Q249" s="7" t="n"/>
      <c r="T249">
        <f>IF($B249="","",IF($AA249=1,0,IF($Z249=1,Settings!$C$6,Settings!$C$7))*100)</f>
        <v/>
      </c>
      <c r="U249" s="7">
        <f>IF($B249="","",Q249*T249/100)</f>
        <v/>
      </c>
      <c r="V249" s="7">
        <f>IF($B249="","",Q249-U249)</f>
        <v/>
      </c>
      <c r="W249" s="7">
        <f>IF($B249="","",V249-J249)</f>
        <v/>
      </c>
      <c r="X249">
        <f>IF($B249="","",IF(COUNTIF($B$2:$B249,$B249)=1,1,0))</f>
        <v/>
      </c>
      <c r="Y249">
        <f>IF($X249=1,SUMPRODUCT(--($AB$2:$AB$301&lt;$AB249))+1,"")</f>
        <v/>
      </c>
      <c r="Z249">
        <f>IF($B249="","",IF(OR($M249=TRUE(),$M249="TRUE"),1,0))</f>
        <v/>
      </c>
      <c r="AA249">
        <f>IF($B249="","",IF($S249="Yes",1,0))</f>
        <v/>
      </c>
      <c r="AB249">
        <f>IF($X249=1,IFERROR(IF(VALUE($B249)&lt;100000000,VALUE($B249),1000000000),IFERROR(IF(VALUE(MID($B249,2,20))&lt;100000000,VALUE(MID($B249,2,20)),1000000000),1000000000))+ROW()/100000,"")</f>
        <v/>
      </c>
    </row>
    <row r="250">
      <c r="C250" s="11" t="n"/>
      <c r="J250" s="7">
        <f>IF($B250="","",I250*Q250/100)</f>
        <v/>
      </c>
      <c r="P250" s="7" t="n"/>
      <c r="Q250" s="7" t="n"/>
      <c r="T250">
        <f>IF($B250="","",IF($AA250=1,0,IF($Z250=1,Settings!$C$6,Settings!$C$7))*100)</f>
        <v/>
      </c>
      <c r="U250" s="7">
        <f>IF($B250="","",Q250*T250/100)</f>
        <v/>
      </c>
      <c r="V250" s="7">
        <f>IF($B250="","",Q250-U250)</f>
        <v/>
      </c>
      <c r="W250" s="7">
        <f>IF($B250="","",V250-J250)</f>
        <v/>
      </c>
      <c r="X250">
        <f>IF($B250="","",IF(COUNTIF($B$2:$B250,$B250)=1,1,0))</f>
        <v/>
      </c>
      <c r="Y250">
        <f>IF($X250=1,SUMPRODUCT(--($AB$2:$AB$301&lt;$AB250))+1,"")</f>
        <v/>
      </c>
      <c r="Z250">
        <f>IF($B250="","",IF(OR($M250=TRUE(),$M250="TRUE"),1,0))</f>
        <v/>
      </c>
      <c r="AA250">
        <f>IF($B250="","",IF($S250="Yes",1,0))</f>
        <v/>
      </c>
      <c r="AB250">
        <f>IF($X250=1,IFERROR(IF(VALUE($B250)&lt;100000000,VALUE($B250),1000000000),IFERROR(IF(VALUE(MID($B250,2,20))&lt;100000000,VALUE(MID($B250,2,20)),1000000000),1000000000))+ROW()/100000,"")</f>
        <v/>
      </c>
    </row>
    <row r="251">
      <c r="C251" s="11" t="n"/>
      <c r="J251" s="7">
        <f>IF($B251="","",I251*Q251/100)</f>
        <v/>
      </c>
      <c r="P251" s="7" t="n"/>
      <c r="Q251" s="7" t="n"/>
      <c r="T251">
        <f>IF($B251="","",IF($AA251=1,0,IF($Z251=1,Settings!$C$6,Settings!$C$7))*100)</f>
        <v/>
      </c>
      <c r="U251" s="7">
        <f>IF($B251="","",Q251*T251/100)</f>
        <v/>
      </c>
      <c r="V251" s="7">
        <f>IF($B251="","",Q251-U251)</f>
        <v/>
      </c>
      <c r="W251" s="7">
        <f>IF($B251="","",V251-J251)</f>
        <v/>
      </c>
      <c r="X251">
        <f>IF($B251="","",IF(COUNTIF($B$2:$B251,$B251)=1,1,0))</f>
        <v/>
      </c>
      <c r="Y251">
        <f>IF($X251=1,SUMPRODUCT(--($AB$2:$AB$301&lt;$AB251))+1,"")</f>
        <v/>
      </c>
      <c r="Z251">
        <f>IF($B251="","",IF(OR($M251=TRUE(),$M251="TRUE"),1,0))</f>
        <v/>
      </c>
      <c r="AA251">
        <f>IF($B251="","",IF($S251="Yes",1,0))</f>
        <v/>
      </c>
      <c r="AB251">
        <f>IF($X251=1,IFERROR(IF(VALUE($B251)&lt;100000000,VALUE($B251),1000000000),IFERROR(IF(VALUE(MID($B251,2,20))&lt;100000000,VALUE(MID($B251,2,20)),1000000000),1000000000))+ROW()/100000,"")</f>
        <v/>
      </c>
    </row>
    <row r="252">
      <c r="C252" s="11" t="n"/>
      <c r="J252" s="7">
        <f>IF($B252="","",I252*Q252/100)</f>
        <v/>
      </c>
      <c r="P252" s="7" t="n"/>
      <c r="Q252" s="7" t="n"/>
      <c r="T252">
        <f>IF($B252="","",IF($AA252=1,0,IF($Z252=1,Settings!$C$6,Settings!$C$7))*100)</f>
        <v/>
      </c>
      <c r="U252" s="7">
        <f>IF($B252="","",Q252*T252/100)</f>
        <v/>
      </c>
      <c r="V252" s="7">
        <f>IF($B252="","",Q252-U252)</f>
        <v/>
      </c>
      <c r="W252" s="7">
        <f>IF($B252="","",V252-J252)</f>
        <v/>
      </c>
      <c r="X252">
        <f>IF($B252="","",IF(COUNTIF($B$2:$B252,$B252)=1,1,0))</f>
        <v/>
      </c>
      <c r="Y252">
        <f>IF($X252=1,SUMPRODUCT(--($AB$2:$AB$301&lt;$AB252))+1,"")</f>
        <v/>
      </c>
      <c r="Z252">
        <f>IF($B252="","",IF(OR($M252=TRUE(),$M252="TRUE"),1,0))</f>
        <v/>
      </c>
      <c r="AA252">
        <f>IF($B252="","",IF($S252="Yes",1,0))</f>
        <v/>
      </c>
      <c r="AB252">
        <f>IF($X252=1,IFERROR(IF(VALUE($B252)&lt;100000000,VALUE($B252),1000000000),IFERROR(IF(VALUE(MID($B252,2,20))&lt;100000000,VALUE(MID($B252,2,20)),1000000000),1000000000))+ROW()/100000,"")</f>
        <v/>
      </c>
    </row>
    <row r="253">
      <c r="C253" s="11" t="n"/>
      <c r="J253" s="7">
        <f>IF($B253="","",I253*Q253/100)</f>
        <v/>
      </c>
      <c r="P253" s="7" t="n"/>
      <c r="Q253" s="7" t="n"/>
      <c r="T253">
        <f>IF($B253="","",IF($AA253=1,0,IF($Z253=1,Settings!$C$6,Settings!$C$7))*100)</f>
        <v/>
      </c>
      <c r="U253" s="7">
        <f>IF($B253="","",Q253*T253/100)</f>
        <v/>
      </c>
      <c r="V253" s="7">
        <f>IF($B253="","",Q253-U253)</f>
        <v/>
      </c>
      <c r="W253" s="7">
        <f>IF($B253="","",V253-J253)</f>
        <v/>
      </c>
      <c r="X253">
        <f>IF($B253="","",IF(COUNTIF($B$2:$B253,$B253)=1,1,0))</f>
        <v/>
      </c>
      <c r="Y253">
        <f>IF($X253=1,SUMPRODUCT(--($AB$2:$AB$301&lt;$AB253))+1,"")</f>
        <v/>
      </c>
      <c r="Z253">
        <f>IF($B253="","",IF(OR($M253=TRUE(),$M253="TRUE"),1,0))</f>
        <v/>
      </c>
      <c r="AA253">
        <f>IF($B253="","",IF($S253="Yes",1,0))</f>
        <v/>
      </c>
      <c r="AB253">
        <f>IF($X253=1,IFERROR(IF(VALUE($B253)&lt;100000000,VALUE($B253),1000000000),IFERROR(IF(VALUE(MID($B253,2,20))&lt;100000000,VALUE(MID($B253,2,20)),1000000000),1000000000))+ROW()/100000,"")</f>
        <v/>
      </c>
    </row>
    <row r="254">
      <c r="C254" s="11" t="n"/>
      <c r="J254" s="7">
        <f>IF($B254="","",I254*Q254/100)</f>
        <v/>
      </c>
      <c r="P254" s="7" t="n"/>
      <c r="Q254" s="7" t="n"/>
      <c r="T254">
        <f>IF($B254="","",IF($AA254=1,0,IF($Z254=1,Settings!$C$6,Settings!$C$7))*100)</f>
        <v/>
      </c>
      <c r="U254" s="7">
        <f>IF($B254="","",Q254*T254/100)</f>
        <v/>
      </c>
      <c r="V254" s="7">
        <f>IF($B254="","",Q254-U254)</f>
        <v/>
      </c>
      <c r="W254" s="7">
        <f>IF($B254="","",V254-J254)</f>
        <v/>
      </c>
      <c r="X254">
        <f>IF($B254="","",IF(COUNTIF($B$2:$B254,$B254)=1,1,0))</f>
        <v/>
      </c>
      <c r="Y254">
        <f>IF($X254=1,SUMPRODUCT(--($AB$2:$AB$301&lt;$AB254))+1,"")</f>
        <v/>
      </c>
      <c r="Z254">
        <f>IF($B254="","",IF(OR($M254=TRUE(),$M254="TRUE"),1,0))</f>
        <v/>
      </c>
      <c r="AA254">
        <f>IF($B254="","",IF($S254="Yes",1,0))</f>
        <v/>
      </c>
      <c r="AB254">
        <f>IF($X254=1,IFERROR(IF(VALUE($B254)&lt;100000000,VALUE($B254),1000000000),IFERROR(IF(VALUE(MID($B254,2,20))&lt;100000000,VALUE(MID($B254,2,20)),1000000000),1000000000))+ROW()/100000,"")</f>
        <v/>
      </c>
    </row>
    <row r="255">
      <c r="C255" s="11" t="n"/>
      <c r="J255" s="7">
        <f>IF($B255="","",I255*Q255/100)</f>
        <v/>
      </c>
      <c r="P255" s="7" t="n"/>
      <c r="Q255" s="7" t="n"/>
      <c r="T255">
        <f>IF($B255="","",IF($AA255=1,0,IF($Z255=1,Settings!$C$6,Settings!$C$7))*100)</f>
        <v/>
      </c>
      <c r="U255" s="7">
        <f>IF($B255="","",Q255*T255/100)</f>
        <v/>
      </c>
      <c r="V255" s="7">
        <f>IF($B255="","",Q255-U255)</f>
        <v/>
      </c>
      <c r="W255" s="7">
        <f>IF($B255="","",V255-J255)</f>
        <v/>
      </c>
      <c r="X255">
        <f>IF($B255="","",IF(COUNTIF($B$2:$B255,$B255)=1,1,0))</f>
        <v/>
      </c>
      <c r="Y255">
        <f>IF($X255=1,SUMPRODUCT(--($AB$2:$AB$301&lt;$AB255))+1,"")</f>
        <v/>
      </c>
      <c r="Z255">
        <f>IF($B255="","",IF(OR($M255=TRUE(),$M255="TRUE"),1,0))</f>
        <v/>
      </c>
      <c r="AA255">
        <f>IF($B255="","",IF($S255="Yes",1,0))</f>
        <v/>
      </c>
      <c r="AB255">
        <f>IF($X255=1,IFERROR(IF(VALUE($B255)&lt;100000000,VALUE($B255),1000000000),IFERROR(IF(VALUE(MID($B255,2,20))&lt;100000000,VALUE(MID($B255,2,20)),1000000000),1000000000))+ROW()/100000,"")</f>
        <v/>
      </c>
    </row>
    <row r="256">
      <c r="C256" s="11" t="n"/>
      <c r="J256" s="7">
        <f>IF($B256="","",I256*Q256/100)</f>
        <v/>
      </c>
      <c r="P256" s="7" t="n"/>
      <c r="Q256" s="7" t="n"/>
      <c r="T256">
        <f>IF($B256="","",IF($AA256=1,0,IF($Z256=1,Settings!$C$6,Settings!$C$7))*100)</f>
        <v/>
      </c>
      <c r="U256" s="7">
        <f>IF($B256="","",Q256*T256/100)</f>
        <v/>
      </c>
      <c r="V256" s="7">
        <f>IF($B256="","",Q256-U256)</f>
        <v/>
      </c>
      <c r="W256" s="7">
        <f>IF($B256="","",V256-J256)</f>
        <v/>
      </c>
      <c r="X256">
        <f>IF($B256="","",IF(COUNTIF($B$2:$B256,$B256)=1,1,0))</f>
        <v/>
      </c>
      <c r="Y256">
        <f>IF($X256=1,SUMPRODUCT(--($AB$2:$AB$301&lt;$AB256))+1,"")</f>
        <v/>
      </c>
      <c r="Z256">
        <f>IF($B256="","",IF(OR($M256=TRUE(),$M256="TRUE"),1,0))</f>
        <v/>
      </c>
      <c r="AA256">
        <f>IF($B256="","",IF($S256="Yes",1,0))</f>
        <v/>
      </c>
      <c r="AB256">
        <f>IF($X256=1,IFERROR(IF(VALUE($B256)&lt;100000000,VALUE($B256),1000000000),IFERROR(IF(VALUE(MID($B256,2,20))&lt;100000000,VALUE(MID($B256,2,20)),1000000000),1000000000))+ROW()/100000,"")</f>
        <v/>
      </c>
    </row>
    <row r="257">
      <c r="C257" s="11" t="n"/>
      <c r="J257" s="7">
        <f>IF($B257="","",I257*Q257/100)</f>
        <v/>
      </c>
      <c r="P257" s="7" t="n"/>
      <c r="Q257" s="7" t="n"/>
      <c r="T257">
        <f>IF($B257="","",IF($AA257=1,0,IF($Z257=1,Settings!$C$6,Settings!$C$7))*100)</f>
        <v/>
      </c>
      <c r="U257" s="7">
        <f>IF($B257="","",Q257*T257/100)</f>
        <v/>
      </c>
      <c r="V257" s="7">
        <f>IF($B257="","",Q257-U257)</f>
        <v/>
      </c>
      <c r="W257" s="7">
        <f>IF($B257="","",V257-J257)</f>
        <v/>
      </c>
      <c r="X257">
        <f>IF($B257="","",IF(COUNTIF($B$2:$B257,$B257)=1,1,0))</f>
        <v/>
      </c>
      <c r="Y257">
        <f>IF($X257=1,SUMPRODUCT(--($AB$2:$AB$301&lt;$AB257))+1,"")</f>
        <v/>
      </c>
      <c r="Z257">
        <f>IF($B257="","",IF(OR($M257=TRUE(),$M257="TRUE"),1,0))</f>
        <v/>
      </c>
      <c r="AA257">
        <f>IF($B257="","",IF($S257="Yes",1,0))</f>
        <v/>
      </c>
      <c r="AB257">
        <f>IF($X257=1,IFERROR(IF(VALUE($B257)&lt;100000000,VALUE($B257),1000000000),IFERROR(IF(VALUE(MID($B257,2,20))&lt;100000000,VALUE(MID($B257,2,20)),1000000000),1000000000))+ROW()/100000,"")</f>
        <v/>
      </c>
    </row>
    <row r="258">
      <c r="C258" s="11" t="n"/>
      <c r="J258" s="7">
        <f>IF($B258="","",I258*Q258/100)</f>
        <v/>
      </c>
      <c r="P258" s="7" t="n"/>
      <c r="Q258" s="7" t="n"/>
      <c r="T258">
        <f>IF($B258="","",IF($AA258=1,0,IF($Z258=1,Settings!$C$6,Settings!$C$7))*100)</f>
        <v/>
      </c>
      <c r="U258" s="7">
        <f>IF($B258="","",Q258*T258/100)</f>
        <v/>
      </c>
      <c r="V258" s="7">
        <f>IF($B258="","",Q258-U258)</f>
        <v/>
      </c>
      <c r="W258" s="7">
        <f>IF($B258="","",V258-J258)</f>
        <v/>
      </c>
      <c r="X258">
        <f>IF($B258="","",IF(COUNTIF($B$2:$B258,$B258)=1,1,0))</f>
        <v/>
      </c>
      <c r="Y258">
        <f>IF($X258=1,SUMPRODUCT(--($AB$2:$AB$301&lt;$AB258))+1,"")</f>
        <v/>
      </c>
      <c r="Z258">
        <f>IF($B258="","",IF(OR($M258=TRUE(),$M258="TRUE"),1,0))</f>
        <v/>
      </c>
      <c r="AA258">
        <f>IF($B258="","",IF($S258="Yes",1,0))</f>
        <v/>
      </c>
      <c r="AB258">
        <f>IF($X258=1,IFERROR(IF(VALUE($B258)&lt;100000000,VALUE($B258),1000000000),IFERROR(IF(VALUE(MID($B258,2,20))&lt;100000000,VALUE(MID($B258,2,20)),1000000000),1000000000))+ROW()/100000,"")</f>
        <v/>
      </c>
    </row>
    <row r="259">
      <c r="C259" s="11" t="n"/>
      <c r="J259" s="7">
        <f>IF($B259="","",I259*Q259/100)</f>
        <v/>
      </c>
      <c r="P259" s="7" t="n"/>
      <c r="Q259" s="7" t="n"/>
      <c r="T259">
        <f>IF($B259="","",IF($AA259=1,0,IF($Z259=1,Settings!$C$6,Settings!$C$7))*100)</f>
        <v/>
      </c>
      <c r="U259" s="7">
        <f>IF($B259="","",Q259*T259/100)</f>
        <v/>
      </c>
      <c r="V259" s="7">
        <f>IF($B259="","",Q259-U259)</f>
        <v/>
      </c>
      <c r="W259" s="7">
        <f>IF($B259="","",V259-J259)</f>
        <v/>
      </c>
      <c r="X259">
        <f>IF($B259="","",IF(COUNTIF($B$2:$B259,$B259)=1,1,0))</f>
        <v/>
      </c>
      <c r="Y259">
        <f>IF($X259=1,SUMPRODUCT(--($AB$2:$AB$301&lt;$AB259))+1,"")</f>
        <v/>
      </c>
      <c r="Z259">
        <f>IF($B259="","",IF(OR($M259=TRUE(),$M259="TRUE"),1,0))</f>
        <v/>
      </c>
      <c r="AA259">
        <f>IF($B259="","",IF($S259="Yes",1,0))</f>
        <v/>
      </c>
      <c r="AB259">
        <f>IF($X259=1,IFERROR(IF(VALUE($B259)&lt;100000000,VALUE($B259),1000000000),IFERROR(IF(VALUE(MID($B259,2,20))&lt;100000000,VALUE(MID($B259,2,20)),1000000000),1000000000))+ROW()/100000,"")</f>
        <v/>
      </c>
    </row>
    <row r="260">
      <c r="C260" s="11" t="n"/>
      <c r="J260" s="7">
        <f>IF($B260="","",I260*Q260/100)</f>
        <v/>
      </c>
      <c r="P260" s="7" t="n"/>
      <c r="Q260" s="7" t="n"/>
      <c r="T260">
        <f>IF($B260="","",IF($AA260=1,0,IF($Z260=1,Settings!$C$6,Settings!$C$7))*100)</f>
        <v/>
      </c>
      <c r="U260" s="7">
        <f>IF($B260="","",Q260*T260/100)</f>
        <v/>
      </c>
      <c r="V260" s="7">
        <f>IF($B260="","",Q260-U260)</f>
        <v/>
      </c>
      <c r="W260" s="7">
        <f>IF($B260="","",V260-J260)</f>
        <v/>
      </c>
      <c r="X260">
        <f>IF($B260="","",IF(COUNTIF($B$2:$B260,$B260)=1,1,0))</f>
        <v/>
      </c>
      <c r="Y260">
        <f>IF($X260=1,SUMPRODUCT(--($AB$2:$AB$301&lt;$AB260))+1,"")</f>
        <v/>
      </c>
      <c r="Z260">
        <f>IF($B260="","",IF(OR($M260=TRUE(),$M260="TRUE"),1,0))</f>
        <v/>
      </c>
      <c r="AA260">
        <f>IF($B260="","",IF($S260="Yes",1,0))</f>
        <v/>
      </c>
      <c r="AB260">
        <f>IF($X260=1,IFERROR(IF(VALUE($B260)&lt;100000000,VALUE($B260),1000000000),IFERROR(IF(VALUE(MID($B260,2,20))&lt;100000000,VALUE(MID($B260,2,20)),1000000000),1000000000))+ROW()/100000,"")</f>
        <v/>
      </c>
    </row>
    <row r="261">
      <c r="C261" s="11" t="n"/>
      <c r="J261" s="7">
        <f>IF($B261="","",I261*Q261/100)</f>
        <v/>
      </c>
      <c r="P261" s="7" t="n"/>
      <c r="Q261" s="7" t="n"/>
      <c r="T261">
        <f>IF($B261="","",IF($AA261=1,0,IF($Z261=1,Settings!$C$6,Settings!$C$7))*100)</f>
        <v/>
      </c>
      <c r="U261" s="7">
        <f>IF($B261="","",Q261*T261/100)</f>
        <v/>
      </c>
      <c r="V261" s="7">
        <f>IF($B261="","",Q261-U261)</f>
        <v/>
      </c>
      <c r="W261" s="7">
        <f>IF($B261="","",V261-J261)</f>
        <v/>
      </c>
      <c r="X261">
        <f>IF($B261="","",IF(COUNTIF($B$2:$B261,$B261)=1,1,0))</f>
        <v/>
      </c>
      <c r="Y261">
        <f>IF($X261=1,SUMPRODUCT(--($AB$2:$AB$301&lt;$AB261))+1,"")</f>
        <v/>
      </c>
      <c r="Z261">
        <f>IF($B261="","",IF(OR($M261=TRUE(),$M261="TRUE"),1,0))</f>
        <v/>
      </c>
      <c r="AA261">
        <f>IF($B261="","",IF($S261="Yes",1,0))</f>
        <v/>
      </c>
      <c r="AB261">
        <f>IF($X261=1,IFERROR(IF(VALUE($B261)&lt;100000000,VALUE($B261),1000000000),IFERROR(IF(VALUE(MID($B261,2,20))&lt;100000000,VALUE(MID($B261,2,20)),1000000000),1000000000))+ROW()/100000,"")</f>
        <v/>
      </c>
    </row>
    <row r="262">
      <c r="C262" s="11" t="n"/>
      <c r="J262" s="7">
        <f>IF($B262="","",I262*Q262/100)</f>
        <v/>
      </c>
      <c r="P262" s="7" t="n"/>
      <c r="Q262" s="7" t="n"/>
      <c r="T262">
        <f>IF($B262="","",IF($AA262=1,0,IF($Z262=1,Settings!$C$6,Settings!$C$7))*100)</f>
        <v/>
      </c>
      <c r="U262" s="7">
        <f>IF($B262="","",Q262*T262/100)</f>
        <v/>
      </c>
      <c r="V262" s="7">
        <f>IF($B262="","",Q262-U262)</f>
        <v/>
      </c>
      <c r="W262" s="7">
        <f>IF($B262="","",V262-J262)</f>
        <v/>
      </c>
      <c r="X262">
        <f>IF($B262="","",IF(COUNTIF($B$2:$B262,$B262)=1,1,0))</f>
        <v/>
      </c>
      <c r="Y262">
        <f>IF($X262=1,SUMPRODUCT(--($AB$2:$AB$301&lt;$AB262))+1,"")</f>
        <v/>
      </c>
      <c r="Z262">
        <f>IF($B262="","",IF(OR($M262=TRUE(),$M262="TRUE"),1,0))</f>
        <v/>
      </c>
      <c r="AA262">
        <f>IF($B262="","",IF($S262="Yes",1,0))</f>
        <v/>
      </c>
      <c r="AB262">
        <f>IF($X262=1,IFERROR(IF(VALUE($B262)&lt;100000000,VALUE($B262),1000000000),IFERROR(IF(VALUE(MID($B262,2,20))&lt;100000000,VALUE(MID($B262,2,20)),1000000000),1000000000))+ROW()/100000,"")</f>
        <v/>
      </c>
    </row>
    <row r="263">
      <c r="C263" s="11" t="n"/>
      <c r="J263" s="7">
        <f>IF($B263="","",I263*Q263/100)</f>
        <v/>
      </c>
      <c r="P263" s="7" t="n"/>
      <c r="Q263" s="7" t="n"/>
      <c r="T263">
        <f>IF($B263="","",IF($AA263=1,0,IF($Z263=1,Settings!$C$6,Settings!$C$7))*100)</f>
        <v/>
      </c>
      <c r="U263" s="7">
        <f>IF($B263="","",Q263*T263/100)</f>
        <v/>
      </c>
      <c r="V263" s="7">
        <f>IF($B263="","",Q263-U263)</f>
        <v/>
      </c>
      <c r="W263" s="7">
        <f>IF($B263="","",V263-J263)</f>
        <v/>
      </c>
      <c r="X263">
        <f>IF($B263="","",IF(COUNTIF($B$2:$B263,$B263)=1,1,0))</f>
        <v/>
      </c>
      <c r="Y263">
        <f>IF($X263=1,SUMPRODUCT(--($AB$2:$AB$301&lt;$AB263))+1,"")</f>
        <v/>
      </c>
      <c r="Z263">
        <f>IF($B263="","",IF(OR($M263=TRUE(),$M263="TRUE"),1,0))</f>
        <v/>
      </c>
      <c r="AA263">
        <f>IF($B263="","",IF($S263="Yes",1,0))</f>
        <v/>
      </c>
      <c r="AB263">
        <f>IF($X263=1,IFERROR(IF(VALUE($B263)&lt;100000000,VALUE($B263),1000000000),IFERROR(IF(VALUE(MID($B263,2,20))&lt;100000000,VALUE(MID($B263,2,20)),1000000000),1000000000))+ROW()/100000,"")</f>
        <v/>
      </c>
    </row>
    <row r="264">
      <c r="C264" s="11" t="n"/>
      <c r="J264" s="7">
        <f>IF($B264="","",I264*Q264/100)</f>
        <v/>
      </c>
      <c r="P264" s="7" t="n"/>
      <c r="Q264" s="7" t="n"/>
      <c r="T264">
        <f>IF($B264="","",IF($AA264=1,0,IF($Z264=1,Settings!$C$6,Settings!$C$7))*100)</f>
        <v/>
      </c>
      <c r="U264" s="7">
        <f>IF($B264="","",Q264*T264/100)</f>
        <v/>
      </c>
      <c r="V264" s="7">
        <f>IF($B264="","",Q264-U264)</f>
        <v/>
      </c>
      <c r="W264" s="7">
        <f>IF($B264="","",V264-J264)</f>
        <v/>
      </c>
      <c r="X264">
        <f>IF($B264="","",IF(COUNTIF($B$2:$B264,$B264)=1,1,0))</f>
        <v/>
      </c>
      <c r="Y264">
        <f>IF($X264=1,SUMPRODUCT(--($AB$2:$AB$301&lt;$AB264))+1,"")</f>
        <v/>
      </c>
      <c r="Z264">
        <f>IF($B264="","",IF(OR($M264=TRUE(),$M264="TRUE"),1,0))</f>
        <v/>
      </c>
      <c r="AA264">
        <f>IF($B264="","",IF($S264="Yes",1,0))</f>
        <v/>
      </c>
      <c r="AB264">
        <f>IF($X264=1,IFERROR(IF(VALUE($B264)&lt;100000000,VALUE($B264),1000000000),IFERROR(IF(VALUE(MID($B264,2,20))&lt;100000000,VALUE(MID($B264,2,20)),1000000000),1000000000))+ROW()/100000,"")</f>
        <v/>
      </c>
    </row>
    <row r="265">
      <c r="C265" s="11" t="n"/>
      <c r="J265" s="7">
        <f>IF($B265="","",I265*Q265/100)</f>
        <v/>
      </c>
      <c r="P265" s="7" t="n"/>
      <c r="Q265" s="7" t="n"/>
      <c r="T265">
        <f>IF($B265="","",IF($AA265=1,0,IF($Z265=1,Settings!$C$6,Settings!$C$7))*100)</f>
        <v/>
      </c>
      <c r="U265" s="7">
        <f>IF($B265="","",Q265*T265/100)</f>
        <v/>
      </c>
      <c r="V265" s="7">
        <f>IF($B265="","",Q265-U265)</f>
        <v/>
      </c>
      <c r="W265" s="7">
        <f>IF($B265="","",V265-J265)</f>
        <v/>
      </c>
      <c r="X265">
        <f>IF($B265="","",IF(COUNTIF($B$2:$B265,$B265)=1,1,0))</f>
        <v/>
      </c>
      <c r="Y265">
        <f>IF($X265=1,SUMPRODUCT(--($AB$2:$AB$301&lt;$AB265))+1,"")</f>
        <v/>
      </c>
      <c r="Z265">
        <f>IF($B265="","",IF(OR($M265=TRUE(),$M265="TRUE"),1,0))</f>
        <v/>
      </c>
      <c r="AA265">
        <f>IF($B265="","",IF($S265="Yes",1,0))</f>
        <v/>
      </c>
      <c r="AB265">
        <f>IF($X265=1,IFERROR(IF(VALUE($B265)&lt;100000000,VALUE($B265),1000000000),IFERROR(IF(VALUE(MID($B265,2,20))&lt;100000000,VALUE(MID($B265,2,20)),1000000000),1000000000))+ROW()/100000,"")</f>
        <v/>
      </c>
    </row>
    <row r="266">
      <c r="C266" s="11" t="n"/>
      <c r="J266" s="7">
        <f>IF($B266="","",I266*Q266/100)</f>
        <v/>
      </c>
      <c r="P266" s="7" t="n"/>
      <c r="Q266" s="7" t="n"/>
      <c r="T266">
        <f>IF($B266="","",IF($AA266=1,0,IF($Z266=1,Settings!$C$6,Settings!$C$7))*100)</f>
        <v/>
      </c>
      <c r="U266" s="7">
        <f>IF($B266="","",Q266*T266/100)</f>
        <v/>
      </c>
      <c r="V266" s="7">
        <f>IF($B266="","",Q266-U266)</f>
        <v/>
      </c>
      <c r="W266" s="7">
        <f>IF($B266="","",V266-J266)</f>
        <v/>
      </c>
      <c r="X266">
        <f>IF($B266="","",IF(COUNTIF($B$2:$B266,$B266)=1,1,0))</f>
        <v/>
      </c>
      <c r="Y266">
        <f>IF($X266=1,SUMPRODUCT(--($AB$2:$AB$301&lt;$AB266))+1,"")</f>
        <v/>
      </c>
      <c r="Z266">
        <f>IF($B266="","",IF(OR($M266=TRUE(),$M266="TRUE"),1,0))</f>
        <v/>
      </c>
      <c r="AA266">
        <f>IF($B266="","",IF($S266="Yes",1,0))</f>
        <v/>
      </c>
      <c r="AB266">
        <f>IF($X266=1,IFERROR(IF(VALUE($B266)&lt;100000000,VALUE($B266),1000000000),IFERROR(IF(VALUE(MID($B266,2,20))&lt;100000000,VALUE(MID($B266,2,20)),1000000000),1000000000))+ROW()/100000,"")</f>
        <v/>
      </c>
    </row>
    <row r="267">
      <c r="C267" s="11" t="n"/>
      <c r="J267" s="7">
        <f>IF($B267="","",I267*Q267/100)</f>
        <v/>
      </c>
      <c r="P267" s="7" t="n"/>
      <c r="Q267" s="7" t="n"/>
      <c r="T267">
        <f>IF($B267="","",IF($AA267=1,0,IF($Z267=1,Settings!$C$6,Settings!$C$7))*100)</f>
        <v/>
      </c>
      <c r="U267" s="7">
        <f>IF($B267="","",Q267*T267/100)</f>
        <v/>
      </c>
      <c r="V267" s="7">
        <f>IF($B267="","",Q267-U267)</f>
        <v/>
      </c>
      <c r="W267" s="7">
        <f>IF($B267="","",V267-J267)</f>
        <v/>
      </c>
      <c r="X267">
        <f>IF($B267="","",IF(COUNTIF($B$2:$B267,$B267)=1,1,0))</f>
        <v/>
      </c>
      <c r="Y267">
        <f>IF($X267=1,SUMPRODUCT(--($AB$2:$AB$301&lt;$AB267))+1,"")</f>
        <v/>
      </c>
      <c r="Z267">
        <f>IF($B267="","",IF(OR($M267=TRUE(),$M267="TRUE"),1,0))</f>
        <v/>
      </c>
      <c r="AA267">
        <f>IF($B267="","",IF($S267="Yes",1,0))</f>
        <v/>
      </c>
      <c r="AB267">
        <f>IF($X267=1,IFERROR(IF(VALUE($B267)&lt;100000000,VALUE($B267),1000000000),IFERROR(IF(VALUE(MID($B267,2,20))&lt;100000000,VALUE(MID($B267,2,20)),1000000000),1000000000))+ROW()/100000,"")</f>
        <v/>
      </c>
    </row>
    <row r="268">
      <c r="C268" s="11" t="n"/>
      <c r="J268" s="7">
        <f>IF($B268="","",I268*Q268/100)</f>
        <v/>
      </c>
      <c r="P268" s="7" t="n"/>
      <c r="Q268" s="7" t="n"/>
      <c r="T268">
        <f>IF($B268="","",IF($AA268=1,0,IF($Z268=1,Settings!$C$6,Settings!$C$7))*100)</f>
        <v/>
      </c>
      <c r="U268" s="7">
        <f>IF($B268="","",Q268*T268/100)</f>
        <v/>
      </c>
      <c r="V268" s="7">
        <f>IF($B268="","",Q268-U268)</f>
        <v/>
      </c>
      <c r="W268" s="7">
        <f>IF($B268="","",V268-J268)</f>
        <v/>
      </c>
      <c r="X268">
        <f>IF($B268="","",IF(COUNTIF($B$2:$B268,$B268)=1,1,0))</f>
        <v/>
      </c>
      <c r="Y268">
        <f>IF($X268=1,SUMPRODUCT(--($AB$2:$AB$301&lt;$AB268))+1,"")</f>
        <v/>
      </c>
      <c r="Z268">
        <f>IF($B268="","",IF(OR($M268=TRUE(),$M268="TRUE"),1,0))</f>
        <v/>
      </c>
      <c r="AA268">
        <f>IF($B268="","",IF($S268="Yes",1,0))</f>
        <v/>
      </c>
      <c r="AB268">
        <f>IF($X268=1,IFERROR(IF(VALUE($B268)&lt;100000000,VALUE($B268),1000000000),IFERROR(IF(VALUE(MID($B268,2,20))&lt;100000000,VALUE(MID($B268,2,20)),1000000000),1000000000))+ROW()/100000,"")</f>
        <v/>
      </c>
    </row>
    <row r="269">
      <c r="C269" s="11" t="n"/>
      <c r="J269" s="7">
        <f>IF($B269="","",I269*Q269/100)</f>
        <v/>
      </c>
      <c r="P269" s="7" t="n"/>
      <c r="Q269" s="7" t="n"/>
      <c r="T269">
        <f>IF($B269="","",IF($AA269=1,0,IF($Z269=1,Settings!$C$6,Settings!$C$7))*100)</f>
        <v/>
      </c>
      <c r="U269" s="7">
        <f>IF($B269="","",Q269*T269/100)</f>
        <v/>
      </c>
      <c r="V269" s="7">
        <f>IF($B269="","",Q269-U269)</f>
        <v/>
      </c>
      <c r="W269" s="7">
        <f>IF($B269="","",V269-J269)</f>
        <v/>
      </c>
      <c r="X269">
        <f>IF($B269="","",IF(COUNTIF($B$2:$B269,$B269)=1,1,0))</f>
        <v/>
      </c>
      <c r="Y269">
        <f>IF($X269=1,SUMPRODUCT(--($AB$2:$AB$301&lt;$AB269))+1,"")</f>
        <v/>
      </c>
      <c r="Z269">
        <f>IF($B269="","",IF(OR($M269=TRUE(),$M269="TRUE"),1,0))</f>
        <v/>
      </c>
      <c r="AA269">
        <f>IF($B269="","",IF($S269="Yes",1,0))</f>
        <v/>
      </c>
      <c r="AB269">
        <f>IF($X269=1,IFERROR(IF(VALUE($B269)&lt;100000000,VALUE($B269),1000000000),IFERROR(IF(VALUE(MID($B269,2,20))&lt;100000000,VALUE(MID($B269,2,20)),1000000000),1000000000))+ROW()/100000,"")</f>
        <v/>
      </c>
    </row>
    <row r="270">
      <c r="C270" s="11" t="n"/>
      <c r="J270" s="7">
        <f>IF($B270="","",I270*Q270/100)</f>
        <v/>
      </c>
      <c r="P270" s="7" t="n"/>
      <c r="Q270" s="7" t="n"/>
      <c r="T270">
        <f>IF($B270="","",IF($AA270=1,0,IF($Z270=1,Settings!$C$6,Settings!$C$7))*100)</f>
        <v/>
      </c>
      <c r="U270" s="7">
        <f>IF($B270="","",Q270*T270/100)</f>
        <v/>
      </c>
      <c r="V270" s="7">
        <f>IF($B270="","",Q270-U270)</f>
        <v/>
      </c>
      <c r="W270" s="7">
        <f>IF($B270="","",V270-J270)</f>
        <v/>
      </c>
      <c r="X270">
        <f>IF($B270="","",IF(COUNTIF($B$2:$B270,$B270)=1,1,0))</f>
        <v/>
      </c>
      <c r="Y270">
        <f>IF($X270=1,SUMPRODUCT(--($AB$2:$AB$301&lt;$AB270))+1,"")</f>
        <v/>
      </c>
      <c r="Z270">
        <f>IF($B270="","",IF(OR($M270=TRUE(),$M270="TRUE"),1,0))</f>
        <v/>
      </c>
      <c r="AA270">
        <f>IF($B270="","",IF($S270="Yes",1,0))</f>
        <v/>
      </c>
      <c r="AB270">
        <f>IF($X270=1,IFERROR(IF(VALUE($B270)&lt;100000000,VALUE($B270),1000000000),IFERROR(IF(VALUE(MID($B270,2,20))&lt;100000000,VALUE(MID($B270,2,20)),1000000000),1000000000))+ROW()/100000,"")</f>
        <v/>
      </c>
    </row>
    <row r="271">
      <c r="C271" s="11" t="n"/>
      <c r="J271" s="7">
        <f>IF($B271="","",I271*Q271/100)</f>
        <v/>
      </c>
      <c r="P271" s="7" t="n"/>
      <c r="Q271" s="7" t="n"/>
      <c r="T271">
        <f>IF($B271="","",IF($AA271=1,0,IF($Z271=1,Settings!$C$6,Settings!$C$7))*100)</f>
        <v/>
      </c>
      <c r="U271" s="7">
        <f>IF($B271="","",Q271*T271/100)</f>
        <v/>
      </c>
      <c r="V271" s="7">
        <f>IF($B271="","",Q271-U271)</f>
        <v/>
      </c>
      <c r="W271" s="7">
        <f>IF($B271="","",V271-J271)</f>
        <v/>
      </c>
      <c r="X271">
        <f>IF($B271="","",IF(COUNTIF($B$2:$B271,$B271)=1,1,0))</f>
        <v/>
      </c>
      <c r="Y271">
        <f>IF($X271=1,SUMPRODUCT(--($AB$2:$AB$301&lt;$AB271))+1,"")</f>
        <v/>
      </c>
      <c r="Z271">
        <f>IF($B271="","",IF(OR($M271=TRUE(),$M271="TRUE"),1,0))</f>
        <v/>
      </c>
      <c r="AA271">
        <f>IF($B271="","",IF($S271="Yes",1,0))</f>
        <v/>
      </c>
      <c r="AB271">
        <f>IF($X271=1,IFERROR(IF(VALUE($B271)&lt;100000000,VALUE($B271),1000000000),IFERROR(IF(VALUE(MID($B271,2,20))&lt;100000000,VALUE(MID($B271,2,20)),1000000000),1000000000))+ROW()/100000,"")</f>
        <v/>
      </c>
    </row>
    <row r="272">
      <c r="C272" s="11" t="n"/>
      <c r="J272" s="7">
        <f>IF($B272="","",I272*Q272/100)</f>
        <v/>
      </c>
      <c r="P272" s="7" t="n"/>
      <c r="Q272" s="7" t="n"/>
      <c r="T272">
        <f>IF($B272="","",IF($AA272=1,0,IF($Z272=1,Settings!$C$6,Settings!$C$7))*100)</f>
        <v/>
      </c>
      <c r="U272" s="7">
        <f>IF($B272="","",Q272*T272/100)</f>
        <v/>
      </c>
      <c r="V272" s="7">
        <f>IF($B272="","",Q272-U272)</f>
        <v/>
      </c>
      <c r="W272" s="7">
        <f>IF($B272="","",V272-J272)</f>
        <v/>
      </c>
      <c r="X272">
        <f>IF($B272="","",IF(COUNTIF($B$2:$B272,$B272)=1,1,0))</f>
        <v/>
      </c>
      <c r="Y272">
        <f>IF($X272=1,SUMPRODUCT(--($AB$2:$AB$301&lt;$AB272))+1,"")</f>
        <v/>
      </c>
      <c r="Z272">
        <f>IF($B272="","",IF(OR($M272=TRUE(),$M272="TRUE"),1,0))</f>
        <v/>
      </c>
      <c r="AA272">
        <f>IF($B272="","",IF($S272="Yes",1,0))</f>
        <v/>
      </c>
      <c r="AB272">
        <f>IF($X272=1,IFERROR(IF(VALUE($B272)&lt;100000000,VALUE($B272),1000000000),IFERROR(IF(VALUE(MID($B272,2,20))&lt;100000000,VALUE(MID($B272,2,20)),1000000000),1000000000))+ROW()/100000,"")</f>
        <v/>
      </c>
    </row>
    <row r="273">
      <c r="C273" s="11" t="n"/>
      <c r="J273" s="7">
        <f>IF($B273="","",I273*Q273/100)</f>
        <v/>
      </c>
      <c r="P273" s="7" t="n"/>
      <c r="Q273" s="7" t="n"/>
      <c r="T273">
        <f>IF($B273="","",IF($AA273=1,0,IF($Z273=1,Settings!$C$6,Settings!$C$7))*100)</f>
        <v/>
      </c>
      <c r="U273" s="7">
        <f>IF($B273="","",Q273*T273/100)</f>
        <v/>
      </c>
      <c r="V273" s="7">
        <f>IF($B273="","",Q273-U273)</f>
        <v/>
      </c>
      <c r="W273" s="7">
        <f>IF($B273="","",V273-J273)</f>
        <v/>
      </c>
      <c r="X273">
        <f>IF($B273="","",IF(COUNTIF($B$2:$B273,$B273)=1,1,0))</f>
        <v/>
      </c>
      <c r="Y273">
        <f>IF($X273=1,SUMPRODUCT(--($AB$2:$AB$301&lt;$AB273))+1,"")</f>
        <v/>
      </c>
      <c r="Z273">
        <f>IF($B273="","",IF(OR($M273=TRUE(),$M273="TRUE"),1,0))</f>
        <v/>
      </c>
      <c r="AA273">
        <f>IF($B273="","",IF($S273="Yes",1,0))</f>
        <v/>
      </c>
      <c r="AB273">
        <f>IF($X273=1,IFERROR(IF(VALUE($B273)&lt;100000000,VALUE($B273),1000000000),IFERROR(IF(VALUE(MID($B273,2,20))&lt;100000000,VALUE(MID($B273,2,20)),1000000000),1000000000))+ROW()/100000,"")</f>
        <v/>
      </c>
    </row>
    <row r="274">
      <c r="C274" s="11" t="n"/>
      <c r="J274" s="7">
        <f>IF($B274="","",I274*Q274/100)</f>
        <v/>
      </c>
      <c r="P274" s="7" t="n"/>
      <c r="Q274" s="7" t="n"/>
      <c r="T274">
        <f>IF($B274="","",IF($AA274=1,0,IF($Z274=1,Settings!$C$6,Settings!$C$7))*100)</f>
        <v/>
      </c>
      <c r="U274" s="7">
        <f>IF($B274="","",Q274*T274/100)</f>
        <v/>
      </c>
      <c r="V274" s="7">
        <f>IF($B274="","",Q274-U274)</f>
        <v/>
      </c>
      <c r="W274" s="7">
        <f>IF($B274="","",V274-J274)</f>
        <v/>
      </c>
      <c r="X274">
        <f>IF($B274="","",IF(COUNTIF($B$2:$B274,$B274)=1,1,0))</f>
        <v/>
      </c>
      <c r="Y274">
        <f>IF($X274=1,SUMPRODUCT(--($AB$2:$AB$301&lt;$AB274))+1,"")</f>
        <v/>
      </c>
      <c r="Z274">
        <f>IF($B274="","",IF(OR($M274=TRUE(),$M274="TRUE"),1,0))</f>
        <v/>
      </c>
      <c r="AA274">
        <f>IF($B274="","",IF($S274="Yes",1,0))</f>
        <v/>
      </c>
      <c r="AB274">
        <f>IF($X274=1,IFERROR(IF(VALUE($B274)&lt;100000000,VALUE($B274),1000000000),IFERROR(IF(VALUE(MID($B274,2,20))&lt;100000000,VALUE(MID($B274,2,20)),1000000000),1000000000))+ROW()/100000,"")</f>
        <v/>
      </c>
    </row>
    <row r="275">
      <c r="C275" s="11" t="n"/>
      <c r="J275" s="7">
        <f>IF($B275="","",I275*Q275/100)</f>
        <v/>
      </c>
      <c r="P275" s="7" t="n"/>
      <c r="Q275" s="7" t="n"/>
      <c r="T275">
        <f>IF($B275="","",IF($AA275=1,0,IF($Z275=1,Settings!$C$6,Settings!$C$7))*100)</f>
        <v/>
      </c>
      <c r="U275" s="7">
        <f>IF($B275="","",Q275*T275/100)</f>
        <v/>
      </c>
      <c r="V275" s="7">
        <f>IF($B275="","",Q275-U275)</f>
        <v/>
      </c>
      <c r="W275" s="7">
        <f>IF($B275="","",V275-J275)</f>
        <v/>
      </c>
      <c r="X275">
        <f>IF($B275="","",IF(COUNTIF($B$2:$B275,$B275)=1,1,0))</f>
        <v/>
      </c>
      <c r="Y275">
        <f>IF($X275=1,SUMPRODUCT(--($AB$2:$AB$301&lt;$AB275))+1,"")</f>
        <v/>
      </c>
      <c r="Z275">
        <f>IF($B275="","",IF(OR($M275=TRUE(),$M275="TRUE"),1,0))</f>
        <v/>
      </c>
      <c r="AA275">
        <f>IF($B275="","",IF($S275="Yes",1,0))</f>
        <v/>
      </c>
      <c r="AB275">
        <f>IF($X275=1,IFERROR(IF(VALUE($B275)&lt;100000000,VALUE($B275),1000000000),IFERROR(IF(VALUE(MID($B275,2,20))&lt;100000000,VALUE(MID($B275,2,20)),1000000000),1000000000))+ROW()/100000,"")</f>
        <v/>
      </c>
    </row>
    <row r="276">
      <c r="C276" s="11" t="n"/>
      <c r="J276" s="7">
        <f>IF($B276="","",I276*Q276/100)</f>
        <v/>
      </c>
      <c r="P276" s="7" t="n"/>
      <c r="Q276" s="7" t="n"/>
      <c r="T276">
        <f>IF($B276="","",IF($AA276=1,0,IF($Z276=1,Settings!$C$6,Settings!$C$7))*100)</f>
        <v/>
      </c>
      <c r="U276" s="7">
        <f>IF($B276="","",Q276*T276/100)</f>
        <v/>
      </c>
      <c r="V276" s="7">
        <f>IF($B276="","",Q276-U276)</f>
        <v/>
      </c>
      <c r="W276" s="7">
        <f>IF($B276="","",V276-J276)</f>
        <v/>
      </c>
      <c r="X276">
        <f>IF($B276="","",IF(COUNTIF($B$2:$B276,$B276)=1,1,0))</f>
        <v/>
      </c>
      <c r="Y276">
        <f>IF($X276=1,SUMPRODUCT(--($AB$2:$AB$301&lt;$AB276))+1,"")</f>
        <v/>
      </c>
      <c r="Z276">
        <f>IF($B276="","",IF(OR($M276=TRUE(),$M276="TRUE"),1,0))</f>
        <v/>
      </c>
      <c r="AA276">
        <f>IF($B276="","",IF($S276="Yes",1,0))</f>
        <v/>
      </c>
      <c r="AB276">
        <f>IF($X276=1,IFERROR(IF(VALUE($B276)&lt;100000000,VALUE($B276),1000000000),IFERROR(IF(VALUE(MID($B276,2,20))&lt;100000000,VALUE(MID($B276,2,20)),1000000000),1000000000))+ROW()/100000,"")</f>
        <v/>
      </c>
    </row>
    <row r="277">
      <c r="C277" s="11" t="n"/>
      <c r="J277" s="7">
        <f>IF($B277="","",I277*Q277/100)</f>
        <v/>
      </c>
      <c r="P277" s="7" t="n"/>
      <c r="Q277" s="7" t="n"/>
      <c r="T277">
        <f>IF($B277="","",IF($AA277=1,0,IF($Z277=1,Settings!$C$6,Settings!$C$7))*100)</f>
        <v/>
      </c>
      <c r="U277" s="7">
        <f>IF($B277="","",Q277*T277/100)</f>
        <v/>
      </c>
      <c r="V277" s="7">
        <f>IF($B277="","",Q277-U277)</f>
        <v/>
      </c>
      <c r="W277" s="7">
        <f>IF($B277="","",V277-J277)</f>
        <v/>
      </c>
      <c r="X277">
        <f>IF($B277="","",IF(COUNTIF($B$2:$B277,$B277)=1,1,0))</f>
        <v/>
      </c>
      <c r="Y277">
        <f>IF($X277=1,SUMPRODUCT(--($AB$2:$AB$301&lt;$AB277))+1,"")</f>
        <v/>
      </c>
      <c r="Z277">
        <f>IF($B277="","",IF(OR($M277=TRUE(),$M277="TRUE"),1,0))</f>
        <v/>
      </c>
      <c r="AA277">
        <f>IF($B277="","",IF($S277="Yes",1,0))</f>
        <v/>
      </c>
      <c r="AB277">
        <f>IF($X277=1,IFERROR(IF(VALUE($B277)&lt;100000000,VALUE($B277),1000000000),IFERROR(IF(VALUE(MID($B277,2,20))&lt;100000000,VALUE(MID($B277,2,20)),1000000000),1000000000))+ROW()/100000,"")</f>
        <v/>
      </c>
    </row>
    <row r="278">
      <c r="C278" s="11" t="n"/>
      <c r="J278" s="7">
        <f>IF($B278="","",I278*Q278/100)</f>
        <v/>
      </c>
      <c r="P278" s="7" t="n"/>
      <c r="Q278" s="7" t="n"/>
      <c r="T278">
        <f>IF($B278="","",IF($AA278=1,0,IF($Z278=1,Settings!$C$6,Settings!$C$7))*100)</f>
        <v/>
      </c>
      <c r="U278" s="7">
        <f>IF($B278="","",Q278*T278/100)</f>
        <v/>
      </c>
      <c r="V278" s="7">
        <f>IF($B278="","",Q278-U278)</f>
        <v/>
      </c>
      <c r="W278" s="7">
        <f>IF($B278="","",V278-J278)</f>
        <v/>
      </c>
      <c r="X278">
        <f>IF($B278="","",IF(COUNTIF($B$2:$B278,$B278)=1,1,0))</f>
        <v/>
      </c>
      <c r="Y278">
        <f>IF($X278=1,SUMPRODUCT(--($AB$2:$AB$301&lt;$AB278))+1,"")</f>
        <v/>
      </c>
      <c r="Z278">
        <f>IF($B278="","",IF(OR($M278=TRUE(),$M278="TRUE"),1,0))</f>
        <v/>
      </c>
      <c r="AA278">
        <f>IF($B278="","",IF($S278="Yes",1,0))</f>
        <v/>
      </c>
      <c r="AB278">
        <f>IF($X278=1,IFERROR(IF(VALUE($B278)&lt;100000000,VALUE($B278),1000000000),IFERROR(IF(VALUE(MID($B278,2,20))&lt;100000000,VALUE(MID($B278,2,20)),1000000000),1000000000))+ROW()/100000,"")</f>
        <v/>
      </c>
    </row>
    <row r="279">
      <c r="C279" s="11" t="n"/>
      <c r="J279" s="7">
        <f>IF($B279="","",I279*Q279/100)</f>
        <v/>
      </c>
      <c r="P279" s="7" t="n"/>
      <c r="Q279" s="7" t="n"/>
      <c r="T279">
        <f>IF($B279="","",IF($AA279=1,0,IF($Z279=1,Settings!$C$6,Settings!$C$7))*100)</f>
        <v/>
      </c>
      <c r="U279" s="7">
        <f>IF($B279="","",Q279*T279/100)</f>
        <v/>
      </c>
      <c r="V279" s="7">
        <f>IF($B279="","",Q279-U279)</f>
        <v/>
      </c>
      <c r="W279" s="7">
        <f>IF($B279="","",V279-J279)</f>
        <v/>
      </c>
      <c r="X279">
        <f>IF($B279="","",IF(COUNTIF($B$2:$B279,$B279)=1,1,0))</f>
        <v/>
      </c>
      <c r="Y279">
        <f>IF($X279=1,SUMPRODUCT(--($AB$2:$AB$301&lt;$AB279))+1,"")</f>
        <v/>
      </c>
      <c r="Z279">
        <f>IF($B279="","",IF(OR($M279=TRUE(),$M279="TRUE"),1,0))</f>
        <v/>
      </c>
      <c r="AA279">
        <f>IF($B279="","",IF($S279="Yes",1,0))</f>
        <v/>
      </c>
      <c r="AB279">
        <f>IF($X279=1,IFERROR(IF(VALUE($B279)&lt;100000000,VALUE($B279),1000000000),IFERROR(IF(VALUE(MID($B279,2,20))&lt;100000000,VALUE(MID($B279,2,20)),1000000000),1000000000))+ROW()/100000,"")</f>
        <v/>
      </c>
    </row>
    <row r="280">
      <c r="C280" s="11" t="n"/>
      <c r="J280" s="7">
        <f>IF($B280="","",I280*Q280/100)</f>
        <v/>
      </c>
      <c r="P280" s="7" t="n"/>
      <c r="Q280" s="7" t="n"/>
      <c r="T280">
        <f>IF($B280="","",IF($AA280=1,0,IF($Z280=1,Settings!$C$6,Settings!$C$7))*100)</f>
        <v/>
      </c>
      <c r="U280" s="7">
        <f>IF($B280="","",Q280*T280/100)</f>
        <v/>
      </c>
      <c r="V280" s="7">
        <f>IF($B280="","",Q280-U280)</f>
        <v/>
      </c>
      <c r="W280" s="7">
        <f>IF($B280="","",V280-J280)</f>
        <v/>
      </c>
      <c r="X280">
        <f>IF($B280="","",IF(COUNTIF($B$2:$B280,$B280)=1,1,0))</f>
        <v/>
      </c>
      <c r="Y280">
        <f>IF($X280=1,SUMPRODUCT(--($AB$2:$AB$301&lt;$AB280))+1,"")</f>
        <v/>
      </c>
      <c r="Z280">
        <f>IF($B280="","",IF(OR($M280=TRUE(),$M280="TRUE"),1,0))</f>
        <v/>
      </c>
      <c r="AA280">
        <f>IF($B280="","",IF($S280="Yes",1,0))</f>
        <v/>
      </c>
      <c r="AB280">
        <f>IF($X280=1,IFERROR(IF(VALUE($B280)&lt;100000000,VALUE($B280),1000000000),IFERROR(IF(VALUE(MID($B280,2,20))&lt;100000000,VALUE(MID($B280,2,20)),1000000000),1000000000))+ROW()/100000,"")</f>
        <v/>
      </c>
    </row>
    <row r="281">
      <c r="C281" s="11" t="n"/>
      <c r="J281" s="7">
        <f>IF($B281="","",I281*Q281/100)</f>
        <v/>
      </c>
      <c r="P281" s="7" t="n"/>
      <c r="Q281" s="7" t="n"/>
      <c r="T281">
        <f>IF($B281="","",IF($AA281=1,0,IF($Z281=1,Settings!$C$6,Settings!$C$7))*100)</f>
        <v/>
      </c>
      <c r="U281" s="7">
        <f>IF($B281="","",Q281*T281/100)</f>
        <v/>
      </c>
      <c r="V281" s="7">
        <f>IF($B281="","",Q281-U281)</f>
        <v/>
      </c>
      <c r="W281" s="7">
        <f>IF($B281="","",V281-J281)</f>
        <v/>
      </c>
      <c r="X281">
        <f>IF($B281="","",IF(COUNTIF($B$2:$B281,$B281)=1,1,0))</f>
        <v/>
      </c>
      <c r="Y281">
        <f>IF($X281=1,SUMPRODUCT(--($AB$2:$AB$301&lt;$AB281))+1,"")</f>
        <v/>
      </c>
      <c r="Z281">
        <f>IF($B281="","",IF(OR($M281=TRUE(),$M281="TRUE"),1,0))</f>
        <v/>
      </c>
      <c r="AA281">
        <f>IF($B281="","",IF($S281="Yes",1,0))</f>
        <v/>
      </c>
      <c r="AB281">
        <f>IF($X281=1,IFERROR(IF(VALUE($B281)&lt;100000000,VALUE($B281),1000000000),IFERROR(IF(VALUE(MID($B281,2,20))&lt;100000000,VALUE(MID($B281,2,20)),1000000000),1000000000))+ROW()/100000,"")</f>
        <v/>
      </c>
    </row>
    <row r="282">
      <c r="C282" s="11" t="n"/>
      <c r="J282" s="7">
        <f>IF($B282="","",I282*Q282/100)</f>
        <v/>
      </c>
      <c r="P282" s="7" t="n"/>
      <c r="Q282" s="7" t="n"/>
      <c r="T282">
        <f>IF($B282="","",IF($AA282=1,0,IF($Z282=1,Settings!$C$6,Settings!$C$7))*100)</f>
        <v/>
      </c>
      <c r="U282" s="7">
        <f>IF($B282="","",Q282*T282/100)</f>
        <v/>
      </c>
      <c r="V282" s="7">
        <f>IF($B282="","",Q282-U282)</f>
        <v/>
      </c>
      <c r="W282" s="7">
        <f>IF($B282="","",V282-J282)</f>
        <v/>
      </c>
      <c r="X282">
        <f>IF($B282="","",IF(COUNTIF($B$2:$B282,$B282)=1,1,0))</f>
        <v/>
      </c>
      <c r="Y282">
        <f>IF($X282=1,SUMPRODUCT(--($AB$2:$AB$301&lt;$AB282))+1,"")</f>
        <v/>
      </c>
      <c r="Z282">
        <f>IF($B282="","",IF(OR($M282=TRUE(),$M282="TRUE"),1,0))</f>
        <v/>
      </c>
      <c r="AA282">
        <f>IF($B282="","",IF($S282="Yes",1,0))</f>
        <v/>
      </c>
      <c r="AB282">
        <f>IF($X282=1,IFERROR(IF(VALUE($B282)&lt;100000000,VALUE($B282),1000000000),IFERROR(IF(VALUE(MID($B282,2,20))&lt;100000000,VALUE(MID($B282,2,20)),1000000000),1000000000))+ROW()/100000,"")</f>
        <v/>
      </c>
    </row>
    <row r="283">
      <c r="C283" s="11" t="n"/>
      <c r="J283" s="7">
        <f>IF($B283="","",I283*Q283/100)</f>
        <v/>
      </c>
      <c r="P283" s="7" t="n"/>
      <c r="Q283" s="7" t="n"/>
      <c r="T283">
        <f>IF($B283="","",IF($AA283=1,0,IF($Z283=1,Settings!$C$6,Settings!$C$7))*100)</f>
        <v/>
      </c>
      <c r="U283" s="7">
        <f>IF($B283="","",Q283*T283/100)</f>
        <v/>
      </c>
      <c r="V283" s="7">
        <f>IF($B283="","",Q283-U283)</f>
        <v/>
      </c>
      <c r="W283" s="7">
        <f>IF($B283="","",V283-J283)</f>
        <v/>
      </c>
      <c r="X283">
        <f>IF($B283="","",IF(COUNTIF($B$2:$B283,$B283)=1,1,0))</f>
        <v/>
      </c>
      <c r="Y283">
        <f>IF($X283=1,SUMPRODUCT(--($AB$2:$AB$301&lt;$AB283))+1,"")</f>
        <v/>
      </c>
      <c r="Z283">
        <f>IF($B283="","",IF(OR($M283=TRUE(),$M283="TRUE"),1,0))</f>
        <v/>
      </c>
      <c r="AA283">
        <f>IF($B283="","",IF($S283="Yes",1,0))</f>
        <v/>
      </c>
      <c r="AB283">
        <f>IF($X283=1,IFERROR(IF(VALUE($B283)&lt;100000000,VALUE($B283),1000000000),IFERROR(IF(VALUE(MID($B283,2,20))&lt;100000000,VALUE(MID($B283,2,20)),1000000000),1000000000))+ROW()/100000,"")</f>
        <v/>
      </c>
    </row>
    <row r="284">
      <c r="C284" s="11" t="n"/>
      <c r="J284" s="7">
        <f>IF($B284="","",I284*Q284/100)</f>
        <v/>
      </c>
      <c r="P284" s="7" t="n"/>
      <c r="Q284" s="7" t="n"/>
      <c r="T284">
        <f>IF($B284="","",IF($AA284=1,0,IF($Z284=1,Settings!$C$6,Settings!$C$7))*100)</f>
        <v/>
      </c>
      <c r="U284" s="7">
        <f>IF($B284="","",Q284*T284/100)</f>
        <v/>
      </c>
      <c r="V284" s="7">
        <f>IF($B284="","",Q284-U284)</f>
        <v/>
      </c>
      <c r="W284" s="7">
        <f>IF($B284="","",V284-J284)</f>
        <v/>
      </c>
      <c r="X284">
        <f>IF($B284="","",IF(COUNTIF($B$2:$B284,$B284)=1,1,0))</f>
        <v/>
      </c>
      <c r="Y284">
        <f>IF($X284=1,SUMPRODUCT(--($AB$2:$AB$301&lt;$AB284))+1,"")</f>
        <v/>
      </c>
      <c r="Z284">
        <f>IF($B284="","",IF(OR($M284=TRUE(),$M284="TRUE"),1,0))</f>
        <v/>
      </c>
      <c r="AA284">
        <f>IF($B284="","",IF($S284="Yes",1,0))</f>
        <v/>
      </c>
      <c r="AB284">
        <f>IF($X284=1,IFERROR(IF(VALUE($B284)&lt;100000000,VALUE($B284),1000000000),IFERROR(IF(VALUE(MID($B284,2,20))&lt;100000000,VALUE(MID($B284,2,20)),1000000000),1000000000))+ROW()/100000,"")</f>
        <v/>
      </c>
    </row>
    <row r="285">
      <c r="C285" s="11" t="n"/>
      <c r="J285" s="7">
        <f>IF($B285="","",I285*Q285/100)</f>
        <v/>
      </c>
      <c r="P285" s="7" t="n"/>
      <c r="Q285" s="7" t="n"/>
      <c r="T285">
        <f>IF($B285="","",IF($AA285=1,0,IF($Z285=1,Settings!$C$6,Settings!$C$7))*100)</f>
        <v/>
      </c>
      <c r="U285" s="7">
        <f>IF($B285="","",Q285*T285/100)</f>
        <v/>
      </c>
      <c r="V285" s="7">
        <f>IF($B285="","",Q285-U285)</f>
        <v/>
      </c>
      <c r="W285" s="7">
        <f>IF($B285="","",V285-J285)</f>
        <v/>
      </c>
      <c r="X285">
        <f>IF($B285="","",IF(COUNTIF($B$2:$B285,$B285)=1,1,0))</f>
        <v/>
      </c>
      <c r="Y285">
        <f>IF($X285=1,SUMPRODUCT(--($AB$2:$AB$301&lt;$AB285))+1,"")</f>
        <v/>
      </c>
      <c r="Z285">
        <f>IF($B285="","",IF(OR($M285=TRUE(),$M285="TRUE"),1,0))</f>
        <v/>
      </c>
      <c r="AA285">
        <f>IF($B285="","",IF($S285="Yes",1,0))</f>
        <v/>
      </c>
      <c r="AB285">
        <f>IF($X285=1,IFERROR(IF(VALUE($B285)&lt;100000000,VALUE($B285),1000000000),IFERROR(IF(VALUE(MID($B285,2,20))&lt;100000000,VALUE(MID($B285,2,20)),1000000000),1000000000))+ROW()/100000,"")</f>
        <v/>
      </c>
    </row>
    <row r="286">
      <c r="C286" s="11" t="n"/>
      <c r="J286" s="7">
        <f>IF($B286="","",I286*Q286/100)</f>
        <v/>
      </c>
      <c r="P286" s="7" t="n"/>
      <c r="Q286" s="7" t="n"/>
      <c r="T286">
        <f>IF($B286="","",IF($AA286=1,0,IF($Z286=1,Settings!$C$6,Settings!$C$7))*100)</f>
        <v/>
      </c>
      <c r="U286" s="7">
        <f>IF($B286="","",Q286*T286/100)</f>
        <v/>
      </c>
      <c r="V286" s="7">
        <f>IF($B286="","",Q286-U286)</f>
        <v/>
      </c>
      <c r="W286" s="7">
        <f>IF($B286="","",V286-J286)</f>
        <v/>
      </c>
      <c r="X286">
        <f>IF($B286="","",IF(COUNTIF($B$2:$B286,$B286)=1,1,0))</f>
        <v/>
      </c>
      <c r="Y286">
        <f>IF($X286=1,SUMPRODUCT(--($AB$2:$AB$301&lt;$AB286))+1,"")</f>
        <v/>
      </c>
      <c r="Z286">
        <f>IF($B286="","",IF(OR($M286=TRUE(),$M286="TRUE"),1,0))</f>
        <v/>
      </c>
      <c r="AA286">
        <f>IF($B286="","",IF($S286="Yes",1,0))</f>
        <v/>
      </c>
      <c r="AB286">
        <f>IF($X286=1,IFERROR(IF(VALUE($B286)&lt;100000000,VALUE($B286),1000000000),IFERROR(IF(VALUE(MID($B286,2,20))&lt;100000000,VALUE(MID($B286,2,20)),1000000000),1000000000))+ROW()/100000,"")</f>
        <v/>
      </c>
    </row>
    <row r="287">
      <c r="C287" s="11" t="n"/>
      <c r="J287" s="7">
        <f>IF($B287="","",I287*Q287/100)</f>
        <v/>
      </c>
      <c r="P287" s="7" t="n"/>
      <c r="Q287" s="7" t="n"/>
      <c r="T287">
        <f>IF($B287="","",IF($AA287=1,0,IF($Z287=1,Settings!$C$6,Settings!$C$7))*100)</f>
        <v/>
      </c>
      <c r="U287" s="7">
        <f>IF($B287="","",Q287*T287/100)</f>
        <v/>
      </c>
      <c r="V287" s="7">
        <f>IF($B287="","",Q287-U287)</f>
        <v/>
      </c>
      <c r="W287" s="7">
        <f>IF($B287="","",V287-J287)</f>
        <v/>
      </c>
      <c r="X287">
        <f>IF($B287="","",IF(COUNTIF($B$2:$B287,$B287)=1,1,0))</f>
        <v/>
      </c>
      <c r="Y287">
        <f>IF($X287=1,SUMPRODUCT(--($AB$2:$AB$301&lt;$AB287))+1,"")</f>
        <v/>
      </c>
      <c r="Z287">
        <f>IF($B287="","",IF(OR($M287=TRUE(),$M287="TRUE"),1,0))</f>
        <v/>
      </c>
      <c r="AA287">
        <f>IF($B287="","",IF($S287="Yes",1,0))</f>
        <v/>
      </c>
      <c r="AB287">
        <f>IF($X287=1,IFERROR(IF(VALUE($B287)&lt;100000000,VALUE($B287),1000000000),IFERROR(IF(VALUE(MID($B287,2,20))&lt;100000000,VALUE(MID($B287,2,20)),1000000000),1000000000))+ROW()/100000,"")</f>
        <v/>
      </c>
    </row>
    <row r="288">
      <c r="C288" s="11" t="n"/>
      <c r="J288" s="7">
        <f>IF($B288="","",I288*Q288/100)</f>
        <v/>
      </c>
      <c r="P288" s="7" t="n"/>
      <c r="Q288" s="7" t="n"/>
      <c r="T288">
        <f>IF($B288="","",IF($AA288=1,0,IF($Z288=1,Settings!$C$6,Settings!$C$7))*100)</f>
        <v/>
      </c>
      <c r="U288" s="7">
        <f>IF($B288="","",Q288*T288/100)</f>
        <v/>
      </c>
      <c r="V288" s="7">
        <f>IF($B288="","",Q288-U288)</f>
        <v/>
      </c>
      <c r="W288" s="7">
        <f>IF($B288="","",V288-J288)</f>
        <v/>
      </c>
      <c r="X288">
        <f>IF($B288="","",IF(COUNTIF($B$2:$B288,$B288)=1,1,0))</f>
        <v/>
      </c>
      <c r="Y288">
        <f>IF($X288=1,SUMPRODUCT(--($AB$2:$AB$301&lt;$AB288))+1,"")</f>
        <v/>
      </c>
      <c r="Z288">
        <f>IF($B288="","",IF(OR($M288=TRUE(),$M288="TRUE"),1,0))</f>
        <v/>
      </c>
      <c r="AA288">
        <f>IF($B288="","",IF($S288="Yes",1,0))</f>
        <v/>
      </c>
      <c r="AB288">
        <f>IF($X288=1,IFERROR(IF(VALUE($B288)&lt;100000000,VALUE($B288),1000000000),IFERROR(IF(VALUE(MID($B288,2,20))&lt;100000000,VALUE(MID($B288,2,20)),1000000000),1000000000))+ROW()/100000,"")</f>
        <v/>
      </c>
    </row>
    <row r="289">
      <c r="C289" s="11" t="n"/>
      <c r="J289" s="7">
        <f>IF($B289="","",I289*Q289/100)</f>
        <v/>
      </c>
      <c r="P289" s="7" t="n"/>
      <c r="Q289" s="7" t="n"/>
      <c r="T289">
        <f>IF($B289="","",IF($AA289=1,0,IF($Z289=1,Settings!$C$6,Settings!$C$7))*100)</f>
        <v/>
      </c>
      <c r="U289" s="7">
        <f>IF($B289="","",Q289*T289/100)</f>
        <v/>
      </c>
      <c r="V289" s="7">
        <f>IF($B289="","",Q289-U289)</f>
        <v/>
      </c>
      <c r="W289" s="7">
        <f>IF($B289="","",V289-J289)</f>
        <v/>
      </c>
      <c r="X289">
        <f>IF($B289="","",IF(COUNTIF($B$2:$B289,$B289)=1,1,0))</f>
        <v/>
      </c>
      <c r="Y289">
        <f>IF($X289=1,SUMPRODUCT(--($AB$2:$AB$301&lt;$AB289))+1,"")</f>
        <v/>
      </c>
      <c r="Z289">
        <f>IF($B289="","",IF(OR($M289=TRUE(),$M289="TRUE"),1,0))</f>
        <v/>
      </c>
      <c r="AA289">
        <f>IF($B289="","",IF($S289="Yes",1,0))</f>
        <v/>
      </c>
      <c r="AB289">
        <f>IF($X289=1,IFERROR(IF(VALUE($B289)&lt;100000000,VALUE($B289),1000000000),IFERROR(IF(VALUE(MID($B289,2,20))&lt;100000000,VALUE(MID($B289,2,20)),1000000000),1000000000))+ROW()/100000,"")</f>
        <v/>
      </c>
    </row>
    <row r="290">
      <c r="C290" s="11" t="n"/>
      <c r="J290" s="7">
        <f>IF($B290="","",I290*Q290/100)</f>
        <v/>
      </c>
      <c r="P290" s="7" t="n"/>
      <c r="Q290" s="7" t="n"/>
      <c r="T290">
        <f>IF($B290="","",IF($AA290=1,0,IF($Z290=1,Settings!$C$6,Settings!$C$7))*100)</f>
        <v/>
      </c>
      <c r="U290" s="7">
        <f>IF($B290="","",Q290*T290/100)</f>
        <v/>
      </c>
      <c r="V290" s="7">
        <f>IF($B290="","",Q290-U290)</f>
        <v/>
      </c>
      <c r="W290" s="7">
        <f>IF($B290="","",V290-J290)</f>
        <v/>
      </c>
      <c r="X290">
        <f>IF($B290="","",IF(COUNTIF($B$2:$B290,$B290)=1,1,0))</f>
        <v/>
      </c>
      <c r="Y290">
        <f>IF($X290=1,SUMPRODUCT(--($AB$2:$AB$301&lt;$AB290))+1,"")</f>
        <v/>
      </c>
      <c r="Z290">
        <f>IF($B290="","",IF(OR($M290=TRUE(),$M290="TRUE"),1,0))</f>
        <v/>
      </c>
      <c r="AA290">
        <f>IF($B290="","",IF($S290="Yes",1,0))</f>
        <v/>
      </c>
      <c r="AB290">
        <f>IF($X290=1,IFERROR(IF(VALUE($B290)&lt;100000000,VALUE($B290),1000000000),IFERROR(IF(VALUE(MID($B290,2,20))&lt;100000000,VALUE(MID($B290,2,20)),1000000000),1000000000))+ROW()/100000,"")</f>
        <v/>
      </c>
    </row>
    <row r="291">
      <c r="C291" s="11" t="n"/>
      <c r="J291" s="7">
        <f>IF($B291="","",I291*Q291/100)</f>
        <v/>
      </c>
      <c r="P291" s="7" t="n"/>
      <c r="Q291" s="7" t="n"/>
      <c r="T291">
        <f>IF($B291="","",IF($AA291=1,0,IF($Z291=1,Settings!$C$6,Settings!$C$7))*100)</f>
        <v/>
      </c>
      <c r="U291" s="7">
        <f>IF($B291="","",Q291*T291/100)</f>
        <v/>
      </c>
      <c r="V291" s="7">
        <f>IF($B291="","",Q291-U291)</f>
        <v/>
      </c>
      <c r="W291" s="7">
        <f>IF($B291="","",V291-J291)</f>
        <v/>
      </c>
      <c r="X291">
        <f>IF($B291="","",IF(COUNTIF($B$2:$B291,$B291)=1,1,0))</f>
        <v/>
      </c>
      <c r="Y291">
        <f>IF($X291=1,SUMPRODUCT(--($AB$2:$AB$301&lt;$AB291))+1,"")</f>
        <v/>
      </c>
      <c r="Z291">
        <f>IF($B291="","",IF(OR($M291=TRUE(),$M291="TRUE"),1,0))</f>
        <v/>
      </c>
      <c r="AA291">
        <f>IF($B291="","",IF($S291="Yes",1,0))</f>
        <v/>
      </c>
      <c r="AB291">
        <f>IF($X291=1,IFERROR(IF(VALUE($B291)&lt;100000000,VALUE($B291),1000000000),IFERROR(IF(VALUE(MID($B291,2,20))&lt;100000000,VALUE(MID($B291,2,20)),1000000000),1000000000))+ROW()/100000,"")</f>
        <v/>
      </c>
    </row>
    <row r="292">
      <c r="C292" s="11" t="n"/>
      <c r="J292" s="7">
        <f>IF($B292="","",I292*Q292/100)</f>
        <v/>
      </c>
      <c r="P292" s="7" t="n"/>
      <c r="Q292" s="7" t="n"/>
      <c r="T292">
        <f>IF($B292="","",IF($AA292=1,0,IF($Z292=1,Settings!$C$6,Settings!$C$7))*100)</f>
        <v/>
      </c>
      <c r="U292" s="7">
        <f>IF($B292="","",Q292*T292/100)</f>
        <v/>
      </c>
      <c r="V292" s="7">
        <f>IF($B292="","",Q292-U292)</f>
        <v/>
      </c>
      <c r="W292" s="7">
        <f>IF($B292="","",V292-J292)</f>
        <v/>
      </c>
      <c r="X292">
        <f>IF($B292="","",IF(COUNTIF($B$2:$B292,$B292)=1,1,0))</f>
        <v/>
      </c>
      <c r="Y292">
        <f>IF($X292=1,SUMPRODUCT(--($AB$2:$AB$301&lt;$AB292))+1,"")</f>
        <v/>
      </c>
      <c r="Z292">
        <f>IF($B292="","",IF(OR($M292=TRUE(),$M292="TRUE"),1,0))</f>
        <v/>
      </c>
      <c r="AA292">
        <f>IF($B292="","",IF($S292="Yes",1,0))</f>
        <v/>
      </c>
      <c r="AB292">
        <f>IF($X292=1,IFERROR(IF(VALUE($B292)&lt;100000000,VALUE($B292),1000000000),IFERROR(IF(VALUE(MID($B292,2,20))&lt;100000000,VALUE(MID($B292,2,20)),1000000000),1000000000))+ROW()/100000,"")</f>
        <v/>
      </c>
    </row>
    <row r="293">
      <c r="C293" s="11" t="n"/>
      <c r="J293" s="7">
        <f>IF($B293="","",I293*Q293/100)</f>
        <v/>
      </c>
      <c r="P293" s="7" t="n"/>
      <c r="Q293" s="7" t="n"/>
      <c r="T293">
        <f>IF($B293="","",IF($AA293=1,0,IF($Z293=1,Settings!$C$6,Settings!$C$7))*100)</f>
        <v/>
      </c>
      <c r="U293" s="7">
        <f>IF($B293="","",Q293*T293/100)</f>
        <v/>
      </c>
      <c r="V293" s="7">
        <f>IF($B293="","",Q293-U293)</f>
        <v/>
      </c>
      <c r="W293" s="7">
        <f>IF($B293="","",V293-J293)</f>
        <v/>
      </c>
      <c r="X293">
        <f>IF($B293="","",IF(COUNTIF($B$2:$B293,$B293)=1,1,0))</f>
        <v/>
      </c>
      <c r="Y293">
        <f>IF($X293=1,SUMPRODUCT(--($AB$2:$AB$301&lt;$AB293))+1,"")</f>
        <v/>
      </c>
      <c r="Z293">
        <f>IF($B293="","",IF(OR($M293=TRUE(),$M293="TRUE"),1,0))</f>
        <v/>
      </c>
      <c r="AA293">
        <f>IF($B293="","",IF($S293="Yes",1,0))</f>
        <v/>
      </c>
      <c r="AB293">
        <f>IF($X293=1,IFERROR(IF(VALUE($B293)&lt;100000000,VALUE($B293),1000000000),IFERROR(IF(VALUE(MID($B293,2,20))&lt;100000000,VALUE(MID($B293,2,20)),1000000000),1000000000))+ROW()/100000,"")</f>
        <v/>
      </c>
    </row>
    <row r="294">
      <c r="C294" s="11" t="n"/>
      <c r="J294" s="7">
        <f>IF($B294="","",I294*Q294/100)</f>
        <v/>
      </c>
      <c r="P294" s="7" t="n"/>
      <c r="Q294" s="7" t="n"/>
      <c r="T294">
        <f>IF($B294="","",IF($AA294=1,0,IF($Z294=1,Settings!$C$6,Settings!$C$7))*100)</f>
        <v/>
      </c>
      <c r="U294" s="7">
        <f>IF($B294="","",Q294*T294/100)</f>
        <v/>
      </c>
      <c r="V294" s="7">
        <f>IF($B294="","",Q294-U294)</f>
        <v/>
      </c>
      <c r="W294" s="7">
        <f>IF($B294="","",V294-J294)</f>
        <v/>
      </c>
      <c r="X294">
        <f>IF($B294="","",IF(COUNTIF($B$2:$B294,$B294)=1,1,0))</f>
        <v/>
      </c>
      <c r="Y294">
        <f>IF($X294=1,SUMPRODUCT(--($AB$2:$AB$301&lt;$AB294))+1,"")</f>
        <v/>
      </c>
      <c r="Z294">
        <f>IF($B294="","",IF(OR($M294=TRUE(),$M294="TRUE"),1,0))</f>
        <v/>
      </c>
      <c r="AA294">
        <f>IF($B294="","",IF($S294="Yes",1,0))</f>
        <v/>
      </c>
      <c r="AB294">
        <f>IF($X294=1,IFERROR(IF(VALUE($B294)&lt;100000000,VALUE($B294),1000000000),IFERROR(IF(VALUE(MID($B294,2,20))&lt;100000000,VALUE(MID($B294,2,20)),1000000000),1000000000))+ROW()/100000,"")</f>
        <v/>
      </c>
    </row>
    <row r="295">
      <c r="C295" s="11" t="n"/>
      <c r="J295" s="7">
        <f>IF($B295="","",I295*Q295/100)</f>
        <v/>
      </c>
      <c r="P295" s="7" t="n"/>
      <c r="Q295" s="7" t="n"/>
      <c r="T295">
        <f>IF($B295="","",IF($AA295=1,0,IF($Z295=1,Settings!$C$6,Settings!$C$7))*100)</f>
        <v/>
      </c>
      <c r="U295" s="7">
        <f>IF($B295="","",Q295*T295/100)</f>
        <v/>
      </c>
      <c r="V295" s="7">
        <f>IF($B295="","",Q295-U295)</f>
        <v/>
      </c>
      <c r="W295" s="7">
        <f>IF($B295="","",V295-J295)</f>
        <v/>
      </c>
      <c r="X295">
        <f>IF($B295="","",IF(COUNTIF($B$2:$B295,$B295)=1,1,0))</f>
        <v/>
      </c>
      <c r="Y295">
        <f>IF($X295=1,SUMPRODUCT(--($AB$2:$AB$301&lt;$AB295))+1,"")</f>
        <v/>
      </c>
      <c r="Z295">
        <f>IF($B295="","",IF(OR($M295=TRUE(),$M295="TRUE"),1,0))</f>
        <v/>
      </c>
      <c r="AA295">
        <f>IF($B295="","",IF($S295="Yes",1,0))</f>
        <v/>
      </c>
      <c r="AB295">
        <f>IF($X295=1,IFERROR(IF(VALUE($B295)&lt;100000000,VALUE($B295),1000000000),IFERROR(IF(VALUE(MID($B295,2,20))&lt;100000000,VALUE(MID($B295,2,20)),1000000000),1000000000))+ROW()/100000,"")</f>
        <v/>
      </c>
    </row>
    <row r="296">
      <c r="C296" s="11" t="n"/>
      <c r="J296" s="7">
        <f>IF($B296="","",I296*Q296/100)</f>
        <v/>
      </c>
      <c r="P296" s="7" t="n"/>
      <c r="Q296" s="7" t="n"/>
      <c r="T296">
        <f>IF($B296="","",IF($AA296=1,0,IF($Z296=1,Settings!$C$6,Settings!$C$7))*100)</f>
        <v/>
      </c>
      <c r="U296" s="7">
        <f>IF($B296="","",Q296*T296/100)</f>
        <v/>
      </c>
      <c r="V296" s="7">
        <f>IF($B296="","",Q296-U296)</f>
        <v/>
      </c>
      <c r="W296" s="7">
        <f>IF($B296="","",V296-J296)</f>
        <v/>
      </c>
      <c r="X296">
        <f>IF($B296="","",IF(COUNTIF($B$2:$B296,$B296)=1,1,0))</f>
        <v/>
      </c>
      <c r="Y296">
        <f>IF($X296=1,SUMPRODUCT(--($AB$2:$AB$301&lt;$AB296))+1,"")</f>
        <v/>
      </c>
      <c r="Z296">
        <f>IF($B296="","",IF(OR($M296=TRUE(),$M296="TRUE"),1,0))</f>
        <v/>
      </c>
      <c r="AA296">
        <f>IF($B296="","",IF($S296="Yes",1,0))</f>
        <v/>
      </c>
      <c r="AB296">
        <f>IF($X296=1,IFERROR(IF(VALUE($B296)&lt;100000000,VALUE($B296),1000000000),IFERROR(IF(VALUE(MID($B296,2,20))&lt;100000000,VALUE(MID($B296,2,20)),1000000000),1000000000))+ROW()/100000,"")</f>
        <v/>
      </c>
    </row>
    <row r="297">
      <c r="C297" s="11" t="n"/>
      <c r="J297" s="7">
        <f>IF($B297="","",I297*Q297/100)</f>
        <v/>
      </c>
      <c r="P297" s="7" t="n"/>
      <c r="Q297" s="7" t="n"/>
      <c r="T297">
        <f>IF($B297="","",IF($AA297=1,0,IF($Z297=1,Settings!$C$6,Settings!$C$7))*100)</f>
        <v/>
      </c>
      <c r="U297" s="7">
        <f>IF($B297="","",Q297*T297/100)</f>
        <v/>
      </c>
      <c r="V297" s="7">
        <f>IF($B297="","",Q297-U297)</f>
        <v/>
      </c>
      <c r="W297" s="7">
        <f>IF($B297="","",V297-J297)</f>
        <v/>
      </c>
      <c r="X297">
        <f>IF($B297="","",IF(COUNTIF($B$2:$B297,$B297)=1,1,0))</f>
        <v/>
      </c>
      <c r="Y297">
        <f>IF($X297=1,SUMPRODUCT(--($AB$2:$AB$301&lt;$AB297))+1,"")</f>
        <v/>
      </c>
      <c r="Z297">
        <f>IF($B297="","",IF(OR($M297=TRUE(),$M297="TRUE"),1,0))</f>
        <v/>
      </c>
      <c r="AA297">
        <f>IF($B297="","",IF($S297="Yes",1,0))</f>
        <v/>
      </c>
      <c r="AB297">
        <f>IF($X297=1,IFERROR(IF(VALUE($B297)&lt;100000000,VALUE($B297),1000000000),IFERROR(IF(VALUE(MID($B297,2,20))&lt;100000000,VALUE(MID($B297,2,20)),1000000000),1000000000))+ROW()/100000,"")</f>
        <v/>
      </c>
    </row>
    <row r="298">
      <c r="C298" s="11" t="n"/>
      <c r="J298" s="7">
        <f>IF($B298="","",I298*Q298/100)</f>
        <v/>
      </c>
      <c r="P298" s="7" t="n"/>
      <c r="Q298" s="7" t="n"/>
      <c r="T298">
        <f>IF($B298="","",IF($AA298=1,0,IF($Z298=1,Settings!$C$6,Settings!$C$7))*100)</f>
        <v/>
      </c>
      <c r="U298" s="7">
        <f>IF($B298="","",Q298*T298/100)</f>
        <v/>
      </c>
      <c r="V298" s="7">
        <f>IF($B298="","",Q298-U298)</f>
        <v/>
      </c>
      <c r="W298" s="7">
        <f>IF($B298="","",V298-J298)</f>
        <v/>
      </c>
      <c r="X298">
        <f>IF($B298="","",IF(COUNTIF($B$2:$B298,$B298)=1,1,0))</f>
        <v/>
      </c>
      <c r="Y298">
        <f>IF($X298=1,SUMPRODUCT(--($AB$2:$AB$301&lt;$AB298))+1,"")</f>
        <v/>
      </c>
      <c r="Z298">
        <f>IF($B298="","",IF(OR($M298=TRUE(),$M298="TRUE"),1,0))</f>
        <v/>
      </c>
      <c r="AA298">
        <f>IF($B298="","",IF($S298="Yes",1,0))</f>
        <v/>
      </c>
      <c r="AB298">
        <f>IF($X298=1,IFERROR(IF(VALUE($B298)&lt;100000000,VALUE($B298),1000000000),IFERROR(IF(VALUE(MID($B298,2,20))&lt;100000000,VALUE(MID($B298,2,20)),1000000000),1000000000))+ROW()/100000,"")</f>
        <v/>
      </c>
    </row>
    <row r="299">
      <c r="C299" s="11" t="n"/>
      <c r="J299" s="7">
        <f>IF($B299="","",I299*Q299/100)</f>
        <v/>
      </c>
      <c r="P299" s="7" t="n"/>
      <c r="Q299" s="7" t="n"/>
      <c r="T299">
        <f>IF($B299="","",IF($AA299=1,0,IF($Z299=1,Settings!$C$6,Settings!$C$7))*100)</f>
        <v/>
      </c>
      <c r="U299" s="7">
        <f>IF($B299="","",Q299*T299/100)</f>
        <v/>
      </c>
      <c r="V299" s="7">
        <f>IF($B299="","",Q299-U299)</f>
        <v/>
      </c>
      <c r="W299" s="7">
        <f>IF($B299="","",V299-J299)</f>
        <v/>
      </c>
      <c r="X299">
        <f>IF($B299="","",IF(COUNTIF($B$2:$B299,$B299)=1,1,0))</f>
        <v/>
      </c>
      <c r="Y299">
        <f>IF($X299=1,SUMPRODUCT(--($AB$2:$AB$301&lt;$AB299))+1,"")</f>
        <v/>
      </c>
      <c r="Z299">
        <f>IF($B299="","",IF(OR($M299=TRUE(),$M299="TRUE"),1,0))</f>
        <v/>
      </c>
      <c r="AA299">
        <f>IF($B299="","",IF($S299="Yes",1,0))</f>
        <v/>
      </c>
      <c r="AB299">
        <f>IF($X299=1,IFERROR(IF(VALUE($B299)&lt;100000000,VALUE($B299),1000000000),IFERROR(IF(VALUE(MID($B299,2,20))&lt;100000000,VALUE(MID($B299,2,20)),1000000000),1000000000))+ROW()/100000,"")</f>
        <v/>
      </c>
    </row>
    <row r="300">
      <c r="C300" s="11" t="n"/>
      <c r="J300" s="7">
        <f>IF($B300="","",I300*Q300/100)</f>
        <v/>
      </c>
      <c r="P300" s="7" t="n"/>
      <c r="Q300" s="7" t="n"/>
      <c r="T300">
        <f>IF($B300="","",IF($AA300=1,0,IF($Z300=1,Settings!$C$6,Settings!$C$7))*100)</f>
        <v/>
      </c>
      <c r="U300" s="7">
        <f>IF($B300="","",Q300*T300/100)</f>
        <v/>
      </c>
      <c r="V300" s="7">
        <f>IF($B300="","",Q300-U300)</f>
        <v/>
      </c>
      <c r="W300" s="7">
        <f>IF($B300="","",V300-J300)</f>
        <v/>
      </c>
      <c r="X300">
        <f>IF($B300="","",IF(COUNTIF($B$2:$B300,$B300)=1,1,0))</f>
        <v/>
      </c>
      <c r="Y300">
        <f>IF($X300=1,SUMPRODUCT(--($AB$2:$AB$301&lt;$AB300))+1,"")</f>
        <v/>
      </c>
      <c r="Z300">
        <f>IF($B300="","",IF(OR($M300=TRUE(),$M300="TRUE"),1,0))</f>
        <v/>
      </c>
      <c r="AA300">
        <f>IF($B300="","",IF($S300="Yes",1,0))</f>
        <v/>
      </c>
      <c r="AB300">
        <f>IF($X300=1,IFERROR(IF(VALUE($B300)&lt;100000000,VALUE($B300),1000000000),IFERROR(IF(VALUE(MID($B300,2,20))&lt;100000000,VALUE(MID($B300,2,20)),1000000000),1000000000))+ROW()/100000,"")</f>
        <v/>
      </c>
    </row>
    <row r="301">
      <c r="C301" s="11" t="n"/>
      <c r="J301" s="7">
        <f>IF($B301="","",I301*Q301/100)</f>
        <v/>
      </c>
      <c r="P301" s="7" t="n"/>
      <c r="Q301" s="7" t="n"/>
      <c r="T301">
        <f>IF($B301="","",IF($AA301=1,0,IF($Z301=1,Settings!$C$6,Settings!$C$7))*100)</f>
        <v/>
      </c>
      <c r="U301" s="7">
        <f>IF($B301="","",Q301*T301/100)</f>
        <v/>
      </c>
      <c r="V301" s="7">
        <f>IF($B301="","",Q301-U301)</f>
        <v/>
      </c>
      <c r="W301" s="7">
        <f>IF($B301="","",V301-J301)</f>
        <v/>
      </c>
      <c r="X301">
        <f>IF($B301="","",IF(COUNTIF($B$2:$B301,$B301)=1,1,0))</f>
        <v/>
      </c>
      <c r="Y301">
        <f>IF($X301=1,SUMPRODUCT(--($AB$2:$AB$301&lt;$AB301))+1,"")</f>
        <v/>
      </c>
      <c r="Z301">
        <f>IF($B301="","",IF(OR($M301=TRUE(),$M301="TRUE"),1,0))</f>
        <v/>
      </c>
      <c r="AA301">
        <f>IF($B301="","",IF($S301="Yes",1,0))</f>
        <v/>
      </c>
      <c r="AB301">
        <f>IF($X301=1,IFERROR(IF(VALUE($B301)&lt;100000000,VALUE($B301),1000000000),IFERROR(IF(VALUE(MID($B301,2,20))&lt;100000000,VALUE(MID($B301,2,20)),1000000000),1000000000))+ROW()/100000,"")</f>
        <v/>
      </c>
    </row>
  </sheetData>
  <autoFilter ref="A1:AB30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7" customWidth="1" min="4" max="4"/>
    <col width="12" customWidth="1" min="5" max="5"/>
    <col width="24" customWidth="1" min="6" max="6"/>
    <col width="12" customWidth="1" min="7" max="7"/>
    <col width="26" customWidth="1" min="8" max="8"/>
    <col width="12" customWidth="1" min="9" max="9"/>
    <col width="12" customWidth="1" min="10" max="10"/>
    <col width="36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  <col width="12" customWidth="1" min="20" max="20"/>
    <col width="12" customWidth="1" min="21" max="21"/>
    <col width="12" customWidth="1" min="22" max="22"/>
    <col width="13" customWidth="1" min="23" max="23"/>
  </cols>
  <sheetData>
    <row r="1" ht="32" customHeight="1">
      <c r="A1" s="8" t="inlineStr">
        <is>
          <t>Invoice</t>
        </is>
      </c>
      <c r="B1" s="9" t="inlineStr">
        <is>
          <t>Cycle</t>
        </is>
      </c>
      <c r="C1" s="9" t="inlineStr">
        <is>
          <t>Order #</t>
        </is>
      </c>
      <c r="D1" s="9" t="inlineStr">
        <is>
          <t>Create At</t>
        </is>
      </c>
      <c r="E1" s="9" t="inlineStr">
        <is>
          <t>Country Portal ID</t>
        </is>
      </c>
      <c r="F1" s="9" t="inlineStr">
        <is>
          <t>Corporate</t>
        </is>
      </c>
      <c r="G1" s="9" t="inlineStr">
        <is>
          <t>Card</t>
        </is>
      </c>
      <c r="H1" s="9" t="inlineStr">
        <is>
          <t>Name</t>
        </is>
      </c>
      <c r="I1" s="9" t="inlineStr">
        <is>
          <t>Order Co Payment</t>
        </is>
      </c>
      <c r="J1" s="9" t="inlineStr">
        <is>
          <t>Co val</t>
        </is>
      </c>
      <c r="K1" s="9" t="inlineStr">
        <is>
          <t>ERX ID</t>
        </is>
      </c>
      <c r="L1" s="9" t="inlineStr">
        <is>
          <t>Special Rebates</t>
        </is>
      </c>
      <c r="M1" s="9" t="inlineStr">
        <is>
          <t>IMP %</t>
        </is>
      </c>
      <c r="N1" s="9" t="inlineStr">
        <is>
          <t>IMP</t>
        </is>
      </c>
      <c r="O1" s="9" t="inlineStr">
        <is>
          <t>IMP VAL</t>
        </is>
      </c>
      <c r="P1" s="9" t="inlineStr">
        <is>
          <t>LOCAL %</t>
        </is>
      </c>
      <c r="Q1" s="9" t="inlineStr">
        <is>
          <t>LOCAL</t>
        </is>
      </c>
      <c r="R1" s="9" t="inlineStr">
        <is>
          <t>LOCAL VAL</t>
        </is>
      </c>
      <c r="S1" s="9" t="inlineStr">
        <is>
          <t>TOTAL VAL</t>
        </is>
      </c>
      <c r="T1" s="9" t="inlineStr">
        <is>
          <t>SUBTOTAL</t>
        </is>
      </c>
      <c r="U1" s="9" t="inlineStr">
        <is>
          <t>Grand Total</t>
        </is>
      </c>
      <c r="V1" s="9" t="inlineStr">
        <is>
          <t>NET</t>
        </is>
      </c>
      <c r="W1" s="10" t="inlineStr">
        <is>
          <t>Src Row (helper)</t>
        </is>
      </c>
    </row>
    <row r="2">
      <c r="A2" s="12" t="n"/>
      <c r="B2">
        <f>IF($W2="","",INDEX('Per Line'!$A$2:$A$301,$W2)&amp;"")</f>
        <v/>
      </c>
      <c r="C2">
        <f>IF($W2="","",INDEX('Per Line'!$B$2:$B$301,$W2)&amp;"")</f>
        <v/>
      </c>
      <c r="D2" s="11">
        <f>IF($W2="","",INDEX('Per Line'!$C$2:$C$301,$W2))</f>
        <v/>
      </c>
      <c r="E2">
        <f>IF($W2="","",INDEX('Per Line'!$E$2:$E$301,$W2)&amp;"")</f>
        <v/>
      </c>
      <c r="F2">
        <f>IF($W2="","",INDEX('Per Line'!$F$2:$F$301,$W2)&amp;"")</f>
        <v/>
      </c>
      <c r="G2">
        <f>IF($W2="","",INDEX('Per Line'!$G$2:$G$301,$W2)&amp;"")</f>
        <v/>
      </c>
      <c r="H2">
        <f>IF($W2="","",INDEX('Per Line'!$H$2:$H$301,$W2)&amp;"")</f>
        <v/>
      </c>
      <c r="I2">
        <f>IF($W2="","",INDEX('Per Line'!$I$2:$I$301,$W2))</f>
        <v/>
      </c>
      <c r="J2" s="7">
        <f>IF($W2="","",I2*U2/100)</f>
        <v/>
      </c>
      <c r="K2">
        <f>IF($W2="","",INDEX('Per Line'!$R$2:$R$301,$W2)&amp;"")</f>
        <v/>
      </c>
      <c r="L2" s="7">
        <f>IF($W2="","",SUMIFS('Per Line'!$Q$2:$Q$301,'Per Line'!$B$2:$B$301,$C2,'Per Line'!$AA$2:$AA$301,1))</f>
        <v/>
      </c>
      <c r="M2">
        <f>IF($W2="","",Settings!$C$7)</f>
        <v/>
      </c>
      <c r="N2" s="7">
        <f>IF($W2="","",SUMIFS('Per Line'!$Q$2:$Q$301,'Per Line'!$B$2:$B$301,$C2,'Per Line'!$Z$2:$Z$301,0,'Per Line'!$AA$2:$AA$301,0))</f>
        <v/>
      </c>
      <c r="O2" s="7">
        <f>IF($W2="","",N2*M2)</f>
        <v/>
      </c>
      <c r="P2">
        <f>IF($W2="","",Settings!$C$6)</f>
        <v/>
      </c>
      <c r="Q2" s="7">
        <f>IF($W2="","",SUMIFS('Per Line'!$Q$2:$Q$301,'Per Line'!$B$2:$B$301,$C2,'Per Line'!$Z$2:$Z$301,1,'Per Line'!$AA$2:$AA$301,0))</f>
        <v/>
      </c>
      <c r="R2" s="7">
        <f>IF($W2="","",Q2*P2)</f>
        <v/>
      </c>
      <c r="S2" s="7">
        <f>IF($W2="","",R2+O2)</f>
        <v/>
      </c>
      <c r="T2" s="7">
        <f>IF($W2="","",U2-S2)</f>
        <v/>
      </c>
      <c r="U2" s="7">
        <f>IF($W2="","",N2+Q2+L2)</f>
        <v/>
      </c>
      <c r="V2" s="7">
        <f>IF($W2="","",U2-S2-J2)</f>
        <v/>
      </c>
      <c r="W2" s="13">
        <f>IF(ROWS($W$2:$W2)&lt;=MAX('Per Line'!$Y$2:$Y$301),MATCH(ROWS($W$2:$W2),'Per Line'!$Y$2:$Y$301,0),"")</f>
        <v/>
      </c>
    </row>
    <row r="3">
      <c r="A3" s="12" t="n"/>
      <c r="B3">
        <f>IF($W3="","",INDEX('Per Line'!$A$2:$A$301,$W3)&amp;"")</f>
        <v/>
      </c>
      <c r="C3">
        <f>IF($W3="","",INDEX('Per Line'!$B$2:$B$301,$W3)&amp;"")</f>
        <v/>
      </c>
      <c r="D3" s="11">
        <f>IF($W3="","",INDEX('Per Line'!$C$2:$C$301,$W3))</f>
        <v/>
      </c>
      <c r="E3">
        <f>IF($W3="","",INDEX('Per Line'!$E$2:$E$301,$W3)&amp;"")</f>
        <v/>
      </c>
      <c r="F3">
        <f>IF($W3="","",INDEX('Per Line'!$F$2:$F$301,$W3)&amp;"")</f>
        <v/>
      </c>
      <c r="G3">
        <f>IF($W3="","",INDEX('Per Line'!$G$2:$G$301,$W3)&amp;"")</f>
        <v/>
      </c>
      <c r="H3">
        <f>IF($W3="","",INDEX('Per Line'!$H$2:$H$301,$W3)&amp;"")</f>
        <v/>
      </c>
      <c r="I3">
        <f>IF($W3="","",INDEX('Per Line'!$I$2:$I$301,$W3))</f>
        <v/>
      </c>
      <c r="J3" s="7">
        <f>IF($W3="","",I3*U3/100)</f>
        <v/>
      </c>
      <c r="K3">
        <f>IF($W3="","",INDEX('Per Line'!$R$2:$R$301,$W3)&amp;"")</f>
        <v/>
      </c>
      <c r="L3" s="7">
        <f>IF($W3="","",SUMIFS('Per Line'!$Q$2:$Q$301,'Per Line'!$B$2:$B$301,$C3,'Per Line'!$AA$2:$AA$301,1))</f>
        <v/>
      </c>
      <c r="M3">
        <f>IF($W3="","",Settings!$C$7)</f>
        <v/>
      </c>
      <c r="N3" s="7">
        <f>IF($W3="","",SUMIFS('Per Line'!$Q$2:$Q$301,'Per Line'!$B$2:$B$301,$C3,'Per Line'!$Z$2:$Z$301,0,'Per Line'!$AA$2:$AA$301,0))</f>
        <v/>
      </c>
      <c r="O3" s="7">
        <f>IF($W3="","",N3*M3)</f>
        <v/>
      </c>
      <c r="P3">
        <f>IF($W3="","",Settings!$C$6)</f>
        <v/>
      </c>
      <c r="Q3" s="7">
        <f>IF($W3="","",SUMIFS('Per Line'!$Q$2:$Q$301,'Per Line'!$B$2:$B$301,$C3,'Per Line'!$Z$2:$Z$301,1,'Per Line'!$AA$2:$AA$301,0))</f>
        <v/>
      </c>
      <c r="R3" s="7">
        <f>IF($W3="","",Q3*P3)</f>
        <v/>
      </c>
      <c r="S3" s="7">
        <f>IF($W3="","",R3+O3)</f>
        <v/>
      </c>
      <c r="T3" s="7">
        <f>IF($W3="","",U3-S3)</f>
        <v/>
      </c>
      <c r="U3" s="7">
        <f>IF($W3="","",N3+Q3+L3)</f>
        <v/>
      </c>
      <c r="V3" s="7">
        <f>IF($W3="","",U3-S3-J3)</f>
        <v/>
      </c>
      <c r="W3" s="13">
        <f>IF(ROWS($W$2:$W3)&lt;=MAX('Per Line'!$Y$2:$Y$301),MATCH(ROWS($W$2:$W3),'Per Line'!$Y$2:$Y$301,0),"")</f>
        <v/>
      </c>
    </row>
    <row r="4">
      <c r="A4" s="12" t="n"/>
      <c r="B4">
        <f>IF($W4="","",INDEX('Per Line'!$A$2:$A$301,$W4)&amp;"")</f>
        <v/>
      </c>
      <c r="C4">
        <f>IF($W4="","",INDEX('Per Line'!$B$2:$B$301,$W4)&amp;"")</f>
        <v/>
      </c>
      <c r="D4" s="11">
        <f>IF($W4="","",INDEX('Per Line'!$C$2:$C$301,$W4))</f>
        <v/>
      </c>
      <c r="E4">
        <f>IF($W4="","",INDEX('Per Line'!$E$2:$E$301,$W4)&amp;"")</f>
        <v/>
      </c>
      <c r="F4">
        <f>IF($W4="","",INDEX('Per Line'!$F$2:$F$301,$W4)&amp;"")</f>
        <v/>
      </c>
      <c r="G4">
        <f>IF($W4="","",INDEX('Per Line'!$G$2:$G$301,$W4)&amp;"")</f>
        <v/>
      </c>
      <c r="H4">
        <f>IF($W4="","",INDEX('Per Line'!$H$2:$H$301,$W4)&amp;"")</f>
        <v/>
      </c>
      <c r="I4">
        <f>IF($W4="","",INDEX('Per Line'!$I$2:$I$301,$W4))</f>
        <v/>
      </c>
      <c r="J4" s="7">
        <f>IF($W4="","",I4*U4/100)</f>
        <v/>
      </c>
      <c r="K4">
        <f>IF($W4="","",INDEX('Per Line'!$R$2:$R$301,$W4)&amp;"")</f>
        <v/>
      </c>
      <c r="L4" s="7">
        <f>IF($W4="","",SUMIFS('Per Line'!$Q$2:$Q$301,'Per Line'!$B$2:$B$301,$C4,'Per Line'!$AA$2:$AA$301,1))</f>
        <v/>
      </c>
      <c r="M4">
        <f>IF($W4="","",Settings!$C$7)</f>
        <v/>
      </c>
      <c r="N4" s="7">
        <f>IF($W4="","",SUMIFS('Per Line'!$Q$2:$Q$301,'Per Line'!$B$2:$B$301,$C4,'Per Line'!$Z$2:$Z$301,0,'Per Line'!$AA$2:$AA$301,0))</f>
        <v/>
      </c>
      <c r="O4" s="7">
        <f>IF($W4="","",N4*M4)</f>
        <v/>
      </c>
      <c r="P4">
        <f>IF($W4="","",Settings!$C$6)</f>
        <v/>
      </c>
      <c r="Q4" s="7">
        <f>IF($W4="","",SUMIFS('Per Line'!$Q$2:$Q$301,'Per Line'!$B$2:$B$301,$C4,'Per Line'!$Z$2:$Z$301,1,'Per Line'!$AA$2:$AA$301,0))</f>
        <v/>
      </c>
      <c r="R4" s="7">
        <f>IF($W4="","",Q4*P4)</f>
        <v/>
      </c>
      <c r="S4" s="7">
        <f>IF($W4="","",R4+O4)</f>
        <v/>
      </c>
      <c r="T4" s="7">
        <f>IF($W4="","",U4-S4)</f>
        <v/>
      </c>
      <c r="U4" s="7">
        <f>IF($W4="","",N4+Q4+L4)</f>
        <v/>
      </c>
      <c r="V4" s="7">
        <f>IF($W4="","",U4-S4-J4)</f>
        <v/>
      </c>
      <c r="W4" s="13">
        <f>IF(ROWS($W$2:$W4)&lt;=MAX('Per Line'!$Y$2:$Y$301),MATCH(ROWS($W$2:$W4),'Per Line'!$Y$2:$Y$301,0),"")</f>
        <v/>
      </c>
    </row>
    <row r="5">
      <c r="A5" s="12" t="n"/>
      <c r="B5">
        <f>IF($W5="","",INDEX('Per Line'!$A$2:$A$301,$W5)&amp;"")</f>
        <v/>
      </c>
      <c r="C5">
        <f>IF($W5="","",INDEX('Per Line'!$B$2:$B$301,$W5)&amp;"")</f>
        <v/>
      </c>
      <c r="D5" s="11">
        <f>IF($W5="","",INDEX('Per Line'!$C$2:$C$301,$W5))</f>
        <v/>
      </c>
      <c r="E5">
        <f>IF($W5="","",INDEX('Per Line'!$E$2:$E$301,$W5)&amp;"")</f>
        <v/>
      </c>
      <c r="F5">
        <f>IF($W5="","",INDEX('Per Line'!$F$2:$F$301,$W5)&amp;"")</f>
        <v/>
      </c>
      <c r="G5">
        <f>IF($W5="","",INDEX('Per Line'!$G$2:$G$301,$W5)&amp;"")</f>
        <v/>
      </c>
      <c r="H5">
        <f>IF($W5="","",INDEX('Per Line'!$H$2:$H$301,$W5)&amp;"")</f>
        <v/>
      </c>
      <c r="I5">
        <f>IF($W5="","",INDEX('Per Line'!$I$2:$I$301,$W5))</f>
        <v/>
      </c>
      <c r="J5" s="7">
        <f>IF($W5="","",I5*U5/100)</f>
        <v/>
      </c>
      <c r="K5">
        <f>IF($W5="","",INDEX('Per Line'!$R$2:$R$301,$W5)&amp;"")</f>
        <v/>
      </c>
      <c r="L5" s="7">
        <f>IF($W5="","",SUMIFS('Per Line'!$Q$2:$Q$301,'Per Line'!$B$2:$B$301,$C5,'Per Line'!$AA$2:$AA$301,1))</f>
        <v/>
      </c>
      <c r="M5">
        <f>IF($W5="","",Settings!$C$7)</f>
        <v/>
      </c>
      <c r="N5" s="7">
        <f>IF($W5="","",SUMIFS('Per Line'!$Q$2:$Q$301,'Per Line'!$B$2:$B$301,$C5,'Per Line'!$Z$2:$Z$301,0,'Per Line'!$AA$2:$AA$301,0))</f>
        <v/>
      </c>
      <c r="O5" s="7">
        <f>IF($W5="","",N5*M5)</f>
        <v/>
      </c>
      <c r="P5">
        <f>IF($W5="","",Settings!$C$6)</f>
        <v/>
      </c>
      <c r="Q5" s="7">
        <f>IF($W5="","",SUMIFS('Per Line'!$Q$2:$Q$301,'Per Line'!$B$2:$B$301,$C5,'Per Line'!$Z$2:$Z$301,1,'Per Line'!$AA$2:$AA$301,0))</f>
        <v/>
      </c>
      <c r="R5" s="7">
        <f>IF($W5="","",Q5*P5)</f>
        <v/>
      </c>
      <c r="S5" s="7">
        <f>IF($W5="","",R5+O5)</f>
        <v/>
      </c>
      <c r="T5" s="7">
        <f>IF($W5="","",U5-S5)</f>
        <v/>
      </c>
      <c r="U5" s="7">
        <f>IF($W5="","",N5+Q5+L5)</f>
        <v/>
      </c>
      <c r="V5" s="7">
        <f>IF($W5="","",U5-S5-J5)</f>
        <v/>
      </c>
      <c r="W5" s="13">
        <f>IF(ROWS($W$2:$W5)&lt;=MAX('Per Line'!$Y$2:$Y$301),MATCH(ROWS($W$2:$W5),'Per Line'!$Y$2:$Y$301,0),"")</f>
        <v/>
      </c>
    </row>
    <row r="6">
      <c r="A6" s="12" t="n"/>
      <c r="B6">
        <f>IF($W6="","",INDEX('Per Line'!$A$2:$A$301,$W6)&amp;"")</f>
        <v/>
      </c>
      <c r="C6">
        <f>IF($W6="","",INDEX('Per Line'!$B$2:$B$301,$W6)&amp;"")</f>
        <v/>
      </c>
      <c r="D6" s="11">
        <f>IF($W6="","",INDEX('Per Line'!$C$2:$C$301,$W6))</f>
        <v/>
      </c>
      <c r="E6">
        <f>IF($W6="","",INDEX('Per Line'!$E$2:$E$301,$W6)&amp;"")</f>
        <v/>
      </c>
      <c r="F6">
        <f>IF($W6="","",INDEX('Per Line'!$F$2:$F$301,$W6)&amp;"")</f>
        <v/>
      </c>
      <c r="G6">
        <f>IF($W6="","",INDEX('Per Line'!$G$2:$G$301,$W6)&amp;"")</f>
        <v/>
      </c>
      <c r="H6">
        <f>IF($W6="","",INDEX('Per Line'!$H$2:$H$301,$W6)&amp;"")</f>
        <v/>
      </c>
      <c r="I6">
        <f>IF($W6="","",INDEX('Per Line'!$I$2:$I$301,$W6))</f>
        <v/>
      </c>
      <c r="J6" s="7">
        <f>IF($W6="","",I6*U6/100)</f>
        <v/>
      </c>
      <c r="K6">
        <f>IF($W6="","",INDEX('Per Line'!$R$2:$R$301,$W6)&amp;"")</f>
        <v/>
      </c>
      <c r="L6" s="7">
        <f>IF($W6="","",SUMIFS('Per Line'!$Q$2:$Q$301,'Per Line'!$B$2:$B$301,$C6,'Per Line'!$AA$2:$AA$301,1))</f>
        <v/>
      </c>
      <c r="M6">
        <f>IF($W6="","",Settings!$C$7)</f>
        <v/>
      </c>
      <c r="N6" s="7">
        <f>IF($W6="","",SUMIFS('Per Line'!$Q$2:$Q$301,'Per Line'!$B$2:$B$301,$C6,'Per Line'!$Z$2:$Z$301,0,'Per Line'!$AA$2:$AA$301,0))</f>
        <v/>
      </c>
      <c r="O6" s="7">
        <f>IF($W6="","",N6*M6)</f>
        <v/>
      </c>
      <c r="P6">
        <f>IF($W6="","",Settings!$C$6)</f>
        <v/>
      </c>
      <c r="Q6" s="7">
        <f>IF($W6="","",SUMIFS('Per Line'!$Q$2:$Q$301,'Per Line'!$B$2:$B$301,$C6,'Per Line'!$Z$2:$Z$301,1,'Per Line'!$AA$2:$AA$301,0))</f>
        <v/>
      </c>
      <c r="R6" s="7">
        <f>IF($W6="","",Q6*P6)</f>
        <v/>
      </c>
      <c r="S6" s="7">
        <f>IF($W6="","",R6+O6)</f>
        <v/>
      </c>
      <c r="T6" s="7">
        <f>IF($W6="","",U6-S6)</f>
        <v/>
      </c>
      <c r="U6" s="7">
        <f>IF($W6="","",N6+Q6+L6)</f>
        <v/>
      </c>
      <c r="V6" s="7">
        <f>IF($W6="","",U6-S6-J6)</f>
        <v/>
      </c>
      <c r="W6" s="13">
        <f>IF(ROWS($W$2:$W6)&lt;=MAX('Per Line'!$Y$2:$Y$301),MATCH(ROWS($W$2:$W6),'Per Line'!$Y$2:$Y$301,0),"")</f>
        <v/>
      </c>
    </row>
    <row r="7">
      <c r="A7" s="12" t="n"/>
      <c r="B7">
        <f>IF($W7="","",INDEX('Per Line'!$A$2:$A$301,$W7)&amp;"")</f>
        <v/>
      </c>
      <c r="C7">
        <f>IF($W7="","",INDEX('Per Line'!$B$2:$B$301,$W7)&amp;"")</f>
        <v/>
      </c>
      <c r="D7" s="11">
        <f>IF($W7="","",INDEX('Per Line'!$C$2:$C$301,$W7))</f>
        <v/>
      </c>
      <c r="E7">
        <f>IF($W7="","",INDEX('Per Line'!$E$2:$E$301,$W7)&amp;"")</f>
        <v/>
      </c>
      <c r="F7">
        <f>IF($W7="","",INDEX('Per Line'!$F$2:$F$301,$W7)&amp;"")</f>
        <v/>
      </c>
      <c r="G7">
        <f>IF($W7="","",INDEX('Per Line'!$G$2:$G$301,$W7)&amp;"")</f>
        <v/>
      </c>
      <c r="H7">
        <f>IF($W7="","",INDEX('Per Line'!$H$2:$H$301,$W7)&amp;"")</f>
        <v/>
      </c>
      <c r="I7">
        <f>IF($W7="","",INDEX('Per Line'!$I$2:$I$301,$W7))</f>
        <v/>
      </c>
      <c r="J7" s="7">
        <f>IF($W7="","",I7*U7/100)</f>
        <v/>
      </c>
      <c r="K7">
        <f>IF($W7="","",INDEX('Per Line'!$R$2:$R$301,$W7)&amp;"")</f>
        <v/>
      </c>
      <c r="L7" s="7">
        <f>IF($W7="","",SUMIFS('Per Line'!$Q$2:$Q$301,'Per Line'!$B$2:$B$301,$C7,'Per Line'!$AA$2:$AA$301,1))</f>
        <v/>
      </c>
      <c r="M7">
        <f>IF($W7="","",Settings!$C$7)</f>
        <v/>
      </c>
      <c r="N7" s="7">
        <f>IF($W7="","",SUMIFS('Per Line'!$Q$2:$Q$301,'Per Line'!$B$2:$B$301,$C7,'Per Line'!$Z$2:$Z$301,0,'Per Line'!$AA$2:$AA$301,0))</f>
        <v/>
      </c>
      <c r="O7" s="7">
        <f>IF($W7="","",N7*M7)</f>
        <v/>
      </c>
      <c r="P7">
        <f>IF($W7="","",Settings!$C$6)</f>
        <v/>
      </c>
      <c r="Q7" s="7">
        <f>IF($W7="","",SUMIFS('Per Line'!$Q$2:$Q$301,'Per Line'!$B$2:$B$301,$C7,'Per Line'!$Z$2:$Z$301,1,'Per Line'!$AA$2:$AA$301,0))</f>
        <v/>
      </c>
      <c r="R7" s="7">
        <f>IF($W7="","",Q7*P7)</f>
        <v/>
      </c>
      <c r="S7" s="7">
        <f>IF($W7="","",R7+O7)</f>
        <v/>
      </c>
      <c r="T7" s="7">
        <f>IF($W7="","",U7-S7)</f>
        <v/>
      </c>
      <c r="U7" s="7">
        <f>IF($W7="","",N7+Q7+L7)</f>
        <v/>
      </c>
      <c r="V7" s="7">
        <f>IF($W7="","",U7-S7-J7)</f>
        <v/>
      </c>
      <c r="W7" s="13">
        <f>IF(ROWS($W$2:$W7)&lt;=MAX('Per Line'!$Y$2:$Y$301),MATCH(ROWS($W$2:$W7),'Per Line'!$Y$2:$Y$301,0),"")</f>
        <v/>
      </c>
    </row>
    <row r="8">
      <c r="A8" s="12" t="n"/>
      <c r="B8">
        <f>IF($W8="","",INDEX('Per Line'!$A$2:$A$301,$W8)&amp;"")</f>
        <v/>
      </c>
      <c r="C8">
        <f>IF($W8="","",INDEX('Per Line'!$B$2:$B$301,$W8)&amp;"")</f>
        <v/>
      </c>
      <c r="D8" s="11">
        <f>IF($W8="","",INDEX('Per Line'!$C$2:$C$301,$W8))</f>
        <v/>
      </c>
      <c r="E8">
        <f>IF($W8="","",INDEX('Per Line'!$E$2:$E$301,$W8)&amp;"")</f>
        <v/>
      </c>
      <c r="F8">
        <f>IF($W8="","",INDEX('Per Line'!$F$2:$F$301,$W8)&amp;"")</f>
        <v/>
      </c>
      <c r="G8">
        <f>IF($W8="","",INDEX('Per Line'!$G$2:$G$301,$W8)&amp;"")</f>
        <v/>
      </c>
      <c r="H8">
        <f>IF($W8="","",INDEX('Per Line'!$H$2:$H$301,$W8)&amp;"")</f>
        <v/>
      </c>
      <c r="I8">
        <f>IF($W8="","",INDEX('Per Line'!$I$2:$I$301,$W8))</f>
        <v/>
      </c>
      <c r="J8" s="7">
        <f>IF($W8="","",I8*U8/100)</f>
        <v/>
      </c>
      <c r="K8">
        <f>IF($W8="","",INDEX('Per Line'!$R$2:$R$301,$W8)&amp;"")</f>
        <v/>
      </c>
      <c r="L8" s="7">
        <f>IF($W8="","",SUMIFS('Per Line'!$Q$2:$Q$301,'Per Line'!$B$2:$B$301,$C8,'Per Line'!$AA$2:$AA$301,1))</f>
        <v/>
      </c>
      <c r="M8">
        <f>IF($W8="","",Settings!$C$7)</f>
        <v/>
      </c>
      <c r="N8" s="7">
        <f>IF($W8="","",SUMIFS('Per Line'!$Q$2:$Q$301,'Per Line'!$B$2:$B$301,$C8,'Per Line'!$Z$2:$Z$301,0,'Per Line'!$AA$2:$AA$301,0))</f>
        <v/>
      </c>
      <c r="O8" s="7">
        <f>IF($W8="","",N8*M8)</f>
        <v/>
      </c>
      <c r="P8">
        <f>IF($W8="","",Settings!$C$6)</f>
        <v/>
      </c>
      <c r="Q8" s="7">
        <f>IF($W8="","",SUMIFS('Per Line'!$Q$2:$Q$301,'Per Line'!$B$2:$B$301,$C8,'Per Line'!$Z$2:$Z$301,1,'Per Line'!$AA$2:$AA$301,0))</f>
        <v/>
      </c>
      <c r="R8" s="7">
        <f>IF($W8="","",Q8*P8)</f>
        <v/>
      </c>
      <c r="S8" s="7">
        <f>IF($W8="","",R8+O8)</f>
        <v/>
      </c>
      <c r="T8" s="7">
        <f>IF($W8="","",U8-S8)</f>
        <v/>
      </c>
      <c r="U8" s="7">
        <f>IF($W8="","",N8+Q8+L8)</f>
        <v/>
      </c>
      <c r="V8" s="7">
        <f>IF($W8="","",U8-S8-J8)</f>
        <v/>
      </c>
      <c r="W8" s="13">
        <f>IF(ROWS($W$2:$W8)&lt;=MAX('Per Line'!$Y$2:$Y$301),MATCH(ROWS($W$2:$W8),'Per Line'!$Y$2:$Y$301,0),"")</f>
        <v/>
      </c>
    </row>
    <row r="9">
      <c r="A9" s="12" t="n"/>
      <c r="B9">
        <f>IF($W9="","",INDEX('Per Line'!$A$2:$A$301,$W9)&amp;"")</f>
        <v/>
      </c>
      <c r="C9">
        <f>IF($W9="","",INDEX('Per Line'!$B$2:$B$301,$W9)&amp;"")</f>
        <v/>
      </c>
      <c r="D9" s="11">
        <f>IF($W9="","",INDEX('Per Line'!$C$2:$C$301,$W9))</f>
        <v/>
      </c>
      <c r="E9">
        <f>IF($W9="","",INDEX('Per Line'!$E$2:$E$301,$W9)&amp;"")</f>
        <v/>
      </c>
      <c r="F9">
        <f>IF($W9="","",INDEX('Per Line'!$F$2:$F$301,$W9)&amp;"")</f>
        <v/>
      </c>
      <c r="G9">
        <f>IF($W9="","",INDEX('Per Line'!$G$2:$G$301,$W9)&amp;"")</f>
        <v/>
      </c>
      <c r="H9">
        <f>IF($W9="","",INDEX('Per Line'!$H$2:$H$301,$W9)&amp;"")</f>
        <v/>
      </c>
      <c r="I9">
        <f>IF($W9="","",INDEX('Per Line'!$I$2:$I$301,$W9))</f>
        <v/>
      </c>
      <c r="J9" s="7">
        <f>IF($W9="","",I9*U9/100)</f>
        <v/>
      </c>
      <c r="K9">
        <f>IF($W9="","",INDEX('Per Line'!$R$2:$R$301,$W9)&amp;"")</f>
        <v/>
      </c>
      <c r="L9" s="7">
        <f>IF($W9="","",SUMIFS('Per Line'!$Q$2:$Q$301,'Per Line'!$B$2:$B$301,$C9,'Per Line'!$AA$2:$AA$301,1))</f>
        <v/>
      </c>
      <c r="M9">
        <f>IF($W9="","",Settings!$C$7)</f>
        <v/>
      </c>
      <c r="N9" s="7">
        <f>IF($W9="","",SUMIFS('Per Line'!$Q$2:$Q$301,'Per Line'!$B$2:$B$301,$C9,'Per Line'!$Z$2:$Z$301,0,'Per Line'!$AA$2:$AA$301,0))</f>
        <v/>
      </c>
      <c r="O9" s="7">
        <f>IF($W9="","",N9*M9)</f>
        <v/>
      </c>
      <c r="P9">
        <f>IF($W9="","",Settings!$C$6)</f>
        <v/>
      </c>
      <c r="Q9" s="7">
        <f>IF($W9="","",SUMIFS('Per Line'!$Q$2:$Q$301,'Per Line'!$B$2:$B$301,$C9,'Per Line'!$Z$2:$Z$301,1,'Per Line'!$AA$2:$AA$301,0))</f>
        <v/>
      </c>
      <c r="R9" s="7">
        <f>IF($W9="","",Q9*P9)</f>
        <v/>
      </c>
      <c r="S9" s="7">
        <f>IF($W9="","",R9+O9)</f>
        <v/>
      </c>
      <c r="T9" s="7">
        <f>IF($W9="","",U9-S9)</f>
        <v/>
      </c>
      <c r="U9" s="7">
        <f>IF($W9="","",N9+Q9+L9)</f>
        <v/>
      </c>
      <c r="V9" s="7">
        <f>IF($W9="","",U9-S9-J9)</f>
        <v/>
      </c>
      <c r="W9" s="13">
        <f>IF(ROWS($W$2:$W9)&lt;=MAX('Per Line'!$Y$2:$Y$301),MATCH(ROWS($W$2:$W9),'Per Line'!$Y$2:$Y$301,0),"")</f>
        <v/>
      </c>
    </row>
    <row r="10">
      <c r="A10" s="12" t="n"/>
      <c r="B10">
        <f>IF($W10="","",INDEX('Per Line'!$A$2:$A$301,$W10)&amp;"")</f>
        <v/>
      </c>
      <c r="C10">
        <f>IF($W10="","",INDEX('Per Line'!$B$2:$B$301,$W10)&amp;"")</f>
        <v/>
      </c>
      <c r="D10" s="11">
        <f>IF($W10="","",INDEX('Per Line'!$C$2:$C$301,$W10))</f>
        <v/>
      </c>
      <c r="E10">
        <f>IF($W10="","",INDEX('Per Line'!$E$2:$E$301,$W10)&amp;"")</f>
        <v/>
      </c>
      <c r="F10">
        <f>IF($W10="","",INDEX('Per Line'!$F$2:$F$301,$W10)&amp;"")</f>
        <v/>
      </c>
      <c r="G10">
        <f>IF($W10="","",INDEX('Per Line'!$G$2:$G$301,$W10)&amp;"")</f>
        <v/>
      </c>
      <c r="H10">
        <f>IF($W10="","",INDEX('Per Line'!$H$2:$H$301,$W10)&amp;"")</f>
        <v/>
      </c>
      <c r="I10">
        <f>IF($W10="","",INDEX('Per Line'!$I$2:$I$301,$W10))</f>
        <v/>
      </c>
      <c r="J10" s="7">
        <f>IF($W10="","",I10*U10/100)</f>
        <v/>
      </c>
      <c r="K10">
        <f>IF($W10="","",INDEX('Per Line'!$R$2:$R$301,$W10)&amp;"")</f>
        <v/>
      </c>
      <c r="L10" s="7">
        <f>IF($W10="","",SUMIFS('Per Line'!$Q$2:$Q$301,'Per Line'!$B$2:$B$301,$C10,'Per Line'!$AA$2:$AA$301,1))</f>
        <v/>
      </c>
      <c r="M10">
        <f>IF($W10="","",Settings!$C$7)</f>
        <v/>
      </c>
      <c r="N10" s="7">
        <f>IF($W10="","",SUMIFS('Per Line'!$Q$2:$Q$301,'Per Line'!$B$2:$B$301,$C10,'Per Line'!$Z$2:$Z$301,0,'Per Line'!$AA$2:$AA$301,0))</f>
        <v/>
      </c>
      <c r="O10" s="7">
        <f>IF($W10="","",N10*M10)</f>
        <v/>
      </c>
      <c r="P10">
        <f>IF($W10="","",Settings!$C$6)</f>
        <v/>
      </c>
      <c r="Q10" s="7">
        <f>IF($W10="","",SUMIFS('Per Line'!$Q$2:$Q$301,'Per Line'!$B$2:$B$301,$C10,'Per Line'!$Z$2:$Z$301,1,'Per Line'!$AA$2:$AA$301,0))</f>
        <v/>
      </c>
      <c r="R10" s="7">
        <f>IF($W10="","",Q10*P10)</f>
        <v/>
      </c>
      <c r="S10" s="7">
        <f>IF($W10="","",R10+O10)</f>
        <v/>
      </c>
      <c r="T10" s="7">
        <f>IF($W10="","",U10-S10)</f>
        <v/>
      </c>
      <c r="U10" s="7">
        <f>IF($W10="","",N10+Q10+L10)</f>
        <v/>
      </c>
      <c r="V10" s="7">
        <f>IF($W10="","",U10-S10-J10)</f>
        <v/>
      </c>
      <c r="W10" s="13">
        <f>IF(ROWS($W$2:$W10)&lt;=MAX('Per Line'!$Y$2:$Y$301),MATCH(ROWS($W$2:$W10),'Per Line'!$Y$2:$Y$301,0),"")</f>
        <v/>
      </c>
    </row>
    <row r="11">
      <c r="A11" s="12" t="n"/>
      <c r="B11">
        <f>IF($W11="","",INDEX('Per Line'!$A$2:$A$301,$W11)&amp;"")</f>
        <v/>
      </c>
      <c r="C11">
        <f>IF($W11="","",INDEX('Per Line'!$B$2:$B$301,$W11)&amp;"")</f>
        <v/>
      </c>
      <c r="D11" s="11">
        <f>IF($W11="","",INDEX('Per Line'!$C$2:$C$301,$W11))</f>
        <v/>
      </c>
      <c r="E11">
        <f>IF($W11="","",INDEX('Per Line'!$E$2:$E$301,$W11)&amp;"")</f>
        <v/>
      </c>
      <c r="F11">
        <f>IF($W11="","",INDEX('Per Line'!$F$2:$F$301,$W11)&amp;"")</f>
        <v/>
      </c>
      <c r="G11">
        <f>IF($W11="","",INDEX('Per Line'!$G$2:$G$301,$W11)&amp;"")</f>
        <v/>
      </c>
      <c r="H11">
        <f>IF($W11="","",INDEX('Per Line'!$H$2:$H$301,$W11)&amp;"")</f>
        <v/>
      </c>
      <c r="I11">
        <f>IF($W11="","",INDEX('Per Line'!$I$2:$I$301,$W11))</f>
        <v/>
      </c>
      <c r="J11" s="7">
        <f>IF($W11="","",I11*U11/100)</f>
        <v/>
      </c>
      <c r="K11">
        <f>IF($W11="","",INDEX('Per Line'!$R$2:$R$301,$W11)&amp;"")</f>
        <v/>
      </c>
      <c r="L11" s="7">
        <f>IF($W11="","",SUMIFS('Per Line'!$Q$2:$Q$301,'Per Line'!$B$2:$B$301,$C11,'Per Line'!$AA$2:$AA$301,1))</f>
        <v/>
      </c>
      <c r="M11">
        <f>IF($W11="","",Settings!$C$7)</f>
        <v/>
      </c>
      <c r="N11" s="7">
        <f>IF($W11="","",SUMIFS('Per Line'!$Q$2:$Q$301,'Per Line'!$B$2:$B$301,$C11,'Per Line'!$Z$2:$Z$301,0,'Per Line'!$AA$2:$AA$301,0))</f>
        <v/>
      </c>
      <c r="O11" s="7">
        <f>IF($W11="","",N11*M11)</f>
        <v/>
      </c>
      <c r="P11">
        <f>IF($W11="","",Settings!$C$6)</f>
        <v/>
      </c>
      <c r="Q11" s="7">
        <f>IF($W11="","",SUMIFS('Per Line'!$Q$2:$Q$301,'Per Line'!$B$2:$B$301,$C11,'Per Line'!$Z$2:$Z$301,1,'Per Line'!$AA$2:$AA$301,0))</f>
        <v/>
      </c>
      <c r="R11" s="7">
        <f>IF($W11="","",Q11*P11)</f>
        <v/>
      </c>
      <c r="S11" s="7">
        <f>IF($W11="","",R11+O11)</f>
        <v/>
      </c>
      <c r="T11" s="7">
        <f>IF($W11="","",U11-S11)</f>
        <v/>
      </c>
      <c r="U11" s="7">
        <f>IF($W11="","",N11+Q11+L11)</f>
        <v/>
      </c>
      <c r="V11" s="7">
        <f>IF($W11="","",U11-S11-J11)</f>
        <v/>
      </c>
      <c r="W11" s="13">
        <f>IF(ROWS($W$2:$W11)&lt;=MAX('Per Line'!$Y$2:$Y$301),MATCH(ROWS($W$2:$W11),'Per Line'!$Y$2:$Y$301,0),"")</f>
        <v/>
      </c>
    </row>
    <row r="12">
      <c r="A12" s="12" t="n"/>
      <c r="B12">
        <f>IF($W12="","",INDEX('Per Line'!$A$2:$A$301,$W12)&amp;"")</f>
        <v/>
      </c>
      <c r="C12">
        <f>IF($W12="","",INDEX('Per Line'!$B$2:$B$301,$W12)&amp;"")</f>
        <v/>
      </c>
      <c r="D12" s="11">
        <f>IF($W12="","",INDEX('Per Line'!$C$2:$C$301,$W12))</f>
        <v/>
      </c>
      <c r="E12">
        <f>IF($W12="","",INDEX('Per Line'!$E$2:$E$301,$W12)&amp;"")</f>
        <v/>
      </c>
      <c r="F12">
        <f>IF($W12="","",INDEX('Per Line'!$F$2:$F$301,$W12)&amp;"")</f>
        <v/>
      </c>
      <c r="G12">
        <f>IF($W12="","",INDEX('Per Line'!$G$2:$G$301,$W12)&amp;"")</f>
        <v/>
      </c>
      <c r="H12">
        <f>IF($W12="","",INDEX('Per Line'!$H$2:$H$301,$W12)&amp;"")</f>
        <v/>
      </c>
      <c r="I12">
        <f>IF($W12="","",INDEX('Per Line'!$I$2:$I$301,$W12))</f>
        <v/>
      </c>
      <c r="J12" s="7">
        <f>IF($W12="","",I12*U12/100)</f>
        <v/>
      </c>
      <c r="K12">
        <f>IF($W12="","",INDEX('Per Line'!$R$2:$R$301,$W12)&amp;"")</f>
        <v/>
      </c>
      <c r="L12" s="7">
        <f>IF($W12="","",SUMIFS('Per Line'!$Q$2:$Q$301,'Per Line'!$B$2:$B$301,$C12,'Per Line'!$AA$2:$AA$301,1))</f>
        <v/>
      </c>
      <c r="M12">
        <f>IF($W12="","",Settings!$C$7)</f>
        <v/>
      </c>
      <c r="N12" s="7">
        <f>IF($W12="","",SUMIFS('Per Line'!$Q$2:$Q$301,'Per Line'!$B$2:$B$301,$C12,'Per Line'!$Z$2:$Z$301,0,'Per Line'!$AA$2:$AA$301,0))</f>
        <v/>
      </c>
      <c r="O12" s="7">
        <f>IF($W12="","",N12*M12)</f>
        <v/>
      </c>
      <c r="P12">
        <f>IF($W12="","",Settings!$C$6)</f>
        <v/>
      </c>
      <c r="Q12" s="7">
        <f>IF($W12="","",SUMIFS('Per Line'!$Q$2:$Q$301,'Per Line'!$B$2:$B$301,$C12,'Per Line'!$Z$2:$Z$301,1,'Per Line'!$AA$2:$AA$301,0))</f>
        <v/>
      </c>
      <c r="R12" s="7">
        <f>IF($W12="","",Q12*P12)</f>
        <v/>
      </c>
      <c r="S12" s="7">
        <f>IF($W12="","",R12+O12)</f>
        <v/>
      </c>
      <c r="T12" s="7">
        <f>IF($W12="","",U12-S12)</f>
        <v/>
      </c>
      <c r="U12" s="7">
        <f>IF($W12="","",N12+Q12+L12)</f>
        <v/>
      </c>
      <c r="V12" s="7">
        <f>IF($W12="","",U12-S12-J12)</f>
        <v/>
      </c>
      <c r="W12" s="13">
        <f>IF(ROWS($W$2:$W12)&lt;=MAX('Per Line'!$Y$2:$Y$301),MATCH(ROWS($W$2:$W12),'Per Line'!$Y$2:$Y$301,0),"")</f>
        <v/>
      </c>
    </row>
    <row r="13">
      <c r="A13" s="12" t="n"/>
      <c r="B13">
        <f>IF($W13="","",INDEX('Per Line'!$A$2:$A$301,$W13)&amp;"")</f>
        <v/>
      </c>
      <c r="C13">
        <f>IF($W13="","",INDEX('Per Line'!$B$2:$B$301,$W13)&amp;"")</f>
        <v/>
      </c>
      <c r="D13" s="11">
        <f>IF($W13="","",INDEX('Per Line'!$C$2:$C$301,$W13))</f>
        <v/>
      </c>
      <c r="E13">
        <f>IF($W13="","",INDEX('Per Line'!$E$2:$E$301,$W13)&amp;"")</f>
        <v/>
      </c>
      <c r="F13">
        <f>IF($W13="","",INDEX('Per Line'!$F$2:$F$301,$W13)&amp;"")</f>
        <v/>
      </c>
      <c r="G13">
        <f>IF($W13="","",INDEX('Per Line'!$G$2:$G$301,$W13)&amp;"")</f>
        <v/>
      </c>
      <c r="H13">
        <f>IF($W13="","",INDEX('Per Line'!$H$2:$H$301,$W13)&amp;"")</f>
        <v/>
      </c>
      <c r="I13">
        <f>IF($W13="","",INDEX('Per Line'!$I$2:$I$301,$W13))</f>
        <v/>
      </c>
      <c r="J13" s="7">
        <f>IF($W13="","",I13*U13/100)</f>
        <v/>
      </c>
      <c r="K13">
        <f>IF($W13="","",INDEX('Per Line'!$R$2:$R$301,$W13)&amp;"")</f>
        <v/>
      </c>
      <c r="L13" s="7">
        <f>IF($W13="","",SUMIFS('Per Line'!$Q$2:$Q$301,'Per Line'!$B$2:$B$301,$C13,'Per Line'!$AA$2:$AA$301,1))</f>
        <v/>
      </c>
      <c r="M13">
        <f>IF($W13="","",Settings!$C$7)</f>
        <v/>
      </c>
      <c r="N13" s="7">
        <f>IF($W13="","",SUMIFS('Per Line'!$Q$2:$Q$301,'Per Line'!$B$2:$B$301,$C13,'Per Line'!$Z$2:$Z$301,0,'Per Line'!$AA$2:$AA$301,0))</f>
        <v/>
      </c>
      <c r="O13" s="7">
        <f>IF($W13="","",N13*M13)</f>
        <v/>
      </c>
      <c r="P13">
        <f>IF($W13="","",Settings!$C$6)</f>
        <v/>
      </c>
      <c r="Q13" s="7">
        <f>IF($W13="","",SUMIFS('Per Line'!$Q$2:$Q$301,'Per Line'!$B$2:$B$301,$C13,'Per Line'!$Z$2:$Z$301,1,'Per Line'!$AA$2:$AA$301,0))</f>
        <v/>
      </c>
      <c r="R13" s="7">
        <f>IF($W13="","",Q13*P13)</f>
        <v/>
      </c>
      <c r="S13" s="7">
        <f>IF($W13="","",R13+O13)</f>
        <v/>
      </c>
      <c r="T13" s="7">
        <f>IF($W13="","",U13-S13)</f>
        <v/>
      </c>
      <c r="U13" s="7">
        <f>IF($W13="","",N13+Q13+L13)</f>
        <v/>
      </c>
      <c r="V13" s="7">
        <f>IF($W13="","",U13-S13-J13)</f>
        <v/>
      </c>
      <c r="W13" s="13">
        <f>IF(ROWS($W$2:$W13)&lt;=MAX('Per Line'!$Y$2:$Y$301),MATCH(ROWS($W$2:$W13),'Per Line'!$Y$2:$Y$301,0),"")</f>
        <v/>
      </c>
    </row>
    <row r="14">
      <c r="A14" s="12" t="n"/>
      <c r="B14">
        <f>IF($W14="","",INDEX('Per Line'!$A$2:$A$301,$W14)&amp;"")</f>
        <v/>
      </c>
      <c r="C14">
        <f>IF($W14="","",INDEX('Per Line'!$B$2:$B$301,$W14)&amp;"")</f>
        <v/>
      </c>
      <c r="D14" s="11">
        <f>IF($W14="","",INDEX('Per Line'!$C$2:$C$301,$W14))</f>
        <v/>
      </c>
      <c r="E14">
        <f>IF($W14="","",INDEX('Per Line'!$E$2:$E$301,$W14)&amp;"")</f>
        <v/>
      </c>
      <c r="F14">
        <f>IF($W14="","",INDEX('Per Line'!$F$2:$F$301,$W14)&amp;"")</f>
        <v/>
      </c>
      <c r="G14">
        <f>IF($W14="","",INDEX('Per Line'!$G$2:$G$301,$W14)&amp;"")</f>
        <v/>
      </c>
      <c r="H14">
        <f>IF($W14="","",INDEX('Per Line'!$H$2:$H$301,$W14)&amp;"")</f>
        <v/>
      </c>
      <c r="I14">
        <f>IF($W14="","",INDEX('Per Line'!$I$2:$I$301,$W14))</f>
        <v/>
      </c>
      <c r="J14" s="7">
        <f>IF($W14="","",I14*U14/100)</f>
        <v/>
      </c>
      <c r="K14">
        <f>IF($W14="","",INDEX('Per Line'!$R$2:$R$301,$W14)&amp;"")</f>
        <v/>
      </c>
      <c r="L14" s="7">
        <f>IF($W14="","",SUMIFS('Per Line'!$Q$2:$Q$301,'Per Line'!$B$2:$B$301,$C14,'Per Line'!$AA$2:$AA$301,1))</f>
        <v/>
      </c>
      <c r="M14">
        <f>IF($W14="","",Settings!$C$7)</f>
        <v/>
      </c>
      <c r="N14" s="7">
        <f>IF($W14="","",SUMIFS('Per Line'!$Q$2:$Q$301,'Per Line'!$B$2:$B$301,$C14,'Per Line'!$Z$2:$Z$301,0,'Per Line'!$AA$2:$AA$301,0))</f>
        <v/>
      </c>
      <c r="O14" s="7">
        <f>IF($W14="","",N14*M14)</f>
        <v/>
      </c>
      <c r="P14">
        <f>IF($W14="","",Settings!$C$6)</f>
        <v/>
      </c>
      <c r="Q14" s="7">
        <f>IF($W14="","",SUMIFS('Per Line'!$Q$2:$Q$301,'Per Line'!$B$2:$B$301,$C14,'Per Line'!$Z$2:$Z$301,1,'Per Line'!$AA$2:$AA$301,0))</f>
        <v/>
      </c>
      <c r="R14" s="7">
        <f>IF($W14="","",Q14*P14)</f>
        <v/>
      </c>
      <c r="S14" s="7">
        <f>IF($W14="","",R14+O14)</f>
        <v/>
      </c>
      <c r="T14" s="7">
        <f>IF($W14="","",U14-S14)</f>
        <v/>
      </c>
      <c r="U14" s="7">
        <f>IF($W14="","",N14+Q14+L14)</f>
        <v/>
      </c>
      <c r="V14" s="7">
        <f>IF($W14="","",U14-S14-J14)</f>
        <v/>
      </c>
      <c r="W14" s="13">
        <f>IF(ROWS($W$2:$W14)&lt;=MAX('Per Line'!$Y$2:$Y$301),MATCH(ROWS($W$2:$W14),'Per Line'!$Y$2:$Y$301,0),"")</f>
        <v/>
      </c>
    </row>
    <row r="15">
      <c r="A15" s="12" t="n"/>
      <c r="B15">
        <f>IF($W15="","",INDEX('Per Line'!$A$2:$A$301,$W15)&amp;"")</f>
        <v/>
      </c>
      <c r="C15">
        <f>IF($W15="","",INDEX('Per Line'!$B$2:$B$301,$W15)&amp;"")</f>
        <v/>
      </c>
      <c r="D15" s="11">
        <f>IF($W15="","",INDEX('Per Line'!$C$2:$C$301,$W15))</f>
        <v/>
      </c>
      <c r="E15">
        <f>IF($W15="","",INDEX('Per Line'!$E$2:$E$301,$W15)&amp;"")</f>
        <v/>
      </c>
      <c r="F15">
        <f>IF($W15="","",INDEX('Per Line'!$F$2:$F$301,$W15)&amp;"")</f>
        <v/>
      </c>
      <c r="G15">
        <f>IF($W15="","",INDEX('Per Line'!$G$2:$G$301,$W15)&amp;"")</f>
        <v/>
      </c>
      <c r="H15">
        <f>IF($W15="","",INDEX('Per Line'!$H$2:$H$301,$W15)&amp;"")</f>
        <v/>
      </c>
      <c r="I15">
        <f>IF($W15="","",INDEX('Per Line'!$I$2:$I$301,$W15))</f>
        <v/>
      </c>
      <c r="J15" s="7">
        <f>IF($W15="","",I15*U15/100)</f>
        <v/>
      </c>
      <c r="K15">
        <f>IF($W15="","",INDEX('Per Line'!$R$2:$R$301,$W15)&amp;"")</f>
        <v/>
      </c>
      <c r="L15" s="7">
        <f>IF($W15="","",SUMIFS('Per Line'!$Q$2:$Q$301,'Per Line'!$B$2:$B$301,$C15,'Per Line'!$AA$2:$AA$301,1))</f>
        <v/>
      </c>
      <c r="M15">
        <f>IF($W15="","",Settings!$C$7)</f>
        <v/>
      </c>
      <c r="N15" s="7">
        <f>IF($W15="","",SUMIFS('Per Line'!$Q$2:$Q$301,'Per Line'!$B$2:$B$301,$C15,'Per Line'!$Z$2:$Z$301,0,'Per Line'!$AA$2:$AA$301,0))</f>
        <v/>
      </c>
      <c r="O15" s="7">
        <f>IF($W15="","",N15*M15)</f>
        <v/>
      </c>
      <c r="P15">
        <f>IF($W15="","",Settings!$C$6)</f>
        <v/>
      </c>
      <c r="Q15" s="7">
        <f>IF($W15="","",SUMIFS('Per Line'!$Q$2:$Q$301,'Per Line'!$B$2:$B$301,$C15,'Per Line'!$Z$2:$Z$301,1,'Per Line'!$AA$2:$AA$301,0))</f>
        <v/>
      </c>
      <c r="R15" s="7">
        <f>IF($W15="","",Q15*P15)</f>
        <v/>
      </c>
      <c r="S15" s="7">
        <f>IF($W15="","",R15+O15)</f>
        <v/>
      </c>
      <c r="T15" s="7">
        <f>IF($W15="","",U15-S15)</f>
        <v/>
      </c>
      <c r="U15" s="7">
        <f>IF($W15="","",N15+Q15+L15)</f>
        <v/>
      </c>
      <c r="V15" s="7">
        <f>IF($W15="","",U15-S15-J15)</f>
        <v/>
      </c>
      <c r="W15" s="13">
        <f>IF(ROWS($W$2:$W15)&lt;=MAX('Per Line'!$Y$2:$Y$301),MATCH(ROWS($W$2:$W15),'Per Line'!$Y$2:$Y$301,0),"")</f>
        <v/>
      </c>
    </row>
    <row r="16">
      <c r="A16" s="12" t="n"/>
      <c r="B16">
        <f>IF($W16="","",INDEX('Per Line'!$A$2:$A$301,$W16)&amp;"")</f>
        <v/>
      </c>
      <c r="C16">
        <f>IF($W16="","",INDEX('Per Line'!$B$2:$B$301,$W16)&amp;"")</f>
        <v/>
      </c>
      <c r="D16" s="11">
        <f>IF($W16="","",INDEX('Per Line'!$C$2:$C$301,$W16))</f>
        <v/>
      </c>
      <c r="E16">
        <f>IF($W16="","",INDEX('Per Line'!$E$2:$E$301,$W16)&amp;"")</f>
        <v/>
      </c>
      <c r="F16">
        <f>IF($W16="","",INDEX('Per Line'!$F$2:$F$301,$W16)&amp;"")</f>
        <v/>
      </c>
      <c r="G16">
        <f>IF($W16="","",INDEX('Per Line'!$G$2:$G$301,$W16)&amp;"")</f>
        <v/>
      </c>
      <c r="H16">
        <f>IF($W16="","",INDEX('Per Line'!$H$2:$H$301,$W16)&amp;"")</f>
        <v/>
      </c>
      <c r="I16">
        <f>IF($W16="","",INDEX('Per Line'!$I$2:$I$301,$W16))</f>
        <v/>
      </c>
      <c r="J16" s="7">
        <f>IF($W16="","",I16*U16/100)</f>
        <v/>
      </c>
      <c r="K16">
        <f>IF($W16="","",INDEX('Per Line'!$R$2:$R$301,$W16)&amp;"")</f>
        <v/>
      </c>
      <c r="L16" s="7">
        <f>IF($W16="","",SUMIFS('Per Line'!$Q$2:$Q$301,'Per Line'!$B$2:$B$301,$C16,'Per Line'!$AA$2:$AA$301,1))</f>
        <v/>
      </c>
      <c r="M16">
        <f>IF($W16="","",Settings!$C$7)</f>
        <v/>
      </c>
      <c r="N16" s="7">
        <f>IF($W16="","",SUMIFS('Per Line'!$Q$2:$Q$301,'Per Line'!$B$2:$B$301,$C16,'Per Line'!$Z$2:$Z$301,0,'Per Line'!$AA$2:$AA$301,0))</f>
        <v/>
      </c>
      <c r="O16" s="7">
        <f>IF($W16="","",N16*M16)</f>
        <v/>
      </c>
      <c r="P16">
        <f>IF($W16="","",Settings!$C$6)</f>
        <v/>
      </c>
      <c r="Q16" s="7">
        <f>IF($W16="","",SUMIFS('Per Line'!$Q$2:$Q$301,'Per Line'!$B$2:$B$301,$C16,'Per Line'!$Z$2:$Z$301,1,'Per Line'!$AA$2:$AA$301,0))</f>
        <v/>
      </c>
      <c r="R16" s="7">
        <f>IF($W16="","",Q16*P16)</f>
        <v/>
      </c>
      <c r="S16" s="7">
        <f>IF($W16="","",R16+O16)</f>
        <v/>
      </c>
      <c r="T16" s="7">
        <f>IF($W16="","",U16-S16)</f>
        <v/>
      </c>
      <c r="U16" s="7">
        <f>IF($W16="","",N16+Q16+L16)</f>
        <v/>
      </c>
      <c r="V16" s="7">
        <f>IF($W16="","",U16-S16-J16)</f>
        <v/>
      </c>
      <c r="W16" s="13">
        <f>IF(ROWS($W$2:$W16)&lt;=MAX('Per Line'!$Y$2:$Y$301),MATCH(ROWS($W$2:$W16),'Per Line'!$Y$2:$Y$301,0),"")</f>
        <v/>
      </c>
    </row>
    <row r="17">
      <c r="A17" s="12" t="n"/>
      <c r="B17">
        <f>IF($W17="","",INDEX('Per Line'!$A$2:$A$301,$W17)&amp;"")</f>
        <v/>
      </c>
      <c r="C17">
        <f>IF($W17="","",INDEX('Per Line'!$B$2:$B$301,$W17)&amp;"")</f>
        <v/>
      </c>
      <c r="D17" s="11">
        <f>IF($W17="","",INDEX('Per Line'!$C$2:$C$301,$W17))</f>
        <v/>
      </c>
      <c r="E17">
        <f>IF($W17="","",INDEX('Per Line'!$E$2:$E$301,$W17)&amp;"")</f>
        <v/>
      </c>
      <c r="F17">
        <f>IF($W17="","",INDEX('Per Line'!$F$2:$F$301,$W17)&amp;"")</f>
        <v/>
      </c>
      <c r="G17">
        <f>IF($W17="","",INDEX('Per Line'!$G$2:$G$301,$W17)&amp;"")</f>
        <v/>
      </c>
      <c r="H17">
        <f>IF($W17="","",INDEX('Per Line'!$H$2:$H$301,$W17)&amp;"")</f>
        <v/>
      </c>
      <c r="I17">
        <f>IF($W17="","",INDEX('Per Line'!$I$2:$I$301,$W17))</f>
        <v/>
      </c>
      <c r="J17" s="7">
        <f>IF($W17="","",I17*U17/100)</f>
        <v/>
      </c>
      <c r="K17">
        <f>IF($W17="","",INDEX('Per Line'!$R$2:$R$301,$W17)&amp;"")</f>
        <v/>
      </c>
      <c r="L17" s="7">
        <f>IF($W17="","",SUMIFS('Per Line'!$Q$2:$Q$301,'Per Line'!$B$2:$B$301,$C17,'Per Line'!$AA$2:$AA$301,1))</f>
        <v/>
      </c>
      <c r="M17">
        <f>IF($W17="","",Settings!$C$7)</f>
        <v/>
      </c>
      <c r="N17" s="7">
        <f>IF($W17="","",SUMIFS('Per Line'!$Q$2:$Q$301,'Per Line'!$B$2:$B$301,$C17,'Per Line'!$Z$2:$Z$301,0,'Per Line'!$AA$2:$AA$301,0))</f>
        <v/>
      </c>
      <c r="O17" s="7">
        <f>IF($W17="","",N17*M17)</f>
        <v/>
      </c>
      <c r="P17">
        <f>IF($W17="","",Settings!$C$6)</f>
        <v/>
      </c>
      <c r="Q17" s="7">
        <f>IF($W17="","",SUMIFS('Per Line'!$Q$2:$Q$301,'Per Line'!$B$2:$B$301,$C17,'Per Line'!$Z$2:$Z$301,1,'Per Line'!$AA$2:$AA$301,0))</f>
        <v/>
      </c>
      <c r="R17" s="7">
        <f>IF($W17="","",Q17*P17)</f>
        <v/>
      </c>
      <c r="S17" s="7">
        <f>IF($W17="","",R17+O17)</f>
        <v/>
      </c>
      <c r="T17" s="7">
        <f>IF($W17="","",U17-S17)</f>
        <v/>
      </c>
      <c r="U17" s="7">
        <f>IF($W17="","",N17+Q17+L17)</f>
        <v/>
      </c>
      <c r="V17" s="7">
        <f>IF($W17="","",U17-S17-J17)</f>
        <v/>
      </c>
      <c r="W17" s="13">
        <f>IF(ROWS($W$2:$W17)&lt;=MAX('Per Line'!$Y$2:$Y$301),MATCH(ROWS($W$2:$W17),'Per Line'!$Y$2:$Y$301,0),"")</f>
        <v/>
      </c>
    </row>
    <row r="18">
      <c r="A18" s="12" t="n"/>
      <c r="B18">
        <f>IF($W18="","",INDEX('Per Line'!$A$2:$A$301,$W18)&amp;"")</f>
        <v/>
      </c>
      <c r="C18">
        <f>IF($W18="","",INDEX('Per Line'!$B$2:$B$301,$W18)&amp;"")</f>
        <v/>
      </c>
      <c r="D18" s="11">
        <f>IF($W18="","",INDEX('Per Line'!$C$2:$C$301,$W18))</f>
        <v/>
      </c>
      <c r="E18">
        <f>IF($W18="","",INDEX('Per Line'!$E$2:$E$301,$W18)&amp;"")</f>
        <v/>
      </c>
      <c r="F18">
        <f>IF($W18="","",INDEX('Per Line'!$F$2:$F$301,$W18)&amp;"")</f>
        <v/>
      </c>
      <c r="G18">
        <f>IF($W18="","",INDEX('Per Line'!$G$2:$G$301,$W18)&amp;"")</f>
        <v/>
      </c>
      <c r="H18">
        <f>IF($W18="","",INDEX('Per Line'!$H$2:$H$301,$W18)&amp;"")</f>
        <v/>
      </c>
      <c r="I18">
        <f>IF($W18="","",INDEX('Per Line'!$I$2:$I$301,$W18))</f>
        <v/>
      </c>
      <c r="J18" s="7">
        <f>IF($W18="","",I18*U18/100)</f>
        <v/>
      </c>
      <c r="K18">
        <f>IF($W18="","",INDEX('Per Line'!$R$2:$R$301,$W18)&amp;"")</f>
        <v/>
      </c>
      <c r="L18" s="7">
        <f>IF($W18="","",SUMIFS('Per Line'!$Q$2:$Q$301,'Per Line'!$B$2:$B$301,$C18,'Per Line'!$AA$2:$AA$301,1))</f>
        <v/>
      </c>
      <c r="M18">
        <f>IF($W18="","",Settings!$C$7)</f>
        <v/>
      </c>
      <c r="N18" s="7">
        <f>IF($W18="","",SUMIFS('Per Line'!$Q$2:$Q$301,'Per Line'!$B$2:$B$301,$C18,'Per Line'!$Z$2:$Z$301,0,'Per Line'!$AA$2:$AA$301,0))</f>
        <v/>
      </c>
      <c r="O18" s="7">
        <f>IF($W18="","",N18*M18)</f>
        <v/>
      </c>
      <c r="P18">
        <f>IF($W18="","",Settings!$C$6)</f>
        <v/>
      </c>
      <c r="Q18" s="7">
        <f>IF($W18="","",SUMIFS('Per Line'!$Q$2:$Q$301,'Per Line'!$B$2:$B$301,$C18,'Per Line'!$Z$2:$Z$301,1,'Per Line'!$AA$2:$AA$301,0))</f>
        <v/>
      </c>
      <c r="R18" s="7">
        <f>IF($W18="","",Q18*P18)</f>
        <v/>
      </c>
      <c r="S18" s="7">
        <f>IF($W18="","",R18+O18)</f>
        <v/>
      </c>
      <c r="T18" s="7">
        <f>IF($W18="","",U18-S18)</f>
        <v/>
      </c>
      <c r="U18" s="7">
        <f>IF($W18="","",N18+Q18+L18)</f>
        <v/>
      </c>
      <c r="V18" s="7">
        <f>IF($W18="","",U18-S18-J18)</f>
        <v/>
      </c>
      <c r="W18" s="13">
        <f>IF(ROWS($W$2:$W18)&lt;=MAX('Per Line'!$Y$2:$Y$301),MATCH(ROWS($W$2:$W18),'Per Line'!$Y$2:$Y$301,0),"")</f>
        <v/>
      </c>
    </row>
    <row r="19">
      <c r="A19" s="12" t="n"/>
      <c r="B19">
        <f>IF($W19="","",INDEX('Per Line'!$A$2:$A$301,$W19)&amp;"")</f>
        <v/>
      </c>
      <c r="C19">
        <f>IF($W19="","",INDEX('Per Line'!$B$2:$B$301,$W19)&amp;"")</f>
        <v/>
      </c>
      <c r="D19" s="11">
        <f>IF($W19="","",INDEX('Per Line'!$C$2:$C$301,$W19))</f>
        <v/>
      </c>
      <c r="E19">
        <f>IF($W19="","",INDEX('Per Line'!$E$2:$E$301,$W19)&amp;"")</f>
        <v/>
      </c>
      <c r="F19">
        <f>IF($W19="","",INDEX('Per Line'!$F$2:$F$301,$W19)&amp;"")</f>
        <v/>
      </c>
      <c r="G19">
        <f>IF($W19="","",INDEX('Per Line'!$G$2:$G$301,$W19)&amp;"")</f>
        <v/>
      </c>
      <c r="H19">
        <f>IF($W19="","",INDEX('Per Line'!$H$2:$H$301,$W19)&amp;"")</f>
        <v/>
      </c>
      <c r="I19">
        <f>IF($W19="","",INDEX('Per Line'!$I$2:$I$301,$W19))</f>
        <v/>
      </c>
      <c r="J19" s="7">
        <f>IF($W19="","",I19*U19/100)</f>
        <v/>
      </c>
      <c r="K19">
        <f>IF($W19="","",INDEX('Per Line'!$R$2:$R$301,$W19)&amp;"")</f>
        <v/>
      </c>
      <c r="L19" s="7">
        <f>IF($W19="","",SUMIFS('Per Line'!$Q$2:$Q$301,'Per Line'!$B$2:$B$301,$C19,'Per Line'!$AA$2:$AA$301,1))</f>
        <v/>
      </c>
      <c r="M19">
        <f>IF($W19="","",Settings!$C$7)</f>
        <v/>
      </c>
      <c r="N19" s="7">
        <f>IF($W19="","",SUMIFS('Per Line'!$Q$2:$Q$301,'Per Line'!$B$2:$B$301,$C19,'Per Line'!$Z$2:$Z$301,0,'Per Line'!$AA$2:$AA$301,0))</f>
        <v/>
      </c>
      <c r="O19" s="7">
        <f>IF($W19="","",N19*M19)</f>
        <v/>
      </c>
      <c r="P19">
        <f>IF($W19="","",Settings!$C$6)</f>
        <v/>
      </c>
      <c r="Q19" s="7">
        <f>IF($W19="","",SUMIFS('Per Line'!$Q$2:$Q$301,'Per Line'!$B$2:$B$301,$C19,'Per Line'!$Z$2:$Z$301,1,'Per Line'!$AA$2:$AA$301,0))</f>
        <v/>
      </c>
      <c r="R19" s="7">
        <f>IF($W19="","",Q19*P19)</f>
        <v/>
      </c>
      <c r="S19" s="7">
        <f>IF($W19="","",R19+O19)</f>
        <v/>
      </c>
      <c r="T19" s="7">
        <f>IF($W19="","",U19-S19)</f>
        <v/>
      </c>
      <c r="U19" s="7">
        <f>IF($W19="","",N19+Q19+L19)</f>
        <v/>
      </c>
      <c r="V19" s="7">
        <f>IF($W19="","",U19-S19-J19)</f>
        <v/>
      </c>
      <c r="W19" s="13">
        <f>IF(ROWS($W$2:$W19)&lt;=MAX('Per Line'!$Y$2:$Y$301),MATCH(ROWS($W$2:$W19),'Per Line'!$Y$2:$Y$301,0),"")</f>
        <v/>
      </c>
    </row>
    <row r="20">
      <c r="A20" s="12" t="n"/>
      <c r="B20">
        <f>IF($W20="","",INDEX('Per Line'!$A$2:$A$301,$W20)&amp;"")</f>
        <v/>
      </c>
      <c r="C20">
        <f>IF($W20="","",INDEX('Per Line'!$B$2:$B$301,$W20)&amp;"")</f>
        <v/>
      </c>
      <c r="D20" s="11">
        <f>IF($W20="","",INDEX('Per Line'!$C$2:$C$301,$W20))</f>
        <v/>
      </c>
      <c r="E20">
        <f>IF($W20="","",INDEX('Per Line'!$E$2:$E$301,$W20)&amp;"")</f>
        <v/>
      </c>
      <c r="F20">
        <f>IF($W20="","",INDEX('Per Line'!$F$2:$F$301,$W20)&amp;"")</f>
        <v/>
      </c>
      <c r="G20">
        <f>IF($W20="","",INDEX('Per Line'!$G$2:$G$301,$W20)&amp;"")</f>
        <v/>
      </c>
      <c r="H20">
        <f>IF($W20="","",INDEX('Per Line'!$H$2:$H$301,$W20)&amp;"")</f>
        <v/>
      </c>
      <c r="I20">
        <f>IF($W20="","",INDEX('Per Line'!$I$2:$I$301,$W20))</f>
        <v/>
      </c>
      <c r="J20" s="7">
        <f>IF($W20="","",I20*U20/100)</f>
        <v/>
      </c>
      <c r="K20">
        <f>IF($W20="","",INDEX('Per Line'!$R$2:$R$301,$W20)&amp;"")</f>
        <v/>
      </c>
      <c r="L20" s="7">
        <f>IF($W20="","",SUMIFS('Per Line'!$Q$2:$Q$301,'Per Line'!$B$2:$B$301,$C20,'Per Line'!$AA$2:$AA$301,1))</f>
        <v/>
      </c>
      <c r="M20">
        <f>IF($W20="","",Settings!$C$7)</f>
        <v/>
      </c>
      <c r="N20" s="7">
        <f>IF($W20="","",SUMIFS('Per Line'!$Q$2:$Q$301,'Per Line'!$B$2:$B$301,$C20,'Per Line'!$Z$2:$Z$301,0,'Per Line'!$AA$2:$AA$301,0))</f>
        <v/>
      </c>
      <c r="O20" s="7">
        <f>IF($W20="","",N20*M20)</f>
        <v/>
      </c>
      <c r="P20">
        <f>IF($W20="","",Settings!$C$6)</f>
        <v/>
      </c>
      <c r="Q20" s="7">
        <f>IF($W20="","",SUMIFS('Per Line'!$Q$2:$Q$301,'Per Line'!$B$2:$B$301,$C20,'Per Line'!$Z$2:$Z$301,1,'Per Line'!$AA$2:$AA$301,0))</f>
        <v/>
      </c>
      <c r="R20" s="7">
        <f>IF($W20="","",Q20*P20)</f>
        <v/>
      </c>
      <c r="S20" s="7">
        <f>IF($W20="","",R20+O20)</f>
        <v/>
      </c>
      <c r="T20" s="7">
        <f>IF($W20="","",U20-S20)</f>
        <v/>
      </c>
      <c r="U20" s="7">
        <f>IF($W20="","",N20+Q20+L20)</f>
        <v/>
      </c>
      <c r="V20" s="7">
        <f>IF($W20="","",U20-S20-J20)</f>
        <v/>
      </c>
      <c r="W20" s="13">
        <f>IF(ROWS($W$2:$W20)&lt;=MAX('Per Line'!$Y$2:$Y$301),MATCH(ROWS($W$2:$W20),'Per Line'!$Y$2:$Y$301,0),"")</f>
        <v/>
      </c>
    </row>
    <row r="21">
      <c r="A21" s="12" t="n"/>
      <c r="B21">
        <f>IF($W21="","",INDEX('Per Line'!$A$2:$A$301,$W21)&amp;"")</f>
        <v/>
      </c>
      <c r="C21">
        <f>IF($W21="","",INDEX('Per Line'!$B$2:$B$301,$W21)&amp;"")</f>
        <v/>
      </c>
      <c r="D21" s="11">
        <f>IF($W21="","",INDEX('Per Line'!$C$2:$C$301,$W21))</f>
        <v/>
      </c>
      <c r="E21">
        <f>IF($W21="","",INDEX('Per Line'!$E$2:$E$301,$W21)&amp;"")</f>
        <v/>
      </c>
      <c r="F21">
        <f>IF($W21="","",INDEX('Per Line'!$F$2:$F$301,$W21)&amp;"")</f>
        <v/>
      </c>
      <c r="G21">
        <f>IF($W21="","",INDEX('Per Line'!$G$2:$G$301,$W21)&amp;"")</f>
        <v/>
      </c>
      <c r="H21">
        <f>IF($W21="","",INDEX('Per Line'!$H$2:$H$301,$W21)&amp;"")</f>
        <v/>
      </c>
      <c r="I21">
        <f>IF($W21="","",INDEX('Per Line'!$I$2:$I$301,$W21))</f>
        <v/>
      </c>
      <c r="J21" s="7">
        <f>IF($W21="","",I21*U21/100)</f>
        <v/>
      </c>
      <c r="K21">
        <f>IF($W21="","",INDEX('Per Line'!$R$2:$R$301,$W21)&amp;"")</f>
        <v/>
      </c>
      <c r="L21" s="7">
        <f>IF($W21="","",SUMIFS('Per Line'!$Q$2:$Q$301,'Per Line'!$B$2:$B$301,$C21,'Per Line'!$AA$2:$AA$301,1))</f>
        <v/>
      </c>
      <c r="M21">
        <f>IF($W21="","",Settings!$C$7)</f>
        <v/>
      </c>
      <c r="N21" s="7">
        <f>IF($W21="","",SUMIFS('Per Line'!$Q$2:$Q$301,'Per Line'!$B$2:$B$301,$C21,'Per Line'!$Z$2:$Z$301,0,'Per Line'!$AA$2:$AA$301,0))</f>
        <v/>
      </c>
      <c r="O21" s="7">
        <f>IF($W21="","",N21*M21)</f>
        <v/>
      </c>
      <c r="P21">
        <f>IF($W21="","",Settings!$C$6)</f>
        <v/>
      </c>
      <c r="Q21" s="7">
        <f>IF($W21="","",SUMIFS('Per Line'!$Q$2:$Q$301,'Per Line'!$B$2:$B$301,$C21,'Per Line'!$Z$2:$Z$301,1,'Per Line'!$AA$2:$AA$301,0))</f>
        <v/>
      </c>
      <c r="R21" s="7">
        <f>IF($W21="","",Q21*P21)</f>
        <v/>
      </c>
      <c r="S21" s="7">
        <f>IF($W21="","",R21+O21)</f>
        <v/>
      </c>
      <c r="T21" s="7">
        <f>IF($W21="","",U21-S21)</f>
        <v/>
      </c>
      <c r="U21" s="7">
        <f>IF($W21="","",N21+Q21+L21)</f>
        <v/>
      </c>
      <c r="V21" s="7">
        <f>IF($W21="","",U21-S21-J21)</f>
        <v/>
      </c>
      <c r="W21" s="13">
        <f>IF(ROWS($W$2:$W21)&lt;=MAX('Per Line'!$Y$2:$Y$301),MATCH(ROWS($W$2:$W21),'Per Line'!$Y$2:$Y$301,0),"")</f>
        <v/>
      </c>
    </row>
    <row r="22">
      <c r="A22" s="12" t="n"/>
      <c r="B22">
        <f>IF($W22="","",INDEX('Per Line'!$A$2:$A$301,$W22)&amp;"")</f>
        <v/>
      </c>
      <c r="C22">
        <f>IF($W22="","",INDEX('Per Line'!$B$2:$B$301,$W22)&amp;"")</f>
        <v/>
      </c>
      <c r="D22" s="11">
        <f>IF($W22="","",INDEX('Per Line'!$C$2:$C$301,$W22))</f>
        <v/>
      </c>
      <c r="E22">
        <f>IF($W22="","",INDEX('Per Line'!$E$2:$E$301,$W22)&amp;"")</f>
        <v/>
      </c>
      <c r="F22">
        <f>IF($W22="","",INDEX('Per Line'!$F$2:$F$301,$W22)&amp;"")</f>
        <v/>
      </c>
      <c r="G22">
        <f>IF($W22="","",INDEX('Per Line'!$G$2:$G$301,$W22)&amp;"")</f>
        <v/>
      </c>
      <c r="H22">
        <f>IF($W22="","",INDEX('Per Line'!$H$2:$H$301,$W22)&amp;"")</f>
        <v/>
      </c>
      <c r="I22">
        <f>IF($W22="","",INDEX('Per Line'!$I$2:$I$301,$W22))</f>
        <v/>
      </c>
      <c r="J22" s="7">
        <f>IF($W22="","",I22*U22/100)</f>
        <v/>
      </c>
      <c r="K22">
        <f>IF($W22="","",INDEX('Per Line'!$R$2:$R$301,$W22)&amp;"")</f>
        <v/>
      </c>
      <c r="L22" s="7">
        <f>IF($W22="","",SUMIFS('Per Line'!$Q$2:$Q$301,'Per Line'!$B$2:$B$301,$C22,'Per Line'!$AA$2:$AA$301,1))</f>
        <v/>
      </c>
      <c r="M22">
        <f>IF($W22="","",Settings!$C$7)</f>
        <v/>
      </c>
      <c r="N22" s="7">
        <f>IF($W22="","",SUMIFS('Per Line'!$Q$2:$Q$301,'Per Line'!$B$2:$B$301,$C22,'Per Line'!$Z$2:$Z$301,0,'Per Line'!$AA$2:$AA$301,0))</f>
        <v/>
      </c>
      <c r="O22" s="7">
        <f>IF($W22="","",N22*M22)</f>
        <v/>
      </c>
      <c r="P22">
        <f>IF($W22="","",Settings!$C$6)</f>
        <v/>
      </c>
      <c r="Q22" s="7">
        <f>IF($W22="","",SUMIFS('Per Line'!$Q$2:$Q$301,'Per Line'!$B$2:$B$301,$C22,'Per Line'!$Z$2:$Z$301,1,'Per Line'!$AA$2:$AA$301,0))</f>
        <v/>
      </c>
      <c r="R22" s="7">
        <f>IF($W22="","",Q22*P22)</f>
        <v/>
      </c>
      <c r="S22" s="7">
        <f>IF($W22="","",R22+O22)</f>
        <v/>
      </c>
      <c r="T22" s="7">
        <f>IF($W22="","",U22-S22)</f>
        <v/>
      </c>
      <c r="U22" s="7">
        <f>IF($W22="","",N22+Q22+L22)</f>
        <v/>
      </c>
      <c r="V22" s="7">
        <f>IF($W22="","",U22-S22-J22)</f>
        <v/>
      </c>
      <c r="W22" s="13">
        <f>IF(ROWS($W$2:$W22)&lt;=MAX('Per Line'!$Y$2:$Y$301),MATCH(ROWS($W$2:$W22),'Per Line'!$Y$2:$Y$301,0),"")</f>
        <v/>
      </c>
    </row>
    <row r="23">
      <c r="A23" s="12" t="n"/>
      <c r="B23">
        <f>IF($W23="","",INDEX('Per Line'!$A$2:$A$301,$W23)&amp;"")</f>
        <v/>
      </c>
      <c r="C23">
        <f>IF($W23="","",INDEX('Per Line'!$B$2:$B$301,$W23)&amp;"")</f>
        <v/>
      </c>
      <c r="D23" s="11">
        <f>IF($W23="","",INDEX('Per Line'!$C$2:$C$301,$W23))</f>
        <v/>
      </c>
      <c r="E23">
        <f>IF($W23="","",INDEX('Per Line'!$E$2:$E$301,$W23)&amp;"")</f>
        <v/>
      </c>
      <c r="F23">
        <f>IF($W23="","",INDEX('Per Line'!$F$2:$F$301,$W23)&amp;"")</f>
        <v/>
      </c>
      <c r="G23">
        <f>IF($W23="","",INDEX('Per Line'!$G$2:$G$301,$W23)&amp;"")</f>
        <v/>
      </c>
      <c r="H23">
        <f>IF($W23="","",INDEX('Per Line'!$H$2:$H$301,$W23)&amp;"")</f>
        <v/>
      </c>
      <c r="I23">
        <f>IF($W23="","",INDEX('Per Line'!$I$2:$I$301,$W23))</f>
        <v/>
      </c>
      <c r="J23" s="7">
        <f>IF($W23="","",I23*U23/100)</f>
        <v/>
      </c>
      <c r="K23">
        <f>IF($W23="","",INDEX('Per Line'!$R$2:$R$301,$W23)&amp;"")</f>
        <v/>
      </c>
      <c r="L23" s="7">
        <f>IF($W23="","",SUMIFS('Per Line'!$Q$2:$Q$301,'Per Line'!$B$2:$B$301,$C23,'Per Line'!$AA$2:$AA$301,1))</f>
        <v/>
      </c>
      <c r="M23">
        <f>IF($W23="","",Settings!$C$7)</f>
        <v/>
      </c>
      <c r="N23" s="7">
        <f>IF($W23="","",SUMIFS('Per Line'!$Q$2:$Q$301,'Per Line'!$B$2:$B$301,$C23,'Per Line'!$Z$2:$Z$301,0,'Per Line'!$AA$2:$AA$301,0))</f>
        <v/>
      </c>
      <c r="O23" s="7">
        <f>IF($W23="","",N23*M23)</f>
        <v/>
      </c>
      <c r="P23">
        <f>IF($W23="","",Settings!$C$6)</f>
        <v/>
      </c>
      <c r="Q23" s="7">
        <f>IF($W23="","",SUMIFS('Per Line'!$Q$2:$Q$301,'Per Line'!$B$2:$B$301,$C23,'Per Line'!$Z$2:$Z$301,1,'Per Line'!$AA$2:$AA$301,0))</f>
        <v/>
      </c>
      <c r="R23" s="7">
        <f>IF($W23="","",Q23*P23)</f>
        <v/>
      </c>
      <c r="S23" s="7">
        <f>IF($W23="","",R23+O23)</f>
        <v/>
      </c>
      <c r="T23" s="7">
        <f>IF($W23="","",U23-S23)</f>
        <v/>
      </c>
      <c r="U23" s="7">
        <f>IF($W23="","",N23+Q23+L23)</f>
        <v/>
      </c>
      <c r="V23" s="7">
        <f>IF($W23="","",U23-S23-J23)</f>
        <v/>
      </c>
      <c r="W23" s="13">
        <f>IF(ROWS($W$2:$W23)&lt;=MAX('Per Line'!$Y$2:$Y$301),MATCH(ROWS($W$2:$W23),'Per Line'!$Y$2:$Y$301,0),"")</f>
        <v/>
      </c>
    </row>
    <row r="24">
      <c r="A24" s="12" t="n"/>
      <c r="B24">
        <f>IF($W24="","",INDEX('Per Line'!$A$2:$A$301,$W24)&amp;"")</f>
        <v/>
      </c>
      <c r="C24">
        <f>IF($W24="","",INDEX('Per Line'!$B$2:$B$301,$W24)&amp;"")</f>
        <v/>
      </c>
      <c r="D24" s="11">
        <f>IF($W24="","",INDEX('Per Line'!$C$2:$C$301,$W24))</f>
        <v/>
      </c>
      <c r="E24">
        <f>IF($W24="","",INDEX('Per Line'!$E$2:$E$301,$W24)&amp;"")</f>
        <v/>
      </c>
      <c r="F24">
        <f>IF($W24="","",INDEX('Per Line'!$F$2:$F$301,$W24)&amp;"")</f>
        <v/>
      </c>
      <c r="G24">
        <f>IF($W24="","",INDEX('Per Line'!$G$2:$G$301,$W24)&amp;"")</f>
        <v/>
      </c>
      <c r="H24">
        <f>IF($W24="","",INDEX('Per Line'!$H$2:$H$301,$W24)&amp;"")</f>
        <v/>
      </c>
      <c r="I24">
        <f>IF($W24="","",INDEX('Per Line'!$I$2:$I$301,$W24))</f>
        <v/>
      </c>
      <c r="J24" s="7">
        <f>IF($W24="","",I24*U24/100)</f>
        <v/>
      </c>
      <c r="K24">
        <f>IF($W24="","",INDEX('Per Line'!$R$2:$R$301,$W24)&amp;"")</f>
        <v/>
      </c>
      <c r="L24" s="7">
        <f>IF($W24="","",SUMIFS('Per Line'!$Q$2:$Q$301,'Per Line'!$B$2:$B$301,$C24,'Per Line'!$AA$2:$AA$301,1))</f>
        <v/>
      </c>
      <c r="M24">
        <f>IF($W24="","",Settings!$C$7)</f>
        <v/>
      </c>
      <c r="N24" s="7">
        <f>IF($W24="","",SUMIFS('Per Line'!$Q$2:$Q$301,'Per Line'!$B$2:$B$301,$C24,'Per Line'!$Z$2:$Z$301,0,'Per Line'!$AA$2:$AA$301,0))</f>
        <v/>
      </c>
      <c r="O24" s="7">
        <f>IF($W24="","",N24*M24)</f>
        <v/>
      </c>
      <c r="P24">
        <f>IF($W24="","",Settings!$C$6)</f>
        <v/>
      </c>
      <c r="Q24" s="7">
        <f>IF($W24="","",SUMIFS('Per Line'!$Q$2:$Q$301,'Per Line'!$B$2:$B$301,$C24,'Per Line'!$Z$2:$Z$301,1,'Per Line'!$AA$2:$AA$301,0))</f>
        <v/>
      </c>
      <c r="R24" s="7">
        <f>IF($W24="","",Q24*P24)</f>
        <v/>
      </c>
      <c r="S24" s="7">
        <f>IF($W24="","",R24+O24)</f>
        <v/>
      </c>
      <c r="T24" s="7">
        <f>IF($W24="","",U24-S24)</f>
        <v/>
      </c>
      <c r="U24" s="7">
        <f>IF($W24="","",N24+Q24+L24)</f>
        <v/>
      </c>
      <c r="V24" s="7">
        <f>IF($W24="","",U24-S24-J24)</f>
        <v/>
      </c>
      <c r="W24" s="13">
        <f>IF(ROWS($W$2:$W24)&lt;=MAX('Per Line'!$Y$2:$Y$301),MATCH(ROWS($W$2:$W24),'Per Line'!$Y$2:$Y$301,0),"")</f>
        <v/>
      </c>
    </row>
    <row r="25">
      <c r="A25" s="12" t="n"/>
      <c r="B25">
        <f>IF($W25="","",INDEX('Per Line'!$A$2:$A$301,$W25)&amp;"")</f>
        <v/>
      </c>
      <c r="C25">
        <f>IF($W25="","",INDEX('Per Line'!$B$2:$B$301,$W25)&amp;"")</f>
        <v/>
      </c>
      <c r="D25" s="11">
        <f>IF($W25="","",INDEX('Per Line'!$C$2:$C$301,$W25))</f>
        <v/>
      </c>
      <c r="E25">
        <f>IF($W25="","",INDEX('Per Line'!$E$2:$E$301,$W25)&amp;"")</f>
        <v/>
      </c>
      <c r="F25">
        <f>IF($W25="","",INDEX('Per Line'!$F$2:$F$301,$W25)&amp;"")</f>
        <v/>
      </c>
      <c r="G25">
        <f>IF($W25="","",INDEX('Per Line'!$G$2:$G$301,$W25)&amp;"")</f>
        <v/>
      </c>
      <c r="H25">
        <f>IF($W25="","",INDEX('Per Line'!$H$2:$H$301,$W25)&amp;"")</f>
        <v/>
      </c>
      <c r="I25">
        <f>IF($W25="","",INDEX('Per Line'!$I$2:$I$301,$W25))</f>
        <v/>
      </c>
      <c r="J25" s="7">
        <f>IF($W25="","",I25*U25/100)</f>
        <v/>
      </c>
      <c r="K25">
        <f>IF($W25="","",INDEX('Per Line'!$R$2:$R$301,$W25)&amp;"")</f>
        <v/>
      </c>
      <c r="L25" s="7">
        <f>IF($W25="","",SUMIFS('Per Line'!$Q$2:$Q$301,'Per Line'!$B$2:$B$301,$C25,'Per Line'!$AA$2:$AA$301,1))</f>
        <v/>
      </c>
      <c r="M25">
        <f>IF($W25="","",Settings!$C$7)</f>
        <v/>
      </c>
      <c r="N25" s="7">
        <f>IF($W25="","",SUMIFS('Per Line'!$Q$2:$Q$301,'Per Line'!$B$2:$B$301,$C25,'Per Line'!$Z$2:$Z$301,0,'Per Line'!$AA$2:$AA$301,0))</f>
        <v/>
      </c>
      <c r="O25" s="7">
        <f>IF($W25="","",N25*M25)</f>
        <v/>
      </c>
      <c r="P25">
        <f>IF($W25="","",Settings!$C$6)</f>
        <v/>
      </c>
      <c r="Q25" s="7">
        <f>IF($W25="","",SUMIFS('Per Line'!$Q$2:$Q$301,'Per Line'!$B$2:$B$301,$C25,'Per Line'!$Z$2:$Z$301,1,'Per Line'!$AA$2:$AA$301,0))</f>
        <v/>
      </c>
      <c r="R25" s="7">
        <f>IF($W25="","",Q25*P25)</f>
        <v/>
      </c>
      <c r="S25" s="7">
        <f>IF($W25="","",R25+O25)</f>
        <v/>
      </c>
      <c r="T25" s="7">
        <f>IF($W25="","",U25-S25)</f>
        <v/>
      </c>
      <c r="U25" s="7">
        <f>IF($W25="","",N25+Q25+L25)</f>
        <v/>
      </c>
      <c r="V25" s="7">
        <f>IF($W25="","",U25-S25-J25)</f>
        <v/>
      </c>
      <c r="W25" s="13">
        <f>IF(ROWS($W$2:$W25)&lt;=MAX('Per Line'!$Y$2:$Y$301),MATCH(ROWS($W$2:$W25),'Per Line'!$Y$2:$Y$301,0),"")</f>
        <v/>
      </c>
    </row>
    <row r="26">
      <c r="A26" s="12" t="n"/>
      <c r="B26">
        <f>IF($W26="","",INDEX('Per Line'!$A$2:$A$301,$W26)&amp;"")</f>
        <v/>
      </c>
      <c r="C26">
        <f>IF($W26="","",INDEX('Per Line'!$B$2:$B$301,$W26)&amp;"")</f>
        <v/>
      </c>
      <c r="D26" s="11">
        <f>IF($W26="","",INDEX('Per Line'!$C$2:$C$301,$W26))</f>
        <v/>
      </c>
      <c r="E26">
        <f>IF($W26="","",INDEX('Per Line'!$E$2:$E$301,$W26)&amp;"")</f>
        <v/>
      </c>
      <c r="F26">
        <f>IF($W26="","",INDEX('Per Line'!$F$2:$F$301,$W26)&amp;"")</f>
        <v/>
      </c>
      <c r="G26">
        <f>IF($W26="","",INDEX('Per Line'!$G$2:$G$301,$W26)&amp;"")</f>
        <v/>
      </c>
      <c r="H26">
        <f>IF($W26="","",INDEX('Per Line'!$H$2:$H$301,$W26)&amp;"")</f>
        <v/>
      </c>
      <c r="I26">
        <f>IF($W26="","",INDEX('Per Line'!$I$2:$I$301,$W26))</f>
        <v/>
      </c>
      <c r="J26" s="7">
        <f>IF($W26="","",I26*U26/100)</f>
        <v/>
      </c>
      <c r="K26">
        <f>IF($W26="","",INDEX('Per Line'!$R$2:$R$301,$W26)&amp;"")</f>
        <v/>
      </c>
      <c r="L26" s="7">
        <f>IF($W26="","",SUMIFS('Per Line'!$Q$2:$Q$301,'Per Line'!$B$2:$B$301,$C26,'Per Line'!$AA$2:$AA$301,1))</f>
        <v/>
      </c>
      <c r="M26">
        <f>IF($W26="","",Settings!$C$7)</f>
        <v/>
      </c>
      <c r="N26" s="7">
        <f>IF($W26="","",SUMIFS('Per Line'!$Q$2:$Q$301,'Per Line'!$B$2:$B$301,$C26,'Per Line'!$Z$2:$Z$301,0,'Per Line'!$AA$2:$AA$301,0))</f>
        <v/>
      </c>
      <c r="O26" s="7">
        <f>IF($W26="","",N26*M26)</f>
        <v/>
      </c>
      <c r="P26">
        <f>IF($W26="","",Settings!$C$6)</f>
        <v/>
      </c>
      <c r="Q26" s="7">
        <f>IF($W26="","",SUMIFS('Per Line'!$Q$2:$Q$301,'Per Line'!$B$2:$B$301,$C26,'Per Line'!$Z$2:$Z$301,1,'Per Line'!$AA$2:$AA$301,0))</f>
        <v/>
      </c>
      <c r="R26" s="7">
        <f>IF($W26="","",Q26*P26)</f>
        <v/>
      </c>
      <c r="S26" s="7">
        <f>IF($W26="","",R26+O26)</f>
        <v/>
      </c>
      <c r="T26" s="7">
        <f>IF($W26="","",U26-S26)</f>
        <v/>
      </c>
      <c r="U26" s="7">
        <f>IF($W26="","",N26+Q26+L26)</f>
        <v/>
      </c>
      <c r="V26" s="7">
        <f>IF($W26="","",U26-S26-J26)</f>
        <v/>
      </c>
      <c r="W26" s="13">
        <f>IF(ROWS($W$2:$W26)&lt;=MAX('Per Line'!$Y$2:$Y$301),MATCH(ROWS($W$2:$W26),'Per Line'!$Y$2:$Y$301,0),"")</f>
        <v/>
      </c>
    </row>
    <row r="27">
      <c r="A27" s="12" t="n"/>
      <c r="B27">
        <f>IF($W27="","",INDEX('Per Line'!$A$2:$A$301,$W27)&amp;"")</f>
        <v/>
      </c>
      <c r="C27">
        <f>IF($W27="","",INDEX('Per Line'!$B$2:$B$301,$W27)&amp;"")</f>
        <v/>
      </c>
      <c r="D27" s="11">
        <f>IF($W27="","",INDEX('Per Line'!$C$2:$C$301,$W27))</f>
        <v/>
      </c>
      <c r="E27">
        <f>IF($W27="","",INDEX('Per Line'!$E$2:$E$301,$W27)&amp;"")</f>
        <v/>
      </c>
      <c r="F27">
        <f>IF($W27="","",INDEX('Per Line'!$F$2:$F$301,$W27)&amp;"")</f>
        <v/>
      </c>
      <c r="G27">
        <f>IF($W27="","",INDEX('Per Line'!$G$2:$G$301,$W27)&amp;"")</f>
        <v/>
      </c>
      <c r="H27">
        <f>IF($W27="","",INDEX('Per Line'!$H$2:$H$301,$W27)&amp;"")</f>
        <v/>
      </c>
      <c r="I27">
        <f>IF($W27="","",INDEX('Per Line'!$I$2:$I$301,$W27))</f>
        <v/>
      </c>
      <c r="J27" s="7">
        <f>IF($W27="","",I27*U27/100)</f>
        <v/>
      </c>
      <c r="K27">
        <f>IF($W27="","",INDEX('Per Line'!$R$2:$R$301,$W27)&amp;"")</f>
        <v/>
      </c>
      <c r="L27" s="7">
        <f>IF($W27="","",SUMIFS('Per Line'!$Q$2:$Q$301,'Per Line'!$B$2:$B$301,$C27,'Per Line'!$AA$2:$AA$301,1))</f>
        <v/>
      </c>
      <c r="M27">
        <f>IF($W27="","",Settings!$C$7)</f>
        <v/>
      </c>
      <c r="N27" s="7">
        <f>IF($W27="","",SUMIFS('Per Line'!$Q$2:$Q$301,'Per Line'!$B$2:$B$301,$C27,'Per Line'!$Z$2:$Z$301,0,'Per Line'!$AA$2:$AA$301,0))</f>
        <v/>
      </c>
      <c r="O27" s="7">
        <f>IF($W27="","",N27*M27)</f>
        <v/>
      </c>
      <c r="P27">
        <f>IF($W27="","",Settings!$C$6)</f>
        <v/>
      </c>
      <c r="Q27" s="7">
        <f>IF($W27="","",SUMIFS('Per Line'!$Q$2:$Q$301,'Per Line'!$B$2:$B$301,$C27,'Per Line'!$Z$2:$Z$301,1,'Per Line'!$AA$2:$AA$301,0))</f>
        <v/>
      </c>
      <c r="R27" s="7">
        <f>IF($W27="","",Q27*P27)</f>
        <v/>
      </c>
      <c r="S27" s="7">
        <f>IF($W27="","",R27+O27)</f>
        <v/>
      </c>
      <c r="T27" s="7">
        <f>IF($W27="","",U27-S27)</f>
        <v/>
      </c>
      <c r="U27" s="7">
        <f>IF($W27="","",N27+Q27+L27)</f>
        <v/>
      </c>
      <c r="V27" s="7">
        <f>IF($W27="","",U27-S27-J27)</f>
        <v/>
      </c>
      <c r="W27" s="13">
        <f>IF(ROWS($W$2:$W27)&lt;=MAX('Per Line'!$Y$2:$Y$301),MATCH(ROWS($W$2:$W27),'Per Line'!$Y$2:$Y$301,0),"")</f>
        <v/>
      </c>
    </row>
    <row r="28">
      <c r="A28" s="12" t="n"/>
      <c r="B28">
        <f>IF($W28="","",INDEX('Per Line'!$A$2:$A$301,$W28)&amp;"")</f>
        <v/>
      </c>
      <c r="C28">
        <f>IF($W28="","",INDEX('Per Line'!$B$2:$B$301,$W28)&amp;"")</f>
        <v/>
      </c>
      <c r="D28" s="11">
        <f>IF($W28="","",INDEX('Per Line'!$C$2:$C$301,$W28))</f>
        <v/>
      </c>
      <c r="E28">
        <f>IF($W28="","",INDEX('Per Line'!$E$2:$E$301,$W28)&amp;"")</f>
        <v/>
      </c>
      <c r="F28">
        <f>IF($W28="","",INDEX('Per Line'!$F$2:$F$301,$W28)&amp;"")</f>
        <v/>
      </c>
      <c r="G28">
        <f>IF($W28="","",INDEX('Per Line'!$G$2:$G$301,$W28)&amp;"")</f>
        <v/>
      </c>
      <c r="H28">
        <f>IF($W28="","",INDEX('Per Line'!$H$2:$H$301,$W28)&amp;"")</f>
        <v/>
      </c>
      <c r="I28">
        <f>IF($W28="","",INDEX('Per Line'!$I$2:$I$301,$W28))</f>
        <v/>
      </c>
      <c r="J28" s="7">
        <f>IF($W28="","",I28*U28/100)</f>
        <v/>
      </c>
      <c r="K28">
        <f>IF($W28="","",INDEX('Per Line'!$R$2:$R$301,$W28)&amp;"")</f>
        <v/>
      </c>
      <c r="L28" s="7">
        <f>IF($W28="","",SUMIFS('Per Line'!$Q$2:$Q$301,'Per Line'!$B$2:$B$301,$C28,'Per Line'!$AA$2:$AA$301,1))</f>
        <v/>
      </c>
      <c r="M28">
        <f>IF($W28="","",Settings!$C$7)</f>
        <v/>
      </c>
      <c r="N28" s="7">
        <f>IF($W28="","",SUMIFS('Per Line'!$Q$2:$Q$301,'Per Line'!$B$2:$B$301,$C28,'Per Line'!$Z$2:$Z$301,0,'Per Line'!$AA$2:$AA$301,0))</f>
        <v/>
      </c>
      <c r="O28" s="7">
        <f>IF($W28="","",N28*M28)</f>
        <v/>
      </c>
      <c r="P28">
        <f>IF($W28="","",Settings!$C$6)</f>
        <v/>
      </c>
      <c r="Q28" s="7">
        <f>IF($W28="","",SUMIFS('Per Line'!$Q$2:$Q$301,'Per Line'!$B$2:$B$301,$C28,'Per Line'!$Z$2:$Z$301,1,'Per Line'!$AA$2:$AA$301,0))</f>
        <v/>
      </c>
      <c r="R28" s="7">
        <f>IF($W28="","",Q28*P28)</f>
        <v/>
      </c>
      <c r="S28" s="7">
        <f>IF($W28="","",R28+O28)</f>
        <v/>
      </c>
      <c r="T28" s="7">
        <f>IF($W28="","",U28-S28)</f>
        <v/>
      </c>
      <c r="U28" s="7">
        <f>IF($W28="","",N28+Q28+L28)</f>
        <v/>
      </c>
      <c r="V28" s="7">
        <f>IF($W28="","",U28-S28-J28)</f>
        <v/>
      </c>
      <c r="W28" s="13">
        <f>IF(ROWS($W$2:$W28)&lt;=MAX('Per Line'!$Y$2:$Y$301),MATCH(ROWS($W$2:$W28),'Per Line'!$Y$2:$Y$301,0),"")</f>
        <v/>
      </c>
    </row>
    <row r="29">
      <c r="A29" s="12" t="n"/>
      <c r="B29">
        <f>IF($W29="","",INDEX('Per Line'!$A$2:$A$301,$W29)&amp;"")</f>
        <v/>
      </c>
      <c r="C29">
        <f>IF($W29="","",INDEX('Per Line'!$B$2:$B$301,$W29)&amp;"")</f>
        <v/>
      </c>
      <c r="D29" s="11">
        <f>IF($W29="","",INDEX('Per Line'!$C$2:$C$301,$W29))</f>
        <v/>
      </c>
      <c r="E29">
        <f>IF($W29="","",INDEX('Per Line'!$E$2:$E$301,$W29)&amp;"")</f>
        <v/>
      </c>
      <c r="F29">
        <f>IF($W29="","",INDEX('Per Line'!$F$2:$F$301,$W29)&amp;"")</f>
        <v/>
      </c>
      <c r="G29">
        <f>IF($W29="","",INDEX('Per Line'!$G$2:$G$301,$W29)&amp;"")</f>
        <v/>
      </c>
      <c r="H29">
        <f>IF($W29="","",INDEX('Per Line'!$H$2:$H$301,$W29)&amp;"")</f>
        <v/>
      </c>
      <c r="I29">
        <f>IF($W29="","",INDEX('Per Line'!$I$2:$I$301,$W29))</f>
        <v/>
      </c>
      <c r="J29" s="7">
        <f>IF($W29="","",I29*U29/100)</f>
        <v/>
      </c>
      <c r="K29">
        <f>IF($W29="","",INDEX('Per Line'!$R$2:$R$301,$W29)&amp;"")</f>
        <v/>
      </c>
      <c r="L29" s="7">
        <f>IF($W29="","",SUMIFS('Per Line'!$Q$2:$Q$301,'Per Line'!$B$2:$B$301,$C29,'Per Line'!$AA$2:$AA$301,1))</f>
        <v/>
      </c>
      <c r="M29">
        <f>IF($W29="","",Settings!$C$7)</f>
        <v/>
      </c>
      <c r="N29" s="7">
        <f>IF($W29="","",SUMIFS('Per Line'!$Q$2:$Q$301,'Per Line'!$B$2:$B$301,$C29,'Per Line'!$Z$2:$Z$301,0,'Per Line'!$AA$2:$AA$301,0))</f>
        <v/>
      </c>
      <c r="O29" s="7">
        <f>IF($W29="","",N29*M29)</f>
        <v/>
      </c>
      <c r="P29">
        <f>IF($W29="","",Settings!$C$6)</f>
        <v/>
      </c>
      <c r="Q29" s="7">
        <f>IF($W29="","",SUMIFS('Per Line'!$Q$2:$Q$301,'Per Line'!$B$2:$B$301,$C29,'Per Line'!$Z$2:$Z$301,1,'Per Line'!$AA$2:$AA$301,0))</f>
        <v/>
      </c>
      <c r="R29" s="7">
        <f>IF($W29="","",Q29*P29)</f>
        <v/>
      </c>
      <c r="S29" s="7">
        <f>IF($W29="","",R29+O29)</f>
        <v/>
      </c>
      <c r="T29" s="7">
        <f>IF($W29="","",U29-S29)</f>
        <v/>
      </c>
      <c r="U29" s="7">
        <f>IF($W29="","",N29+Q29+L29)</f>
        <v/>
      </c>
      <c r="V29" s="7">
        <f>IF($W29="","",U29-S29-J29)</f>
        <v/>
      </c>
      <c r="W29" s="13">
        <f>IF(ROWS($W$2:$W29)&lt;=MAX('Per Line'!$Y$2:$Y$301),MATCH(ROWS($W$2:$W29),'Per Line'!$Y$2:$Y$301,0),"")</f>
        <v/>
      </c>
    </row>
    <row r="30">
      <c r="A30" s="12" t="n"/>
      <c r="B30">
        <f>IF($W30="","",INDEX('Per Line'!$A$2:$A$301,$W30)&amp;"")</f>
        <v/>
      </c>
      <c r="C30">
        <f>IF($W30="","",INDEX('Per Line'!$B$2:$B$301,$W30)&amp;"")</f>
        <v/>
      </c>
      <c r="D30" s="11">
        <f>IF($W30="","",INDEX('Per Line'!$C$2:$C$301,$W30))</f>
        <v/>
      </c>
      <c r="E30">
        <f>IF($W30="","",INDEX('Per Line'!$E$2:$E$301,$W30)&amp;"")</f>
        <v/>
      </c>
      <c r="F30">
        <f>IF($W30="","",INDEX('Per Line'!$F$2:$F$301,$W30)&amp;"")</f>
        <v/>
      </c>
      <c r="G30">
        <f>IF($W30="","",INDEX('Per Line'!$G$2:$G$301,$W30)&amp;"")</f>
        <v/>
      </c>
      <c r="H30">
        <f>IF($W30="","",INDEX('Per Line'!$H$2:$H$301,$W30)&amp;"")</f>
        <v/>
      </c>
      <c r="I30">
        <f>IF($W30="","",INDEX('Per Line'!$I$2:$I$301,$W30))</f>
        <v/>
      </c>
      <c r="J30" s="7">
        <f>IF($W30="","",I30*U30/100)</f>
        <v/>
      </c>
      <c r="K30">
        <f>IF($W30="","",INDEX('Per Line'!$R$2:$R$301,$W30)&amp;"")</f>
        <v/>
      </c>
      <c r="L30" s="7">
        <f>IF($W30="","",SUMIFS('Per Line'!$Q$2:$Q$301,'Per Line'!$B$2:$B$301,$C30,'Per Line'!$AA$2:$AA$301,1))</f>
        <v/>
      </c>
      <c r="M30">
        <f>IF($W30="","",Settings!$C$7)</f>
        <v/>
      </c>
      <c r="N30" s="7">
        <f>IF($W30="","",SUMIFS('Per Line'!$Q$2:$Q$301,'Per Line'!$B$2:$B$301,$C30,'Per Line'!$Z$2:$Z$301,0,'Per Line'!$AA$2:$AA$301,0))</f>
        <v/>
      </c>
      <c r="O30" s="7">
        <f>IF($W30="","",N30*M30)</f>
        <v/>
      </c>
      <c r="P30">
        <f>IF($W30="","",Settings!$C$6)</f>
        <v/>
      </c>
      <c r="Q30" s="7">
        <f>IF($W30="","",SUMIFS('Per Line'!$Q$2:$Q$301,'Per Line'!$B$2:$B$301,$C30,'Per Line'!$Z$2:$Z$301,1,'Per Line'!$AA$2:$AA$301,0))</f>
        <v/>
      </c>
      <c r="R30" s="7">
        <f>IF($W30="","",Q30*P30)</f>
        <v/>
      </c>
      <c r="S30" s="7">
        <f>IF($W30="","",R30+O30)</f>
        <v/>
      </c>
      <c r="T30" s="7">
        <f>IF($W30="","",U30-S30)</f>
        <v/>
      </c>
      <c r="U30" s="7">
        <f>IF($W30="","",N30+Q30+L30)</f>
        <v/>
      </c>
      <c r="V30" s="7">
        <f>IF($W30="","",U30-S30-J30)</f>
        <v/>
      </c>
      <c r="W30" s="13">
        <f>IF(ROWS($W$2:$W30)&lt;=MAX('Per Line'!$Y$2:$Y$301),MATCH(ROWS($W$2:$W30),'Per Line'!$Y$2:$Y$301,0),"")</f>
        <v/>
      </c>
    </row>
    <row r="31">
      <c r="A31" s="12" t="n"/>
      <c r="B31">
        <f>IF($W31="","",INDEX('Per Line'!$A$2:$A$301,$W31)&amp;"")</f>
        <v/>
      </c>
      <c r="C31">
        <f>IF($W31="","",INDEX('Per Line'!$B$2:$B$301,$W31)&amp;"")</f>
        <v/>
      </c>
      <c r="D31" s="11">
        <f>IF($W31="","",INDEX('Per Line'!$C$2:$C$301,$W31))</f>
        <v/>
      </c>
      <c r="E31">
        <f>IF($W31="","",INDEX('Per Line'!$E$2:$E$301,$W31)&amp;"")</f>
        <v/>
      </c>
      <c r="F31">
        <f>IF($W31="","",INDEX('Per Line'!$F$2:$F$301,$W31)&amp;"")</f>
        <v/>
      </c>
      <c r="G31">
        <f>IF($W31="","",INDEX('Per Line'!$G$2:$G$301,$W31)&amp;"")</f>
        <v/>
      </c>
      <c r="H31">
        <f>IF($W31="","",INDEX('Per Line'!$H$2:$H$301,$W31)&amp;"")</f>
        <v/>
      </c>
      <c r="I31">
        <f>IF($W31="","",INDEX('Per Line'!$I$2:$I$301,$W31))</f>
        <v/>
      </c>
      <c r="J31" s="7">
        <f>IF($W31="","",I31*U31/100)</f>
        <v/>
      </c>
      <c r="K31">
        <f>IF($W31="","",INDEX('Per Line'!$R$2:$R$301,$W31)&amp;"")</f>
        <v/>
      </c>
      <c r="L31" s="7">
        <f>IF($W31="","",SUMIFS('Per Line'!$Q$2:$Q$301,'Per Line'!$B$2:$B$301,$C31,'Per Line'!$AA$2:$AA$301,1))</f>
        <v/>
      </c>
      <c r="M31">
        <f>IF($W31="","",Settings!$C$7)</f>
        <v/>
      </c>
      <c r="N31" s="7">
        <f>IF($W31="","",SUMIFS('Per Line'!$Q$2:$Q$301,'Per Line'!$B$2:$B$301,$C31,'Per Line'!$Z$2:$Z$301,0,'Per Line'!$AA$2:$AA$301,0))</f>
        <v/>
      </c>
      <c r="O31" s="7">
        <f>IF($W31="","",N31*M31)</f>
        <v/>
      </c>
      <c r="P31">
        <f>IF($W31="","",Settings!$C$6)</f>
        <v/>
      </c>
      <c r="Q31" s="7">
        <f>IF($W31="","",SUMIFS('Per Line'!$Q$2:$Q$301,'Per Line'!$B$2:$B$301,$C31,'Per Line'!$Z$2:$Z$301,1,'Per Line'!$AA$2:$AA$301,0))</f>
        <v/>
      </c>
      <c r="R31" s="7">
        <f>IF($W31="","",Q31*P31)</f>
        <v/>
      </c>
      <c r="S31" s="7">
        <f>IF($W31="","",R31+O31)</f>
        <v/>
      </c>
      <c r="T31" s="7">
        <f>IF($W31="","",U31-S31)</f>
        <v/>
      </c>
      <c r="U31" s="7">
        <f>IF($W31="","",N31+Q31+L31)</f>
        <v/>
      </c>
      <c r="V31" s="7">
        <f>IF($W31="","",U31-S31-J31)</f>
        <v/>
      </c>
      <c r="W31" s="13">
        <f>IF(ROWS($W$2:$W31)&lt;=MAX('Per Line'!$Y$2:$Y$301),MATCH(ROWS($W$2:$W31),'Per Line'!$Y$2:$Y$301,0),"")</f>
        <v/>
      </c>
    </row>
    <row r="32">
      <c r="A32" s="12" t="n"/>
      <c r="B32">
        <f>IF($W32="","",INDEX('Per Line'!$A$2:$A$301,$W32)&amp;"")</f>
        <v/>
      </c>
      <c r="C32">
        <f>IF($W32="","",INDEX('Per Line'!$B$2:$B$301,$W32)&amp;"")</f>
        <v/>
      </c>
      <c r="D32" s="11">
        <f>IF($W32="","",INDEX('Per Line'!$C$2:$C$301,$W32))</f>
        <v/>
      </c>
      <c r="E32">
        <f>IF($W32="","",INDEX('Per Line'!$E$2:$E$301,$W32)&amp;"")</f>
        <v/>
      </c>
      <c r="F32">
        <f>IF($W32="","",INDEX('Per Line'!$F$2:$F$301,$W32)&amp;"")</f>
        <v/>
      </c>
      <c r="G32">
        <f>IF($W32="","",INDEX('Per Line'!$G$2:$G$301,$W32)&amp;"")</f>
        <v/>
      </c>
      <c r="H32">
        <f>IF($W32="","",INDEX('Per Line'!$H$2:$H$301,$W32)&amp;"")</f>
        <v/>
      </c>
      <c r="I32">
        <f>IF($W32="","",INDEX('Per Line'!$I$2:$I$301,$W32))</f>
        <v/>
      </c>
      <c r="J32" s="7">
        <f>IF($W32="","",I32*U32/100)</f>
        <v/>
      </c>
      <c r="K32">
        <f>IF($W32="","",INDEX('Per Line'!$R$2:$R$301,$W32)&amp;"")</f>
        <v/>
      </c>
      <c r="L32" s="7">
        <f>IF($W32="","",SUMIFS('Per Line'!$Q$2:$Q$301,'Per Line'!$B$2:$B$301,$C32,'Per Line'!$AA$2:$AA$301,1))</f>
        <v/>
      </c>
      <c r="M32">
        <f>IF($W32="","",Settings!$C$7)</f>
        <v/>
      </c>
      <c r="N32" s="7">
        <f>IF($W32="","",SUMIFS('Per Line'!$Q$2:$Q$301,'Per Line'!$B$2:$B$301,$C32,'Per Line'!$Z$2:$Z$301,0,'Per Line'!$AA$2:$AA$301,0))</f>
        <v/>
      </c>
      <c r="O32" s="7">
        <f>IF($W32="","",N32*M32)</f>
        <v/>
      </c>
      <c r="P32">
        <f>IF($W32="","",Settings!$C$6)</f>
        <v/>
      </c>
      <c r="Q32" s="7">
        <f>IF($W32="","",SUMIFS('Per Line'!$Q$2:$Q$301,'Per Line'!$B$2:$B$301,$C32,'Per Line'!$Z$2:$Z$301,1,'Per Line'!$AA$2:$AA$301,0))</f>
        <v/>
      </c>
      <c r="R32" s="7">
        <f>IF($W32="","",Q32*P32)</f>
        <v/>
      </c>
      <c r="S32" s="7">
        <f>IF($W32="","",R32+O32)</f>
        <v/>
      </c>
      <c r="T32" s="7">
        <f>IF($W32="","",U32-S32)</f>
        <v/>
      </c>
      <c r="U32" s="7">
        <f>IF($W32="","",N32+Q32+L32)</f>
        <v/>
      </c>
      <c r="V32" s="7">
        <f>IF($W32="","",U32-S32-J32)</f>
        <v/>
      </c>
      <c r="W32" s="13">
        <f>IF(ROWS($W$2:$W32)&lt;=MAX('Per Line'!$Y$2:$Y$301),MATCH(ROWS($W$2:$W32),'Per Line'!$Y$2:$Y$301,0),"")</f>
        <v/>
      </c>
    </row>
    <row r="33">
      <c r="A33" s="12" t="n"/>
      <c r="B33">
        <f>IF($W33="","",INDEX('Per Line'!$A$2:$A$301,$W33)&amp;"")</f>
        <v/>
      </c>
      <c r="C33">
        <f>IF($W33="","",INDEX('Per Line'!$B$2:$B$301,$W33)&amp;"")</f>
        <v/>
      </c>
      <c r="D33" s="11">
        <f>IF($W33="","",INDEX('Per Line'!$C$2:$C$301,$W33))</f>
        <v/>
      </c>
      <c r="E33">
        <f>IF($W33="","",INDEX('Per Line'!$E$2:$E$301,$W33)&amp;"")</f>
        <v/>
      </c>
      <c r="F33">
        <f>IF($W33="","",INDEX('Per Line'!$F$2:$F$301,$W33)&amp;"")</f>
        <v/>
      </c>
      <c r="G33">
        <f>IF($W33="","",INDEX('Per Line'!$G$2:$G$301,$W33)&amp;"")</f>
        <v/>
      </c>
      <c r="H33">
        <f>IF($W33="","",INDEX('Per Line'!$H$2:$H$301,$W33)&amp;"")</f>
        <v/>
      </c>
      <c r="I33">
        <f>IF($W33="","",INDEX('Per Line'!$I$2:$I$301,$W33))</f>
        <v/>
      </c>
      <c r="J33" s="7">
        <f>IF($W33="","",I33*U33/100)</f>
        <v/>
      </c>
      <c r="K33">
        <f>IF($W33="","",INDEX('Per Line'!$R$2:$R$301,$W33)&amp;"")</f>
        <v/>
      </c>
      <c r="L33" s="7">
        <f>IF($W33="","",SUMIFS('Per Line'!$Q$2:$Q$301,'Per Line'!$B$2:$B$301,$C33,'Per Line'!$AA$2:$AA$301,1))</f>
        <v/>
      </c>
      <c r="M33">
        <f>IF($W33="","",Settings!$C$7)</f>
        <v/>
      </c>
      <c r="N33" s="7">
        <f>IF($W33="","",SUMIFS('Per Line'!$Q$2:$Q$301,'Per Line'!$B$2:$B$301,$C33,'Per Line'!$Z$2:$Z$301,0,'Per Line'!$AA$2:$AA$301,0))</f>
        <v/>
      </c>
      <c r="O33" s="7">
        <f>IF($W33="","",N33*M33)</f>
        <v/>
      </c>
      <c r="P33">
        <f>IF($W33="","",Settings!$C$6)</f>
        <v/>
      </c>
      <c r="Q33" s="7">
        <f>IF($W33="","",SUMIFS('Per Line'!$Q$2:$Q$301,'Per Line'!$B$2:$B$301,$C33,'Per Line'!$Z$2:$Z$301,1,'Per Line'!$AA$2:$AA$301,0))</f>
        <v/>
      </c>
      <c r="R33" s="7">
        <f>IF($W33="","",Q33*P33)</f>
        <v/>
      </c>
      <c r="S33" s="7">
        <f>IF($W33="","",R33+O33)</f>
        <v/>
      </c>
      <c r="T33" s="7">
        <f>IF($W33="","",U33-S33)</f>
        <v/>
      </c>
      <c r="U33" s="7">
        <f>IF($W33="","",N33+Q33+L33)</f>
        <v/>
      </c>
      <c r="V33" s="7">
        <f>IF($W33="","",U33-S33-J33)</f>
        <v/>
      </c>
      <c r="W33" s="13">
        <f>IF(ROWS($W$2:$W33)&lt;=MAX('Per Line'!$Y$2:$Y$301),MATCH(ROWS($W$2:$W33),'Per Line'!$Y$2:$Y$301,0),"")</f>
        <v/>
      </c>
    </row>
    <row r="34">
      <c r="A34" s="12" t="n"/>
      <c r="B34">
        <f>IF($W34="","",INDEX('Per Line'!$A$2:$A$301,$W34)&amp;"")</f>
        <v/>
      </c>
      <c r="C34">
        <f>IF($W34="","",INDEX('Per Line'!$B$2:$B$301,$W34)&amp;"")</f>
        <v/>
      </c>
      <c r="D34" s="11">
        <f>IF($W34="","",INDEX('Per Line'!$C$2:$C$301,$W34))</f>
        <v/>
      </c>
      <c r="E34">
        <f>IF($W34="","",INDEX('Per Line'!$E$2:$E$301,$W34)&amp;"")</f>
        <v/>
      </c>
      <c r="F34">
        <f>IF($W34="","",INDEX('Per Line'!$F$2:$F$301,$W34)&amp;"")</f>
        <v/>
      </c>
      <c r="G34">
        <f>IF($W34="","",INDEX('Per Line'!$G$2:$G$301,$W34)&amp;"")</f>
        <v/>
      </c>
      <c r="H34">
        <f>IF($W34="","",INDEX('Per Line'!$H$2:$H$301,$W34)&amp;"")</f>
        <v/>
      </c>
      <c r="I34">
        <f>IF($W34="","",INDEX('Per Line'!$I$2:$I$301,$W34))</f>
        <v/>
      </c>
      <c r="J34" s="7">
        <f>IF($W34="","",I34*U34/100)</f>
        <v/>
      </c>
      <c r="K34">
        <f>IF($W34="","",INDEX('Per Line'!$R$2:$R$301,$W34)&amp;"")</f>
        <v/>
      </c>
      <c r="L34" s="7">
        <f>IF($W34="","",SUMIFS('Per Line'!$Q$2:$Q$301,'Per Line'!$B$2:$B$301,$C34,'Per Line'!$AA$2:$AA$301,1))</f>
        <v/>
      </c>
      <c r="M34">
        <f>IF($W34="","",Settings!$C$7)</f>
        <v/>
      </c>
      <c r="N34" s="7">
        <f>IF($W34="","",SUMIFS('Per Line'!$Q$2:$Q$301,'Per Line'!$B$2:$B$301,$C34,'Per Line'!$Z$2:$Z$301,0,'Per Line'!$AA$2:$AA$301,0))</f>
        <v/>
      </c>
      <c r="O34" s="7">
        <f>IF($W34="","",N34*M34)</f>
        <v/>
      </c>
      <c r="P34">
        <f>IF($W34="","",Settings!$C$6)</f>
        <v/>
      </c>
      <c r="Q34" s="7">
        <f>IF($W34="","",SUMIFS('Per Line'!$Q$2:$Q$301,'Per Line'!$B$2:$B$301,$C34,'Per Line'!$Z$2:$Z$301,1,'Per Line'!$AA$2:$AA$301,0))</f>
        <v/>
      </c>
      <c r="R34" s="7">
        <f>IF($W34="","",Q34*P34)</f>
        <v/>
      </c>
      <c r="S34" s="7">
        <f>IF($W34="","",R34+O34)</f>
        <v/>
      </c>
      <c r="T34" s="7">
        <f>IF($W34="","",U34-S34)</f>
        <v/>
      </c>
      <c r="U34" s="7">
        <f>IF($W34="","",N34+Q34+L34)</f>
        <v/>
      </c>
      <c r="V34" s="7">
        <f>IF($W34="","",U34-S34-J34)</f>
        <v/>
      </c>
      <c r="W34" s="13">
        <f>IF(ROWS($W$2:$W34)&lt;=MAX('Per Line'!$Y$2:$Y$301),MATCH(ROWS($W$2:$W34),'Per Line'!$Y$2:$Y$301,0),"")</f>
        <v/>
      </c>
    </row>
    <row r="35">
      <c r="A35" s="12" t="n"/>
      <c r="B35">
        <f>IF($W35="","",INDEX('Per Line'!$A$2:$A$301,$W35)&amp;"")</f>
        <v/>
      </c>
      <c r="C35">
        <f>IF($W35="","",INDEX('Per Line'!$B$2:$B$301,$W35)&amp;"")</f>
        <v/>
      </c>
      <c r="D35" s="11">
        <f>IF($W35="","",INDEX('Per Line'!$C$2:$C$301,$W35))</f>
        <v/>
      </c>
      <c r="E35">
        <f>IF($W35="","",INDEX('Per Line'!$E$2:$E$301,$W35)&amp;"")</f>
        <v/>
      </c>
      <c r="F35">
        <f>IF($W35="","",INDEX('Per Line'!$F$2:$F$301,$W35)&amp;"")</f>
        <v/>
      </c>
      <c r="G35">
        <f>IF($W35="","",INDEX('Per Line'!$G$2:$G$301,$W35)&amp;"")</f>
        <v/>
      </c>
      <c r="H35">
        <f>IF($W35="","",INDEX('Per Line'!$H$2:$H$301,$W35)&amp;"")</f>
        <v/>
      </c>
      <c r="I35">
        <f>IF($W35="","",INDEX('Per Line'!$I$2:$I$301,$W35))</f>
        <v/>
      </c>
      <c r="J35" s="7">
        <f>IF($W35="","",I35*U35/100)</f>
        <v/>
      </c>
      <c r="K35">
        <f>IF($W35="","",INDEX('Per Line'!$R$2:$R$301,$W35)&amp;"")</f>
        <v/>
      </c>
      <c r="L35" s="7">
        <f>IF($W35="","",SUMIFS('Per Line'!$Q$2:$Q$301,'Per Line'!$B$2:$B$301,$C35,'Per Line'!$AA$2:$AA$301,1))</f>
        <v/>
      </c>
      <c r="M35">
        <f>IF($W35="","",Settings!$C$7)</f>
        <v/>
      </c>
      <c r="N35" s="7">
        <f>IF($W35="","",SUMIFS('Per Line'!$Q$2:$Q$301,'Per Line'!$B$2:$B$301,$C35,'Per Line'!$Z$2:$Z$301,0,'Per Line'!$AA$2:$AA$301,0))</f>
        <v/>
      </c>
      <c r="O35" s="7">
        <f>IF($W35="","",N35*M35)</f>
        <v/>
      </c>
      <c r="P35">
        <f>IF($W35="","",Settings!$C$6)</f>
        <v/>
      </c>
      <c r="Q35" s="7">
        <f>IF($W35="","",SUMIFS('Per Line'!$Q$2:$Q$301,'Per Line'!$B$2:$B$301,$C35,'Per Line'!$Z$2:$Z$301,1,'Per Line'!$AA$2:$AA$301,0))</f>
        <v/>
      </c>
      <c r="R35" s="7">
        <f>IF($W35="","",Q35*P35)</f>
        <v/>
      </c>
      <c r="S35" s="7">
        <f>IF($W35="","",R35+O35)</f>
        <v/>
      </c>
      <c r="T35" s="7">
        <f>IF($W35="","",U35-S35)</f>
        <v/>
      </c>
      <c r="U35" s="7">
        <f>IF($W35="","",N35+Q35+L35)</f>
        <v/>
      </c>
      <c r="V35" s="7">
        <f>IF($W35="","",U35-S35-J35)</f>
        <v/>
      </c>
      <c r="W35" s="13">
        <f>IF(ROWS($W$2:$W35)&lt;=MAX('Per Line'!$Y$2:$Y$301),MATCH(ROWS($W$2:$W35),'Per Line'!$Y$2:$Y$301,0),"")</f>
        <v/>
      </c>
    </row>
    <row r="36">
      <c r="A36" s="12" t="n"/>
      <c r="B36">
        <f>IF($W36="","",INDEX('Per Line'!$A$2:$A$301,$W36)&amp;"")</f>
        <v/>
      </c>
      <c r="C36">
        <f>IF($W36="","",INDEX('Per Line'!$B$2:$B$301,$W36)&amp;"")</f>
        <v/>
      </c>
      <c r="D36" s="11">
        <f>IF($W36="","",INDEX('Per Line'!$C$2:$C$301,$W36))</f>
        <v/>
      </c>
      <c r="E36">
        <f>IF($W36="","",INDEX('Per Line'!$E$2:$E$301,$W36)&amp;"")</f>
        <v/>
      </c>
      <c r="F36">
        <f>IF($W36="","",INDEX('Per Line'!$F$2:$F$301,$W36)&amp;"")</f>
        <v/>
      </c>
      <c r="G36">
        <f>IF($W36="","",INDEX('Per Line'!$G$2:$G$301,$W36)&amp;"")</f>
        <v/>
      </c>
      <c r="H36">
        <f>IF($W36="","",INDEX('Per Line'!$H$2:$H$301,$W36)&amp;"")</f>
        <v/>
      </c>
      <c r="I36">
        <f>IF($W36="","",INDEX('Per Line'!$I$2:$I$301,$W36))</f>
        <v/>
      </c>
      <c r="J36" s="7">
        <f>IF($W36="","",I36*U36/100)</f>
        <v/>
      </c>
      <c r="K36">
        <f>IF($W36="","",INDEX('Per Line'!$R$2:$R$301,$W36)&amp;"")</f>
        <v/>
      </c>
      <c r="L36" s="7">
        <f>IF($W36="","",SUMIFS('Per Line'!$Q$2:$Q$301,'Per Line'!$B$2:$B$301,$C36,'Per Line'!$AA$2:$AA$301,1))</f>
        <v/>
      </c>
      <c r="M36">
        <f>IF($W36="","",Settings!$C$7)</f>
        <v/>
      </c>
      <c r="N36" s="7">
        <f>IF($W36="","",SUMIFS('Per Line'!$Q$2:$Q$301,'Per Line'!$B$2:$B$301,$C36,'Per Line'!$Z$2:$Z$301,0,'Per Line'!$AA$2:$AA$301,0))</f>
        <v/>
      </c>
      <c r="O36" s="7">
        <f>IF($W36="","",N36*M36)</f>
        <v/>
      </c>
      <c r="P36">
        <f>IF($W36="","",Settings!$C$6)</f>
        <v/>
      </c>
      <c r="Q36" s="7">
        <f>IF($W36="","",SUMIFS('Per Line'!$Q$2:$Q$301,'Per Line'!$B$2:$B$301,$C36,'Per Line'!$Z$2:$Z$301,1,'Per Line'!$AA$2:$AA$301,0))</f>
        <v/>
      </c>
      <c r="R36" s="7">
        <f>IF($W36="","",Q36*P36)</f>
        <v/>
      </c>
      <c r="S36" s="7">
        <f>IF($W36="","",R36+O36)</f>
        <v/>
      </c>
      <c r="T36" s="7">
        <f>IF($W36="","",U36-S36)</f>
        <v/>
      </c>
      <c r="U36" s="7">
        <f>IF($W36="","",N36+Q36+L36)</f>
        <v/>
      </c>
      <c r="V36" s="7">
        <f>IF($W36="","",U36-S36-J36)</f>
        <v/>
      </c>
      <c r="W36" s="13">
        <f>IF(ROWS($W$2:$W36)&lt;=MAX('Per Line'!$Y$2:$Y$301),MATCH(ROWS($W$2:$W36),'Per Line'!$Y$2:$Y$301,0),"")</f>
        <v/>
      </c>
    </row>
    <row r="37">
      <c r="A37" s="12" t="n"/>
      <c r="B37">
        <f>IF($W37="","",INDEX('Per Line'!$A$2:$A$301,$W37)&amp;"")</f>
        <v/>
      </c>
      <c r="C37">
        <f>IF($W37="","",INDEX('Per Line'!$B$2:$B$301,$W37)&amp;"")</f>
        <v/>
      </c>
      <c r="D37" s="11">
        <f>IF($W37="","",INDEX('Per Line'!$C$2:$C$301,$W37))</f>
        <v/>
      </c>
      <c r="E37">
        <f>IF($W37="","",INDEX('Per Line'!$E$2:$E$301,$W37)&amp;"")</f>
        <v/>
      </c>
      <c r="F37">
        <f>IF($W37="","",INDEX('Per Line'!$F$2:$F$301,$W37)&amp;"")</f>
        <v/>
      </c>
      <c r="G37">
        <f>IF($W37="","",INDEX('Per Line'!$G$2:$G$301,$W37)&amp;"")</f>
        <v/>
      </c>
      <c r="H37">
        <f>IF($W37="","",INDEX('Per Line'!$H$2:$H$301,$W37)&amp;"")</f>
        <v/>
      </c>
      <c r="I37">
        <f>IF($W37="","",INDEX('Per Line'!$I$2:$I$301,$W37))</f>
        <v/>
      </c>
      <c r="J37" s="7">
        <f>IF($W37="","",I37*U37/100)</f>
        <v/>
      </c>
      <c r="K37">
        <f>IF($W37="","",INDEX('Per Line'!$R$2:$R$301,$W37)&amp;"")</f>
        <v/>
      </c>
      <c r="L37" s="7">
        <f>IF($W37="","",SUMIFS('Per Line'!$Q$2:$Q$301,'Per Line'!$B$2:$B$301,$C37,'Per Line'!$AA$2:$AA$301,1))</f>
        <v/>
      </c>
      <c r="M37">
        <f>IF($W37="","",Settings!$C$7)</f>
        <v/>
      </c>
      <c r="N37" s="7">
        <f>IF($W37="","",SUMIFS('Per Line'!$Q$2:$Q$301,'Per Line'!$B$2:$B$301,$C37,'Per Line'!$Z$2:$Z$301,0,'Per Line'!$AA$2:$AA$301,0))</f>
        <v/>
      </c>
      <c r="O37" s="7">
        <f>IF($W37="","",N37*M37)</f>
        <v/>
      </c>
      <c r="P37">
        <f>IF($W37="","",Settings!$C$6)</f>
        <v/>
      </c>
      <c r="Q37" s="7">
        <f>IF($W37="","",SUMIFS('Per Line'!$Q$2:$Q$301,'Per Line'!$B$2:$B$301,$C37,'Per Line'!$Z$2:$Z$301,1,'Per Line'!$AA$2:$AA$301,0))</f>
        <v/>
      </c>
      <c r="R37" s="7">
        <f>IF($W37="","",Q37*P37)</f>
        <v/>
      </c>
      <c r="S37" s="7">
        <f>IF($W37="","",R37+O37)</f>
        <v/>
      </c>
      <c r="T37" s="7">
        <f>IF($W37="","",U37-S37)</f>
        <v/>
      </c>
      <c r="U37" s="7">
        <f>IF($W37="","",N37+Q37+L37)</f>
        <v/>
      </c>
      <c r="V37" s="7">
        <f>IF($W37="","",U37-S37-J37)</f>
        <v/>
      </c>
      <c r="W37" s="13">
        <f>IF(ROWS($W$2:$W37)&lt;=MAX('Per Line'!$Y$2:$Y$301),MATCH(ROWS($W$2:$W37),'Per Line'!$Y$2:$Y$301,0),"")</f>
        <v/>
      </c>
    </row>
    <row r="38">
      <c r="A38" s="12" t="n"/>
      <c r="B38">
        <f>IF($W38="","",INDEX('Per Line'!$A$2:$A$301,$W38)&amp;"")</f>
        <v/>
      </c>
      <c r="C38">
        <f>IF($W38="","",INDEX('Per Line'!$B$2:$B$301,$W38)&amp;"")</f>
        <v/>
      </c>
      <c r="D38" s="11">
        <f>IF($W38="","",INDEX('Per Line'!$C$2:$C$301,$W38))</f>
        <v/>
      </c>
      <c r="E38">
        <f>IF($W38="","",INDEX('Per Line'!$E$2:$E$301,$W38)&amp;"")</f>
        <v/>
      </c>
      <c r="F38">
        <f>IF($W38="","",INDEX('Per Line'!$F$2:$F$301,$W38)&amp;"")</f>
        <v/>
      </c>
      <c r="G38">
        <f>IF($W38="","",INDEX('Per Line'!$G$2:$G$301,$W38)&amp;"")</f>
        <v/>
      </c>
      <c r="H38">
        <f>IF($W38="","",INDEX('Per Line'!$H$2:$H$301,$W38)&amp;"")</f>
        <v/>
      </c>
      <c r="I38">
        <f>IF($W38="","",INDEX('Per Line'!$I$2:$I$301,$W38))</f>
        <v/>
      </c>
      <c r="J38" s="7">
        <f>IF($W38="","",I38*U38/100)</f>
        <v/>
      </c>
      <c r="K38">
        <f>IF($W38="","",INDEX('Per Line'!$R$2:$R$301,$W38)&amp;"")</f>
        <v/>
      </c>
      <c r="L38" s="7">
        <f>IF($W38="","",SUMIFS('Per Line'!$Q$2:$Q$301,'Per Line'!$B$2:$B$301,$C38,'Per Line'!$AA$2:$AA$301,1))</f>
        <v/>
      </c>
      <c r="M38">
        <f>IF($W38="","",Settings!$C$7)</f>
        <v/>
      </c>
      <c r="N38" s="7">
        <f>IF($W38="","",SUMIFS('Per Line'!$Q$2:$Q$301,'Per Line'!$B$2:$B$301,$C38,'Per Line'!$Z$2:$Z$301,0,'Per Line'!$AA$2:$AA$301,0))</f>
        <v/>
      </c>
      <c r="O38" s="7">
        <f>IF($W38="","",N38*M38)</f>
        <v/>
      </c>
      <c r="P38">
        <f>IF($W38="","",Settings!$C$6)</f>
        <v/>
      </c>
      <c r="Q38" s="7">
        <f>IF($W38="","",SUMIFS('Per Line'!$Q$2:$Q$301,'Per Line'!$B$2:$B$301,$C38,'Per Line'!$Z$2:$Z$301,1,'Per Line'!$AA$2:$AA$301,0))</f>
        <v/>
      </c>
      <c r="R38" s="7">
        <f>IF($W38="","",Q38*P38)</f>
        <v/>
      </c>
      <c r="S38" s="7">
        <f>IF($W38="","",R38+O38)</f>
        <v/>
      </c>
      <c r="T38" s="7">
        <f>IF($W38="","",U38-S38)</f>
        <v/>
      </c>
      <c r="U38" s="7">
        <f>IF($W38="","",N38+Q38+L38)</f>
        <v/>
      </c>
      <c r="V38" s="7">
        <f>IF($W38="","",U38-S38-J38)</f>
        <v/>
      </c>
      <c r="W38" s="13">
        <f>IF(ROWS($W$2:$W38)&lt;=MAX('Per Line'!$Y$2:$Y$301),MATCH(ROWS($W$2:$W38),'Per Line'!$Y$2:$Y$301,0),"")</f>
        <v/>
      </c>
    </row>
    <row r="39">
      <c r="A39" s="12" t="n"/>
      <c r="B39">
        <f>IF($W39="","",INDEX('Per Line'!$A$2:$A$301,$W39)&amp;"")</f>
        <v/>
      </c>
      <c r="C39">
        <f>IF($W39="","",INDEX('Per Line'!$B$2:$B$301,$W39)&amp;"")</f>
        <v/>
      </c>
      <c r="D39" s="11">
        <f>IF($W39="","",INDEX('Per Line'!$C$2:$C$301,$W39))</f>
        <v/>
      </c>
      <c r="E39">
        <f>IF($W39="","",INDEX('Per Line'!$E$2:$E$301,$W39)&amp;"")</f>
        <v/>
      </c>
      <c r="F39">
        <f>IF($W39="","",INDEX('Per Line'!$F$2:$F$301,$W39)&amp;"")</f>
        <v/>
      </c>
      <c r="G39">
        <f>IF($W39="","",INDEX('Per Line'!$G$2:$G$301,$W39)&amp;"")</f>
        <v/>
      </c>
      <c r="H39">
        <f>IF($W39="","",INDEX('Per Line'!$H$2:$H$301,$W39)&amp;"")</f>
        <v/>
      </c>
      <c r="I39">
        <f>IF($W39="","",INDEX('Per Line'!$I$2:$I$301,$W39))</f>
        <v/>
      </c>
      <c r="J39" s="7">
        <f>IF($W39="","",I39*U39/100)</f>
        <v/>
      </c>
      <c r="K39">
        <f>IF($W39="","",INDEX('Per Line'!$R$2:$R$301,$W39)&amp;"")</f>
        <v/>
      </c>
      <c r="L39" s="7">
        <f>IF($W39="","",SUMIFS('Per Line'!$Q$2:$Q$301,'Per Line'!$B$2:$B$301,$C39,'Per Line'!$AA$2:$AA$301,1))</f>
        <v/>
      </c>
      <c r="M39">
        <f>IF($W39="","",Settings!$C$7)</f>
        <v/>
      </c>
      <c r="N39" s="7">
        <f>IF($W39="","",SUMIFS('Per Line'!$Q$2:$Q$301,'Per Line'!$B$2:$B$301,$C39,'Per Line'!$Z$2:$Z$301,0,'Per Line'!$AA$2:$AA$301,0))</f>
        <v/>
      </c>
      <c r="O39" s="7">
        <f>IF($W39="","",N39*M39)</f>
        <v/>
      </c>
      <c r="P39">
        <f>IF($W39="","",Settings!$C$6)</f>
        <v/>
      </c>
      <c r="Q39" s="7">
        <f>IF($W39="","",SUMIFS('Per Line'!$Q$2:$Q$301,'Per Line'!$B$2:$B$301,$C39,'Per Line'!$Z$2:$Z$301,1,'Per Line'!$AA$2:$AA$301,0))</f>
        <v/>
      </c>
      <c r="R39" s="7">
        <f>IF($W39="","",Q39*P39)</f>
        <v/>
      </c>
      <c r="S39" s="7">
        <f>IF($W39="","",R39+O39)</f>
        <v/>
      </c>
      <c r="T39" s="7">
        <f>IF($W39="","",U39-S39)</f>
        <v/>
      </c>
      <c r="U39" s="7">
        <f>IF($W39="","",N39+Q39+L39)</f>
        <v/>
      </c>
      <c r="V39" s="7">
        <f>IF($W39="","",U39-S39-J39)</f>
        <v/>
      </c>
      <c r="W39" s="13">
        <f>IF(ROWS($W$2:$W39)&lt;=MAX('Per Line'!$Y$2:$Y$301),MATCH(ROWS($W$2:$W39),'Per Line'!$Y$2:$Y$301,0),"")</f>
        <v/>
      </c>
    </row>
    <row r="40">
      <c r="A40" s="12" t="n"/>
      <c r="B40">
        <f>IF($W40="","",INDEX('Per Line'!$A$2:$A$301,$W40)&amp;"")</f>
        <v/>
      </c>
      <c r="C40">
        <f>IF($W40="","",INDEX('Per Line'!$B$2:$B$301,$W40)&amp;"")</f>
        <v/>
      </c>
      <c r="D40" s="11">
        <f>IF($W40="","",INDEX('Per Line'!$C$2:$C$301,$W40))</f>
        <v/>
      </c>
      <c r="E40">
        <f>IF($W40="","",INDEX('Per Line'!$E$2:$E$301,$W40)&amp;"")</f>
        <v/>
      </c>
      <c r="F40">
        <f>IF($W40="","",INDEX('Per Line'!$F$2:$F$301,$W40)&amp;"")</f>
        <v/>
      </c>
      <c r="G40">
        <f>IF($W40="","",INDEX('Per Line'!$G$2:$G$301,$W40)&amp;"")</f>
        <v/>
      </c>
      <c r="H40">
        <f>IF($W40="","",INDEX('Per Line'!$H$2:$H$301,$W40)&amp;"")</f>
        <v/>
      </c>
      <c r="I40">
        <f>IF($W40="","",INDEX('Per Line'!$I$2:$I$301,$W40))</f>
        <v/>
      </c>
      <c r="J40" s="7">
        <f>IF($W40="","",I40*U40/100)</f>
        <v/>
      </c>
      <c r="K40">
        <f>IF($W40="","",INDEX('Per Line'!$R$2:$R$301,$W40)&amp;"")</f>
        <v/>
      </c>
      <c r="L40" s="7">
        <f>IF($W40="","",SUMIFS('Per Line'!$Q$2:$Q$301,'Per Line'!$B$2:$B$301,$C40,'Per Line'!$AA$2:$AA$301,1))</f>
        <v/>
      </c>
      <c r="M40">
        <f>IF($W40="","",Settings!$C$7)</f>
        <v/>
      </c>
      <c r="N40" s="7">
        <f>IF($W40="","",SUMIFS('Per Line'!$Q$2:$Q$301,'Per Line'!$B$2:$B$301,$C40,'Per Line'!$Z$2:$Z$301,0,'Per Line'!$AA$2:$AA$301,0))</f>
        <v/>
      </c>
      <c r="O40" s="7">
        <f>IF($W40="","",N40*M40)</f>
        <v/>
      </c>
      <c r="P40">
        <f>IF($W40="","",Settings!$C$6)</f>
        <v/>
      </c>
      <c r="Q40" s="7">
        <f>IF($W40="","",SUMIFS('Per Line'!$Q$2:$Q$301,'Per Line'!$B$2:$B$301,$C40,'Per Line'!$Z$2:$Z$301,1,'Per Line'!$AA$2:$AA$301,0))</f>
        <v/>
      </c>
      <c r="R40" s="7">
        <f>IF($W40="","",Q40*P40)</f>
        <v/>
      </c>
      <c r="S40" s="7">
        <f>IF($W40="","",R40+O40)</f>
        <v/>
      </c>
      <c r="T40" s="7">
        <f>IF($W40="","",U40-S40)</f>
        <v/>
      </c>
      <c r="U40" s="7">
        <f>IF($W40="","",N40+Q40+L40)</f>
        <v/>
      </c>
      <c r="V40" s="7">
        <f>IF($W40="","",U40-S40-J40)</f>
        <v/>
      </c>
      <c r="W40" s="13">
        <f>IF(ROWS($W$2:$W40)&lt;=MAX('Per Line'!$Y$2:$Y$301),MATCH(ROWS($W$2:$W40),'Per Line'!$Y$2:$Y$301,0),"")</f>
        <v/>
      </c>
    </row>
    <row r="41">
      <c r="A41" s="12" t="n"/>
      <c r="B41">
        <f>IF($W41="","",INDEX('Per Line'!$A$2:$A$301,$W41)&amp;"")</f>
        <v/>
      </c>
      <c r="C41">
        <f>IF($W41="","",INDEX('Per Line'!$B$2:$B$301,$W41)&amp;"")</f>
        <v/>
      </c>
      <c r="D41" s="11">
        <f>IF($W41="","",INDEX('Per Line'!$C$2:$C$301,$W41))</f>
        <v/>
      </c>
      <c r="E41">
        <f>IF($W41="","",INDEX('Per Line'!$E$2:$E$301,$W41)&amp;"")</f>
        <v/>
      </c>
      <c r="F41">
        <f>IF($W41="","",INDEX('Per Line'!$F$2:$F$301,$W41)&amp;"")</f>
        <v/>
      </c>
      <c r="G41">
        <f>IF($W41="","",INDEX('Per Line'!$G$2:$G$301,$W41)&amp;"")</f>
        <v/>
      </c>
      <c r="H41">
        <f>IF($W41="","",INDEX('Per Line'!$H$2:$H$301,$W41)&amp;"")</f>
        <v/>
      </c>
      <c r="I41">
        <f>IF($W41="","",INDEX('Per Line'!$I$2:$I$301,$W41))</f>
        <v/>
      </c>
      <c r="J41" s="7">
        <f>IF($W41="","",I41*U41/100)</f>
        <v/>
      </c>
      <c r="K41">
        <f>IF($W41="","",INDEX('Per Line'!$R$2:$R$301,$W41)&amp;"")</f>
        <v/>
      </c>
      <c r="L41" s="7">
        <f>IF($W41="","",SUMIFS('Per Line'!$Q$2:$Q$301,'Per Line'!$B$2:$B$301,$C41,'Per Line'!$AA$2:$AA$301,1))</f>
        <v/>
      </c>
      <c r="M41">
        <f>IF($W41="","",Settings!$C$7)</f>
        <v/>
      </c>
      <c r="N41" s="7">
        <f>IF($W41="","",SUMIFS('Per Line'!$Q$2:$Q$301,'Per Line'!$B$2:$B$301,$C41,'Per Line'!$Z$2:$Z$301,0,'Per Line'!$AA$2:$AA$301,0))</f>
        <v/>
      </c>
      <c r="O41" s="7">
        <f>IF($W41="","",N41*M41)</f>
        <v/>
      </c>
      <c r="P41">
        <f>IF($W41="","",Settings!$C$6)</f>
        <v/>
      </c>
      <c r="Q41" s="7">
        <f>IF($W41="","",SUMIFS('Per Line'!$Q$2:$Q$301,'Per Line'!$B$2:$B$301,$C41,'Per Line'!$Z$2:$Z$301,1,'Per Line'!$AA$2:$AA$301,0))</f>
        <v/>
      </c>
      <c r="R41" s="7">
        <f>IF($W41="","",Q41*P41)</f>
        <v/>
      </c>
      <c r="S41" s="7">
        <f>IF($W41="","",R41+O41)</f>
        <v/>
      </c>
      <c r="T41" s="7">
        <f>IF($W41="","",U41-S41)</f>
        <v/>
      </c>
      <c r="U41" s="7">
        <f>IF($W41="","",N41+Q41+L41)</f>
        <v/>
      </c>
      <c r="V41" s="7">
        <f>IF($W41="","",U41-S41-J41)</f>
        <v/>
      </c>
      <c r="W41" s="13">
        <f>IF(ROWS($W$2:$W41)&lt;=MAX('Per Line'!$Y$2:$Y$301),MATCH(ROWS($W$2:$W41),'Per Line'!$Y$2:$Y$301,0),"")</f>
        <v/>
      </c>
    </row>
    <row r="42">
      <c r="A42" s="12" t="n"/>
      <c r="B42">
        <f>IF($W42="","",INDEX('Per Line'!$A$2:$A$301,$W42)&amp;"")</f>
        <v/>
      </c>
      <c r="C42">
        <f>IF($W42="","",INDEX('Per Line'!$B$2:$B$301,$W42)&amp;"")</f>
        <v/>
      </c>
      <c r="D42" s="11">
        <f>IF($W42="","",INDEX('Per Line'!$C$2:$C$301,$W42))</f>
        <v/>
      </c>
      <c r="E42">
        <f>IF($W42="","",INDEX('Per Line'!$E$2:$E$301,$W42)&amp;"")</f>
        <v/>
      </c>
      <c r="F42">
        <f>IF($W42="","",INDEX('Per Line'!$F$2:$F$301,$W42)&amp;"")</f>
        <v/>
      </c>
      <c r="G42">
        <f>IF($W42="","",INDEX('Per Line'!$G$2:$G$301,$W42)&amp;"")</f>
        <v/>
      </c>
      <c r="H42">
        <f>IF($W42="","",INDEX('Per Line'!$H$2:$H$301,$W42)&amp;"")</f>
        <v/>
      </c>
      <c r="I42">
        <f>IF($W42="","",INDEX('Per Line'!$I$2:$I$301,$W42))</f>
        <v/>
      </c>
      <c r="J42" s="7">
        <f>IF($W42="","",I42*U42/100)</f>
        <v/>
      </c>
      <c r="K42">
        <f>IF($W42="","",INDEX('Per Line'!$R$2:$R$301,$W42)&amp;"")</f>
        <v/>
      </c>
      <c r="L42" s="7">
        <f>IF($W42="","",SUMIFS('Per Line'!$Q$2:$Q$301,'Per Line'!$B$2:$B$301,$C42,'Per Line'!$AA$2:$AA$301,1))</f>
        <v/>
      </c>
      <c r="M42">
        <f>IF($W42="","",Settings!$C$7)</f>
        <v/>
      </c>
      <c r="N42" s="7">
        <f>IF($W42="","",SUMIFS('Per Line'!$Q$2:$Q$301,'Per Line'!$B$2:$B$301,$C42,'Per Line'!$Z$2:$Z$301,0,'Per Line'!$AA$2:$AA$301,0))</f>
        <v/>
      </c>
      <c r="O42" s="7">
        <f>IF($W42="","",N42*M42)</f>
        <v/>
      </c>
      <c r="P42">
        <f>IF($W42="","",Settings!$C$6)</f>
        <v/>
      </c>
      <c r="Q42" s="7">
        <f>IF($W42="","",SUMIFS('Per Line'!$Q$2:$Q$301,'Per Line'!$B$2:$B$301,$C42,'Per Line'!$Z$2:$Z$301,1,'Per Line'!$AA$2:$AA$301,0))</f>
        <v/>
      </c>
      <c r="R42" s="7">
        <f>IF($W42="","",Q42*P42)</f>
        <v/>
      </c>
      <c r="S42" s="7">
        <f>IF($W42="","",R42+O42)</f>
        <v/>
      </c>
      <c r="T42" s="7">
        <f>IF($W42="","",U42-S42)</f>
        <v/>
      </c>
      <c r="U42" s="7">
        <f>IF($W42="","",N42+Q42+L42)</f>
        <v/>
      </c>
      <c r="V42" s="7">
        <f>IF($W42="","",U42-S42-J42)</f>
        <v/>
      </c>
      <c r="W42" s="13">
        <f>IF(ROWS($W$2:$W42)&lt;=MAX('Per Line'!$Y$2:$Y$301),MATCH(ROWS($W$2:$W42),'Per Line'!$Y$2:$Y$301,0),"")</f>
        <v/>
      </c>
    </row>
    <row r="43">
      <c r="A43" s="12" t="n"/>
      <c r="B43">
        <f>IF($W43="","",INDEX('Per Line'!$A$2:$A$301,$W43)&amp;"")</f>
        <v/>
      </c>
      <c r="C43">
        <f>IF($W43="","",INDEX('Per Line'!$B$2:$B$301,$W43)&amp;"")</f>
        <v/>
      </c>
      <c r="D43" s="11">
        <f>IF($W43="","",INDEX('Per Line'!$C$2:$C$301,$W43))</f>
        <v/>
      </c>
      <c r="E43">
        <f>IF($W43="","",INDEX('Per Line'!$E$2:$E$301,$W43)&amp;"")</f>
        <v/>
      </c>
      <c r="F43">
        <f>IF($W43="","",INDEX('Per Line'!$F$2:$F$301,$W43)&amp;"")</f>
        <v/>
      </c>
      <c r="G43">
        <f>IF($W43="","",INDEX('Per Line'!$G$2:$G$301,$W43)&amp;"")</f>
        <v/>
      </c>
      <c r="H43">
        <f>IF($W43="","",INDEX('Per Line'!$H$2:$H$301,$W43)&amp;"")</f>
        <v/>
      </c>
      <c r="I43">
        <f>IF($W43="","",INDEX('Per Line'!$I$2:$I$301,$W43))</f>
        <v/>
      </c>
      <c r="J43" s="7">
        <f>IF($W43="","",I43*U43/100)</f>
        <v/>
      </c>
      <c r="K43">
        <f>IF($W43="","",INDEX('Per Line'!$R$2:$R$301,$W43)&amp;"")</f>
        <v/>
      </c>
      <c r="L43" s="7">
        <f>IF($W43="","",SUMIFS('Per Line'!$Q$2:$Q$301,'Per Line'!$B$2:$B$301,$C43,'Per Line'!$AA$2:$AA$301,1))</f>
        <v/>
      </c>
      <c r="M43">
        <f>IF($W43="","",Settings!$C$7)</f>
        <v/>
      </c>
      <c r="N43" s="7">
        <f>IF($W43="","",SUMIFS('Per Line'!$Q$2:$Q$301,'Per Line'!$B$2:$B$301,$C43,'Per Line'!$Z$2:$Z$301,0,'Per Line'!$AA$2:$AA$301,0))</f>
        <v/>
      </c>
      <c r="O43" s="7">
        <f>IF($W43="","",N43*M43)</f>
        <v/>
      </c>
      <c r="P43">
        <f>IF($W43="","",Settings!$C$6)</f>
        <v/>
      </c>
      <c r="Q43" s="7">
        <f>IF($W43="","",SUMIFS('Per Line'!$Q$2:$Q$301,'Per Line'!$B$2:$B$301,$C43,'Per Line'!$Z$2:$Z$301,1,'Per Line'!$AA$2:$AA$301,0))</f>
        <v/>
      </c>
      <c r="R43" s="7">
        <f>IF($W43="","",Q43*P43)</f>
        <v/>
      </c>
      <c r="S43" s="7">
        <f>IF($W43="","",R43+O43)</f>
        <v/>
      </c>
      <c r="T43" s="7">
        <f>IF($W43="","",U43-S43)</f>
        <v/>
      </c>
      <c r="U43" s="7">
        <f>IF($W43="","",N43+Q43+L43)</f>
        <v/>
      </c>
      <c r="V43" s="7">
        <f>IF($W43="","",U43-S43-J43)</f>
        <v/>
      </c>
      <c r="W43" s="13">
        <f>IF(ROWS($W$2:$W43)&lt;=MAX('Per Line'!$Y$2:$Y$301),MATCH(ROWS($W$2:$W43),'Per Line'!$Y$2:$Y$301,0),"")</f>
        <v/>
      </c>
    </row>
    <row r="44">
      <c r="A44" s="12" t="n"/>
      <c r="B44">
        <f>IF($W44="","",INDEX('Per Line'!$A$2:$A$301,$W44)&amp;"")</f>
        <v/>
      </c>
      <c r="C44">
        <f>IF($W44="","",INDEX('Per Line'!$B$2:$B$301,$W44)&amp;"")</f>
        <v/>
      </c>
      <c r="D44" s="11">
        <f>IF($W44="","",INDEX('Per Line'!$C$2:$C$301,$W44))</f>
        <v/>
      </c>
      <c r="E44">
        <f>IF($W44="","",INDEX('Per Line'!$E$2:$E$301,$W44)&amp;"")</f>
        <v/>
      </c>
      <c r="F44">
        <f>IF($W44="","",INDEX('Per Line'!$F$2:$F$301,$W44)&amp;"")</f>
        <v/>
      </c>
      <c r="G44">
        <f>IF($W44="","",INDEX('Per Line'!$G$2:$G$301,$W44)&amp;"")</f>
        <v/>
      </c>
      <c r="H44">
        <f>IF($W44="","",INDEX('Per Line'!$H$2:$H$301,$W44)&amp;"")</f>
        <v/>
      </c>
      <c r="I44">
        <f>IF($W44="","",INDEX('Per Line'!$I$2:$I$301,$W44))</f>
        <v/>
      </c>
      <c r="J44" s="7">
        <f>IF($W44="","",I44*U44/100)</f>
        <v/>
      </c>
      <c r="K44">
        <f>IF($W44="","",INDEX('Per Line'!$R$2:$R$301,$W44)&amp;"")</f>
        <v/>
      </c>
      <c r="L44" s="7">
        <f>IF($W44="","",SUMIFS('Per Line'!$Q$2:$Q$301,'Per Line'!$B$2:$B$301,$C44,'Per Line'!$AA$2:$AA$301,1))</f>
        <v/>
      </c>
      <c r="M44">
        <f>IF($W44="","",Settings!$C$7)</f>
        <v/>
      </c>
      <c r="N44" s="7">
        <f>IF($W44="","",SUMIFS('Per Line'!$Q$2:$Q$301,'Per Line'!$B$2:$B$301,$C44,'Per Line'!$Z$2:$Z$301,0,'Per Line'!$AA$2:$AA$301,0))</f>
        <v/>
      </c>
      <c r="O44" s="7">
        <f>IF($W44="","",N44*M44)</f>
        <v/>
      </c>
      <c r="P44">
        <f>IF($W44="","",Settings!$C$6)</f>
        <v/>
      </c>
      <c r="Q44" s="7">
        <f>IF($W44="","",SUMIFS('Per Line'!$Q$2:$Q$301,'Per Line'!$B$2:$B$301,$C44,'Per Line'!$Z$2:$Z$301,1,'Per Line'!$AA$2:$AA$301,0))</f>
        <v/>
      </c>
      <c r="R44" s="7">
        <f>IF($W44="","",Q44*P44)</f>
        <v/>
      </c>
      <c r="S44" s="7">
        <f>IF($W44="","",R44+O44)</f>
        <v/>
      </c>
      <c r="T44" s="7">
        <f>IF($W44="","",U44-S44)</f>
        <v/>
      </c>
      <c r="U44" s="7">
        <f>IF($W44="","",N44+Q44+L44)</f>
        <v/>
      </c>
      <c r="V44" s="7">
        <f>IF($W44="","",U44-S44-J44)</f>
        <v/>
      </c>
      <c r="W44" s="13">
        <f>IF(ROWS($W$2:$W44)&lt;=MAX('Per Line'!$Y$2:$Y$301),MATCH(ROWS($W$2:$W44),'Per Line'!$Y$2:$Y$301,0),"")</f>
        <v/>
      </c>
    </row>
    <row r="45">
      <c r="A45" s="12" t="n"/>
      <c r="B45">
        <f>IF($W45="","",INDEX('Per Line'!$A$2:$A$301,$W45)&amp;"")</f>
        <v/>
      </c>
      <c r="C45">
        <f>IF($W45="","",INDEX('Per Line'!$B$2:$B$301,$W45)&amp;"")</f>
        <v/>
      </c>
      <c r="D45" s="11">
        <f>IF($W45="","",INDEX('Per Line'!$C$2:$C$301,$W45))</f>
        <v/>
      </c>
      <c r="E45">
        <f>IF($W45="","",INDEX('Per Line'!$E$2:$E$301,$W45)&amp;"")</f>
        <v/>
      </c>
      <c r="F45">
        <f>IF($W45="","",INDEX('Per Line'!$F$2:$F$301,$W45)&amp;"")</f>
        <v/>
      </c>
      <c r="G45">
        <f>IF($W45="","",INDEX('Per Line'!$G$2:$G$301,$W45)&amp;"")</f>
        <v/>
      </c>
      <c r="H45">
        <f>IF($W45="","",INDEX('Per Line'!$H$2:$H$301,$W45)&amp;"")</f>
        <v/>
      </c>
      <c r="I45">
        <f>IF($W45="","",INDEX('Per Line'!$I$2:$I$301,$W45))</f>
        <v/>
      </c>
      <c r="J45" s="7">
        <f>IF($W45="","",I45*U45/100)</f>
        <v/>
      </c>
      <c r="K45">
        <f>IF($W45="","",INDEX('Per Line'!$R$2:$R$301,$W45)&amp;"")</f>
        <v/>
      </c>
      <c r="L45" s="7">
        <f>IF($W45="","",SUMIFS('Per Line'!$Q$2:$Q$301,'Per Line'!$B$2:$B$301,$C45,'Per Line'!$AA$2:$AA$301,1))</f>
        <v/>
      </c>
      <c r="M45">
        <f>IF($W45="","",Settings!$C$7)</f>
        <v/>
      </c>
      <c r="N45" s="7">
        <f>IF($W45="","",SUMIFS('Per Line'!$Q$2:$Q$301,'Per Line'!$B$2:$B$301,$C45,'Per Line'!$Z$2:$Z$301,0,'Per Line'!$AA$2:$AA$301,0))</f>
        <v/>
      </c>
      <c r="O45" s="7">
        <f>IF($W45="","",N45*M45)</f>
        <v/>
      </c>
      <c r="P45">
        <f>IF($W45="","",Settings!$C$6)</f>
        <v/>
      </c>
      <c r="Q45" s="7">
        <f>IF($W45="","",SUMIFS('Per Line'!$Q$2:$Q$301,'Per Line'!$B$2:$B$301,$C45,'Per Line'!$Z$2:$Z$301,1,'Per Line'!$AA$2:$AA$301,0))</f>
        <v/>
      </c>
      <c r="R45" s="7">
        <f>IF($W45="","",Q45*P45)</f>
        <v/>
      </c>
      <c r="S45" s="7">
        <f>IF($W45="","",R45+O45)</f>
        <v/>
      </c>
      <c r="T45" s="7">
        <f>IF($W45="","",U45-S45)</f>
        <v/>
      </c>
      <c r="U45" s="7">
        <f>IF($W45="","",N45+Q45+L45)</f>
        <v/>
      </c>
      <c r="V45" s="7">
        <f>IF($W45="","",U45-S45-J45)</f>
        <v/>
      </c>
      <c r="W45" s="13">
        <f>IF(ROWS($W$2:$W45)&lt;=MAX('Per Line'!$Y$2:$Y$301),MATCH(ROWS($W$2:$W45),'Per Line'!$Y$2:$Y$301,0),"")</f>
        <v/>
      </c>
    </row>
    <row r="46">
      <c r="A46" s="12" t="n"/>
      <c r="B46">
        <f>IF($W46="","",INDEX('Per Line'!$A$2:$A$301,$W46)&amp;"")</f>
        <v/>
      </c>
      <c r="C46">
        <f>IF($W46="","",INDEX('Per Line'!$B$2:$B$301,$W46)&amp;"")</f>
        <v/>
      </c>
      <c r="D46" s="11">
        <f>IF($W46="","",INDEX('Per Line'!$C$2:$C$301,$W46))</f>
        <v/>
      </c>
      <c r="E46">
        <f>IF($W46="","",INDEX('Per Line'!$E$2:$E$301,$W46)&amp;"")</f>
        <v/>
      </c>
      <c r="F46">
        <f>IF($W46="","",INDEX('Per Line'!$F$2:$F$301,$W46)&amp;"")</f>
        <v/>
      </c>
      <c r="G46">
        <f>IF($W46="","",INDEX('Per Line'!$G$2:$G$301,$W46)&amp;"")</f>
        <v/>
      </c>
      <c r="H46">
        <f>IF($W46="","",INDEX('Per Line'!$H$2:$H$301,$W46)&amp;"")</f>
        <v/>
      </c>
      <c r="I46">
        <f>IF($W46="","",INDEX('Per Line'!$I$2:$I$301,$W46))</f>
        <v/>
      </c>
      <c r="J46" s="7">
        <f>IF($W46="","",I46*U46/100)</f>
        <v/>
      </c>
      <c r="K46">
        <f>IF($W46="","",INDEX('Per Line'!$R$2:$R$301,$W46)&amp;"")</f>
        <v/>
      </c>
      <c r="L46" s="7">
        <f>IF($W46="","",SUMIFS('Per Line'!$Q$2:$Q$301,'Per Line'!$B$2:$B$301,$C46,'Per Line'!$AA$2:$AA$301,1))</f>
        <v/>
      </c>
      <c r="M46">
        <f>IF($W46="","",Settings!$C$7)</f>
        <v/>
      </c>
      <c r="N46" s="7">
        <f>IF($W46="","",SUMIFS('Per Line'!$Q$2:$Q$301,'Per Line'!$B$2:$B$301,$C46,'Per Line'!$Z$2:$Z$301,0,'Per Line'!$AA$2:$AA$301,0))</f>
        <v/>
      </c>
      <c r="O46" s="7">
        <f>IF($W46="","",N46*M46)</f>
        <v/>
      </c>
      <c r="P46">
        <f>IF($W46="","",Settings!$C$6)</f>
        <v/>
      </c>
      <c r="Q46" s="7">
        <f>IF($W46="","",SUMIFS('Per Line'!$Q$2:$Q$301,'Per Line'!$B$2:$B$301,$C46,'Per Line'!$Z$2:$Z$301,1,'Per Line'!$AA$2:$AA$301,0))</f>
        <v/>
      </c>
      <c r="R46" s="7">
        <f>IF($W46="","",Q46*P46)</f>
        <v/>
      </c>
      <c r="S46" s="7">
        <f>IF($W46="","",R46+O46)</f>
        <v/>
      </c>
      <c r="T46" s="7">
        <f>IF($W46="","",U46-S46)</f>
        <v/>
      </c>
      <c r="U46" s="7">
        <f>IF($W46="","",N46+Q46+L46)</f>
        <v/>
      </c>
      <c r="V46" s="7">
        <f>IF($W46="","",U46-S46-J46)</f>
        <v/>
      </c>
      <c r="W46" s="13">
        <f>IF(ROWS($W$2:$W46)&lt;=MAX('Per Line'!$Y$2:$Y$301),MATCH(ROWS($W$2:$W46),'Per Line'!$Y$2:$Y$301,0),"")</f>
        <v/>
      </c>
    </row>
    <row r="47">
      <c r="A47" s="12" t="n"/>
      <c r="B47">
        <f>IF($W47="","",INDEX('Per Line'!$A$2:$A$301,$W47)&amp;"")</f>
        <v/>
      </c>
      <c r="C47">
        <f>IF($W47="","",INDEX('Per Line'!$B$2:$B$301,$W47)&amp;"")</f>
        <v/>
      </c>
      <c r="D47" s="11">
        <f>IF($W47="","",INDEX('Per Line'!$C$2:$C$301,$W47))</f>
        <v/>
      </c>
      <c r="E47">
        <f>IF($W47="","",INDEX('Per Line'!$E$2:$E$301,$W47)&amp;"")</f>
        <v/>
      </c>
      <c r="F47">
        <f>IF($W47="","",INDEX('Per Line'!$F$2:$F$301,$W47)&amp;"")</f>
        <v/>
      </c>
      <c r="G47">
        <f>IF($W47="","",INDEX('Per Line'!$G$2:$G$301,$W47)&amp;"")</f>
        <v/>
      </c>
      <c r="H47">
        <f>IF($W47="","",INDEX('Per Line'!$H$2:$H$301,$W47)&amp;"")</f>
        <v/>
      </c>
      <c r="I47">
        <f>IF($W47="","",INDEX('Per Line'!$I$2:$I$301,$W47))</f>
        <v/>
      </c>
      <c r="J47" s="7">
        <f>IF($W47="","",I47*U47/100)</f>
        <v/>
      </c>
      <c r="K47">
        <f>IF($W47="","",INDEX('Per Line'!$R$2:$R$301,$W47)&amp;"")</f>
        <v/>
      </c>
      <c r="L47" s="7">
        <f>IF($W47="","",SUMIFS('Per Line'!$Q$2:$Q$301,'Per Line'!$B$2:$B$301,$C47,'Per Line'!$AA$2:$AA$301,1))</f>
        <v/>
      </c>
      <c r="M47">
        <f>IF($W47="","",Settings!$C$7)</f>
        <v/>
      </c>
      <c r="N47" s="7">
        <f>IF($W47="","",SUMIFS('Per Line'!$Q$2:$Q$301,'Per Line'!$B$2:$B$301,$C47,'Per Line'!$Z$2:$Z$301,0,'Per Line'!$AA$2:$AA$301,0))</f>
        <v/>
      </c>
      <c r="O47" s="7">
        <f>IF($W47="","",N47*M47)</f>
        <v/>
      </c>
      <c r="P47">
        <f>IF($W47="","",Settings!$C$6)</f>
        <v/>
      </c>
      <c r="Q47" s="7">
        <f>IF($W47="","",SUMIFS('Per Line'!$Q$2:$Q$301,'Per Line'!$B$2:$B$301,$C47,'Per Line'!$Z$2:$Z$301,1,'Per Line'!$AA$2:$AA$301,0))</f>
        <v/>
      </c>
      <c r="R47" s="7">
        <f>IF($W47="","",Q47*P47)</f>
        <v/>
      </c>
      <c r="S47" s="7">
        <f>IF($W47="","",R47+O47)</f>
        <v/>
      </c>
      <c r="T47" s="7">
        <f>IF($W47="","",U47-S47)</f>
        <v/>
      </c>
      <c r="U47" s="7">
        <f>IF($W47="","",N47+Q47+L47)</f>
        <v/>
      </c>
      <c r="V47" s="7">
        <f>IF($W47="","",U47-S47-J47)</f>
        <v/>
      </c>
      <c r="W47" s="13">
        <f>IF(ROWS($W$2:$W47)&lt;=MAX('Per Line'!$Y$2:$Y$301),MATCH(ROWS($W$2:$W47),'Per Line'!$Y$2:$Y$301,0),"")</f>
        <v/>
      </c>
    </row>
    <row r="48">
      <c r="A48" s="12" t="n"/>
      <c r="B48">
        <f>IF($W48="","",INDEX('Per Line'!$A$2:$A$301,$W48)&amp;"")</f>
        <v/>
      </c>
      <c r="C48">
        <f>IF($W48="","",INDEX('Per Line'!$B$2:$B$301,$W48)&amp;"")</f>
        <v/>
      </c>
      <c r="D48" s="11">
        <f>IF($W48="","",INDEX('Per Line'!$C$2:$C$301,$W48))</f>
        <v/>
      </c>
      <c r="E48">
        <f>IF($W48="","",INDEX('Per Line'!$E$2:$E$301,$W48)&amp;"")</f>
        <v/>
      </c>
      <c r="F48">
        <f>IF($W48="","",INDEX('Per Line'!$F$2:$F$301,$W48)&amp;"")</f>
        <v/>
      </c>
      <c r="G48">
        <f>IF($W48="","",INDEX('Per Line'!$G$2:$G$301,$W48)&amp;"")</f>
        <v/>
      </c>
      <c r="H48">
        <f>IF($W48="","",INDEX('Per Line'!$H$2:$H$301,$W48)&amp;"")</f>
        <v/>
      </c>
      <c r="I48">
        <f>IF($W48="","",INDEX('Per Line'!$I$2:$I$301,$W48))</f>
        <v/>
      </c>
      <c r="J48" s="7">
        <f>IF($W48="","",I48*U48/100)</f>
        <v/>
      </c>
      <c r="K48">
        <f>IF($W48="","",INDEX('Per Line'!$R$2:$R$301,$W48)&amp;"")</f>
        <v/>
      </c>
      <c r="L48" s="7">
        <f>IF($W48="","",SUMIFS('Per Line'!$Q$2:$Q$301,'Per Line'!$B$2:$B$301,$C48,'Per Line'!$AA$2:$AA$301,1))</f>
        <v/>
      </c>
      <c r="M48">
        <f>IF($W48="","",Settings!$C$7)</f>
        <v/>
      </c>
      <c r="N48" s="7">
        <f>IF($W48="","",SUMIFS('Per Line'!$Q$2:$Q$301,'Per Line'!$B$2:$B$301,$C48,'Per Line'!$Z$2:$Z$301,0,'Per Line'!$AA$2:$AA$301,0))</f>
        <v/>
      </c>
      <c r="O48" s="7">
        <f>IF($W48="","",N48*M48)</f>
        <v/>
      </c>
      <c r="P48">
        <f>IF($W48="","",Settings!$C$6)</f>
        <v/>
      </c>
      <c r="Q48" s="7">
        <f>IF($W48="","",SUMIFS('Per Line'!$Q$2:$Q$301,'Per Line'!$B$2:$B$301,$C48,'Per Line'!$Z$2:$Z$301,1,'Per Line'!$AA$2:$AA$301,0))</f>
        <v/>
      </c>
      <c r="R48" s="7">
        <f>IF($W48="","",Q48*P48)</f>
        <v/>
      </c>
      <c r="S48" s="7">
        <f>IF($W48="","",R48+O48)</f>
        <v/>
      </c>
      <c r="T48" s="7">
        <f>IF($W48="","",U48-S48)</f>
        <v/>
      </c>
      <c r="U48" s="7">
        <f>IF($W48="","",N48+Q48+L48)</f>
        <v/>
      </c>
      <c r="V48" s="7">
        <f>IF($W48="","",U48-S48-J48)</f>
        <v/>
      </c>
      <c r="W48" s="13">
        <f>IF(ROWS($W$2:$W48)&lt;=MAX('Per Line'!$Y$2:$Y$301),MATCH(ROWS($W$2:$W48),'Per Line'!$Y$2:$Y$301,0),"")</f>
        <v/>
      </c>
    </row>
    <row r="49">
      <c r="A49" s="12" t="n"/>
      <c r="B49">
        <f>IF($W49="","",INDEX('Per Line'!$A$2:$A$301,$W49)&amp;"")</f>
        <v/>
      </c>
      <c r="C49">
        <f>IF($W49="","",INDEX('Per Line'!$B$2:$B$301,$W49)&amp;"")</f>
        <v/>
      </c>
      <c r="D49" s="11">
        <f>IF($W49="","",INDEX('Per Line'!$C$2:$C$301,$W49))</f>
        <v/>
      </c>
      <c r="E49">
        <f>IF($W49="","",INDEX('Per Line'!$E$2:$E$301,$W49)&amp;"")</f>
        <v/>
      </c>
      <c r="F49">
        <f>IF($W49="","",INDEX('Per Line'!$F$2:$F$301,$W49)&amp;"")</f>
        <v/>
      </c>
      <c r="G49">
        <f>IF($W49="","",INDEX('Per Line'!$G$2:$G$301,$W49)&amp;"")</f>
        <v/>
      </c>
      <c r="H49">
        <f>IF($W49="","",INDEX('Per Line'!$H$2:$H$301,$W49)&amp;"")</f>
        <v/>
      </c>
      <c r="I49">
        <f>IF($W49="","",INDEX('Per Line'!$I$2:$I$301,$W49))</f>
        <v/>
      </c>
      <c r="J49" s="7">
        <f>IF($W49="","",I49*U49/100)</f>
        <v/>
      </c>
      <c r="K49">
        <f>IF($W49="","",INDEX('Per Line'!$R$2:$R$301,$W49)&amp;"")</f>
        <v/>
      </c>
      <c r="L49" s="7">
        <f>IF($W49="","",SUMIFS('Per Line'!$Q$2:$Q$301,'Per Line'!$B$2:$B$301,$C49,'Per Line'!$AA$2:$AA$301,1))</f>
        <v/>
      </c>
      <c r="M49">
        <f>IF($W49="","",Settings!$C$7)</f>
        <v/>
      </c>
      <c r="N49" s="7">
        <f>IF($W49="","",SUMIFS('Per Line'!$Q$2:$Q$301,'Per Line'!$B$2:$B$301,$C49,'Per Line'!$Z$2:$Z$301,0,'Per Line'!$AA$2:$AA$301,0))</f>
        <v/>
      </c>
      <c r="O49" s="7">
        <f>IF($W49="","",N49*M49)</f>
        <v/>
      </c>
      <c r="P49">
        <f>IF($W49="","",Settings!$C$6)</f>
        <v/>
      </c>
      <c r="Q49" s="7">
        <f>IF($W49="","",SUMIFS('Per Line'!$Q$2:$Q$301,'Per Line'!$B$2:$B$301,$C49,'Per Line'!$Z$2:$Z$301,1,'Per Line'!$AA$2:$AA$301,0))</f>
        <v/>
      </c>
      <c r="R49" s="7">
        <f>IF($W49="","",Q49*P49)</f>
        <v/>
      </c>
      <c r="S49" s="7">
        <f>IF($W49="","",R49+O49)</f>
        <v/>
      </c>
      <c r="T49" s="7">
        <f>IF($W49="","",U49-S49)</f>
        <v/>
      </c>
      <c r="U49" s="7">
        <f>IF($W49="","",N49+Q49+L49)</f>
        <v/>
      </c>
      <c r="V49" s="7">
        <f>IF($W49="","",U49-S49-J49)</f>
        <v/>
      </c>
      <c r="W49" s="13">
        <f>IF(ROWS($W$2:$W49)&lt;=MAX('Per Line'!$Y$2:$Y$301),MATCH(ROWS($W$2:$W49),'Per Line'!$Y$2:$Y$301,0),"")</f>
        <v/>
      </c>
    </row>
    <row r="50">
      <c r="A50" s="12" t="n"/>
      <c r="B50">
        <f>IF($W50="","",INDEX('Per Line'!$A$2:$A$301,$W50)&amp;"")</f>
        <v/>
      </c>
      <c r="C50">
        <f>IF($W50="","",INDEX('Per Line'!$B$2:$B$301,$W50)&amp;"")</f>
        <v/>
      </c>
      <c r="D50" s="11">
        <f>IF($W50="","",INDEX('Per Line'!$C$2:$C$301,$W50))</f>
        <v/>
      </c>
      <c r="E50">
        <f>IF($W50="","",INDEX('Per Line'!$E$2:$E$301,$W50)&amp;"")</f>
        <v/>
      </c>
      <c r="F50">
        <f>IF($W50="","",INDEX('Per Line'!$F$2:$F$301,$W50)&amp;"")</f>
        <v/>
      </c>
      <c r="G50">
        <f>IF($W50="","",INDEX('Per Line'!$G$2:$G$301,$W50)&amp;"")</f>
        <v/>
      </c>
      <c r="H50">
        <f>IF($W50="","",INDEX('Per Line'!$H$2:$H$301,$W50)&amp;"")</f>
        <v/>
      </c>
      <c r="I50">
        <f>IF($W50="","",INDEX('Per Line'!$I$2:$I$301,$W50))</f>
        <v/>
      </c>
      <c r="J50" s="7">
        <f>IF($W50="","",I50*U50/100)</f>
        <v/>
      </c>
      <c r="K50">
        <f>IF($W50="","",INDEX('Per Line'!$R$2:$R$301,$W50)&amp;"")</f>
        <v/>
      </c>
      <c r="L50" s="7">
        <f>IF($W50="","",SUMIFS('Per Line'!$Q$2:$Q$301,'Per Line'!$B$2:$B$301,$C50,'Per Line'!$AA$2:$AA$301,1))</f>
        <v/>
      </c>
      <c r="M50">
        <f>IF($W50="","",Settings!$C$7)</f>
        <v/>
      </c>
      <c r="N50" s="7">
        <f>IF($W50="","",SUMIFS('Per Line'!$Q$2:$Q$301,'Per Line'!$B$2:$B$301,$C50,'Per Line'!$Z$2:$Z$301,0,'Per Line'!$AA$2:$AA$301,0))</f>
        <v/>
      </c>
      <c r="O50" s="7">
        <f>IF($W50="","",N50*M50)</f>
        <v/>
      </c>
      <c r="P50">
        <f>IF($W50="","",Settings!$C$6)</f>
        <v/>
      </c>
      <c r="Q50" s="7">
        <f>IF($W50="","",SUMIFS('Per Line'!$Q$2:$Q$301,'Per Line'!$B$2:$B$301,$C50,'Per Line'!$Z$2:$Z$301,1,'Per Line'!$AA$2:$AA$301,0))</f>
        <v/>
      </c>
      <c r="R50" s="7">
        <f>IF($W50="","",Q50*P50)</f>
        <v/>
      </c>
      <c r="S50" s="7">
        <f>IF($W50="","",R50+O50)</f>
        <v/>
      </c>
      <c r="T50" s="7">
        <f>IF($W50="","",U50-S50)</f>
        <v/>
      </c>
      <c r="U50" s="7">
        <f>IF($W50="","",N50+Q50+L50)</f>
        <v/>
      </c>
      <c r="V50" s="7">
        <f>IF($W50="","",U50-S50-J50)</f>
        <v/>
      </c>
      <c r="W50" s="13">
        <f>IF(ROWS($W$2:$W50)&lt;=MAX('Per Line'!$Y$2:$Y$301),MATCH(ROWS($W$2:$W50),'Per Line'!$Y$2:$Y$301,0),"")</f>
        <v/>
      </c>
    </row>
    <row r="51">
      <c r="A51" s="12" t="n"/>
      <c r="B51">
        <f>IF($W51="","",INDEX('Per Line'!$A$2:$A$301,$W51)&amp;"")</f>
        <v/>
      </c>
      <c r="C51">
        <f>IF($W51="","",INDEX('Per Line'!$B$2:$B$301,$W51)&amp;"")</f>
        <v/>
      </c>
      <c r="D51" s="11">
        <f>IF($W51="","",INDEX('Per Line'!$C$2:$C$301,$W51))</f>
        <v/>
      </c>
      <c r="E51">
        <f>IF($W51="","",INDEX('Per Line'!$E$2:$E$301,$W51)&amp;"")</f>
        <v/>
      </c>
      <c r="F51">
        <f>IF($W51="","",INDEX('Per Line'!$F$2:$F$301,$W51)&amp;"")</f>
        <v/>
      </c>
      <c r="G51">
        <f>IF($W51="","",INDEX('Per Line'!$G$2:$G$301,$W51)&amp;"")</f>
        <v/>
      </c>
      <c r="H51">
        <f>IF($W51="","",INDEX('Per Line'!$H$2:$H$301,$W51)&amp;"")</f>
        <v/>
      </c>
      <c r="I51">
        <f>IF($W51="","",INDEX('Per Line'!$I$2:$I$301,$W51))</f>
        <v/>
      </c>
      <c r="J51" s="7">
        <f>IF($W51="","",I51*U51/100)</f>
        <v/>
      </c>
      <c r="K51">
        <f>IF($W51="","",INDEX('Per Line'!$R$2:$R$301,$W51)&amp;"")</f>
        <v/>
      </c>
      <c r="L51" s="7">
        <f>IF($W51="","",SUMIFS('Per Line'!$Q$2:$Q$301,'Per Line'!$B$2:$B$301,$C51,'Per Line'!$AA$2:$AA$301,1))</f>
        <v/>
      </c>
      <c r="M51">
        <f>IF($W51="","",Settings!$C$7)</f>
        <v/>
      </c>
      <c r="N51" s="7">
        <f>IF($W51="","",SUMIFS('Per Line'!$Q$2:$Q$301,'Per Line'!$B$2:$B$301,$C51,'Per Line'!$Z$2:$Z$301,0,'Per Line'!$AA$2:$AA$301,0))</f>
        <v/>
      </c>
      <c r="O51" s="7">
        <f>IF($W51="","",N51*M51)</f>
        <v/>
      </c>
      <c r="P51">
        <f>IF($W51="","",Settings!$C$6)</f>
        <v/>
      </c>
      <c r="Q51" s="7">
        <f>IF($W51="","",SUMIFS('Per Line'!$Q$2:$Q$301,'Per Line'!$B$2:$B$301,$C51,'Per Line'!$Z$2:$Z$301,1,'Per Line'!$AA$2:$AA$301,0))</f>
        <v/>
      </c>
      <c r="R51" s="7">
        <f>IF($W51="","",Q51*P51)</f>
        <v/>
      </c>
      <c r="S51" s="7">
        <f>IF($W51="","",R51+O51)</f>
        <v/>
      </c>
      <c r="T51" s="7">
        <f>IF($W51="","",U51-S51)</f>
        <v/>
      </c>
      <c r="U51" s="7">
        <f>IF($W51="","",N51+Q51+L51)</f>
        <v/>
      </c>
      <c r="V51" s="7">
        <f>IF($W51="","",U51-S51-J51)</f>
        <v/>
      </c>
      <c r="W51" s="13">
        <f>IF(ROWS($W$2:$W51)&lt;=MAX('Per Line'!$Y$2:$Y$301),MATCH(ROWS($W$2:$W51),'Per Line'!$Y$2:$Y$301,0),"")</f>
        <v/>
      </c>
    </row>
    <row r="52">
      <c r="A52" s="12" t="n"/>
      <c r="B52">
        <f>IF($W52="","",INDEX('Per Line'!$A$2:$A$301,$W52)&amp;"")</f>
        <v/>
      </c>
      <c r="C52">
        <f>IF($W52="","",INDEX('Per Line'!$B$2:$B$301,$W52)&amp;"")</f>
        <v/>
      </c>
      <c r="D52" s="11">
        <f>IF($W52="","",INDEX('Per Line'!$C$2:$C$301,$W52))</f>
        <v/>
      </c>
      <c r="E52">
        <f>IF($W52="","",INDEX('Per Line'!$E$2:$E$301,$W52)&amp;"")</f>
        <v/>
      </c>
      <c r="F52">
        <f>IF($W52="","",INDEX('Per Line'!$F$2:$F$301,$W52)&amp;"")</f>
        <v/>
      </c>
      <c r="G52">
        <f>IF($W52="","",INDEX('Per Line'!$G$2:$G$301,$W52)&amp;"")</f>
        <v/>
      </c>
      <c r="H52">
        <f>IF($W52="","",INDEX('Per Line'!$H$2:$H$301,$W52)&amp;"")</f>
        <v/>
      </c>
      <c r="I52">
        <f>IF($W52="","",INDEX('Per Line'!$I$2:$I$301,$W52))</f>
        <v/>
      </c>
      <c r="J52" s="7">
        <f>IF($W52="","",I52*U52/100)</f>
        <v/>
      </c>
      <c r="K52">
        <f>IF($W52="","",INDEX('Per Line'!$R$2:$R$301,$W52)&amp;"")</f>
        <v/>
      </c>
      <c r="L52" s="7">
        <f>IF($W52="","",SUMIFS('Per Line'!$Q$2:$Q$301,'Per Line'!$B$2:$B$301,$C52,'Per Line'!$AA$2:$AA$301,1))</f>
        <v/>
      </c>
      <c r="M52">
        <f>IF($W52="","",Settings!$C$7)</f>
        <v/>
      </c>
      <c r="N52" s="7">
        <f>IF($W52="","",SUMIFS('Per Line'!$Q$2:$Q$301,'Per Line'!$B$2:$B$301,$C52,'Per Line'!$Z$2:$Z$301,0,'Per Line'!$AA$2:$AA$301,0))</f>
        <v/>
      </c>
      <c r="O52" s="7">
        <f>IF($W52="","",N52*M52)</f>
        <v/>
      </c>
      <c r="P52">
        <f>IF($W52="","",Settings!$C$6)</f>
        <v/>
      </c>
      <c r="Q52" s="7">
        <f>IF($W52="","",SUMIFS('Per Line'!$Q$2:$Q$301,'Per Line'!$B$2:$B$301,$C52,'Per Line'!$Z$2:$Z$301,1,'Per Line'!$AA$2:$AA$301,0))</f>
        <v/>
      </c>
      <c r="R52" s="7">
        <f>IF($W52="","",Q52*P52)</f>
        <v/>
      </c>
      <c r="S52" s="7">
        <f>IF($W52="","",R52+O52)</f>
        <v/>
      </c>
      <c r="T52" s="7">
        <f>IF($W52="","",U52-S52)</f>
        <v/>
      </c>
      <c r="U52" s="7">
        <f>IF($W52="","",N52+Q52+L52)</f>
        <v/>
      </c>
      <c r="V52" s="7">
        <f>IF($W52="","",U52-S52-J52)</f>
        <v/>
      </c>
      <c r="W52" s="13">
        <f>IF(ROWS($W$2:$W52)&lt;=MAX('Per Line'!$Y$2:$Y$301),MATCH(ROWS($W$2:$W52),'Per Line'!$Y$2:$Y$301,0),"")</f>
        <v/>
      </c>
    </row>
    <row r="53">
      <c r="A53" s="12" t="n"/>
      <c r="B53">
        <f>IF($W53="","",INDEX('Per Line'!$A$2:$A$301,$W53)&amp;"")</f>
        <v/>
      </c>
      <c r="C53">
        <f>IF($W53="","",INDEX('Per Line'!$B$2:$B$301,$W53)&amp;"")</f>
        <v/>
      </c>
      <c r="D53" s="11">
        <f>IF($W53="","",INDEX('Per Line'!$C$2:$C$301,$W53))</f>
        <v/>
      </c>
      <c r="E53">
        <f>IF($W53="","",INDEX('Per Line'!$E$2:$E$301,$W53)&amp;"")</f>
        <v/>
      </c>
      <c r="F53">
        <f>IF($W53="","",INDEX('Per Line'!$F$2:$F$301,$W53)&amp;"")</f>
        <v/>
      </c>
      <c r="G53">
        <f>IF($W53="","",INDEX('Per Line'!$G$2:$G$301,$W53)&amp;"")</f>
        <v/>
      </c>
      <c r="H53">
        <f>IF($W53="","",INDEX('Per Line'!$H$2:$H$301,$W53)&amp;"")</f>
        <v/>
      </c>
      <c r="I53">
        <f>IF($W53="","",INDEX('Per Line'!$I$2:$I$301,$W53))</f>
        <v/>
      </c>
      <c r="J53" s="7">
        <f>IF($W53="","",I53*U53/100)</f>
        <v/>
      </c>
      <c r="K53">
        <f>IF($W53="","",INDEX('Per Line'!$R$2:$R$301,$W53)&amp;"")</f>
        <v/>
      </c>
      <c r="L53" s="7">
        <f>IF($W53="","",SUMIFS('Per Line'!$Q$2:$Q$301,'Per Line'!$B$2:$B$301,$C53,'Per Line'!$AA$2:$AA$301,1))</f>
        <v/>
      </c>
      <c r="M53">
        <f>IF($W53="","",Settings!$C$7)</f>
        <v/>
      </c>
      <c r="N53" s="7">
        <f>IF($W53="","",SUMIFS('Per Line'!$Q$2:$Q$301,'Per Line'!$B$2:$B$301,$C53,'Per Line'!$Z$2:$Z$301,0,'Per Line'!$AA$2:$AA$301,0))</f>
        <v/>
      </c>
      <c r="O53" s="7">
        <f>IF($W53="","",N53*M53)</f>
        <v/>
      </c>
      <c r="P53">
        <f>IF($W53="","",Settings!$C$6)</f>
        <v/>
      </c>
      <c r="Q53" s="7">
        <f>IF($W53="","",SUMIFS('Per Line'!$Q$2:$Q$301,'Per Line'!$B$2:$B$301,$C53,'Per Line'!$Z$2:$Z$301,1,'Per Line'!$AA$2:$AA$301,0))</f>
        <v/>
      </c>
      <c r="R53" s="7">
        <f>IF($W53="","",Q53*P53)</f>
        <v/>
      </c>
      <c r="S53" s="7">
        <f>IF($W53="","",R53+O53)</f>
        <v/>
      </c>
      <c r="T53" s="7">
        <f>IF($W53="","",U53-S53)</f>
        <v/>
      </c>
      <c r="U53" s="7">
        <f>IF($W53="","",N53+Q53+L53)</f>
        <v/>
      </c>
      <c r="V53" s="7">
        <f>IF($W53="","",U53-S53-J53)</f>
        <v/>
      </c>
      <c r="W53" s="13">
        <f>IF(ROWS($W$2:$W53)&lt;=MAX('Per Line'!$Y$2:$Y$301),MATCH(ROWS($W$2:$W53),'Per Line'!$Y$2:$Y$301,0),"")</f>
        <v/>
      </c>
    </row>
    <row r="54">
      <c r="A54" s="12" t="n"/>
      <c r="B54">
        <f>IF($W54="","",INDEX('Per Line'!$A$2:$A$301,$W54)&amp;"")</f>
        <v/>
      </c>
      <c r="C54">
        <f>IF($W54="","",INDEX('Per Line'!$B$2:$B$301,$W54)&amp;"")</f>
        <v/>
      </c>
      <c r="D54" s="11">
        <f>IF($W54="","",INDEX('Per Line'!$C$2:$C$301,$W54))</f>
        <v/>
      </c>
      <c r="E54">
        <f>IF($W54="","",INDEX('Per Line'!$E$2:$E$301,$W54)&amp;"")</f>
        <v/>
      </c>
      <c r="F54">
        <f>IF($W54="","",INDEX('Per Line'!$F$2:$F$301,$W54)&amp;"")</f>
        <v/>
      </c>
      <c r="G54">
        <f>IF($W54="","",INDEX('Per Line'!$G$2:$G$301,$W54)&amp;"")</f>
        <v/>
      </c>
      <c r="H54">
        <f>IF($W54="","",INDEX('Per Line'!$H$2:$H$301,$W54)&amp;"")</f>
        <v/>
      </c>
      <c r="I54">
        <f>IF($W54="","",INDEX('Per Line'!$I$2:$I$301,$W54))</f>
        <v/>
      </c>
      <c r="J54" s="7">
        <f>IF($W54="","",I54*U54/100)</f>
        <v/>
      </c>
      <c r="K54">
        <f>IF($W54="","",INDEX('Per Line'!$R$2:$R$301,$W54)&amp;"")</f>
        <v/>
      </c>
      <c r="L54" s="7">
        <f>IF($W54="","",SUMIFS('Per Line'!$Q$2:$Q$301,'Per Line'!$B$2:$B$301,$C54,'Per Line'!$AA$2:$AA$301,1))</f>
        <v/>
      </c>
      <c r="M54">
        <f>IF($W54="","",Settings!$C$7)</f>
        <v/>
      </c>
      <c r="N54" s="7">
        <f>IF($W54="","",SUMIFS('Per Line'!$Q$2:$Q$301,'Per Line'!$B$2:$B$301,$C54,'Per Line'!$Z$2:$Z$301,0,'Per Line'!$AA$2:$AA$301,0))</f>
        <v/>
      </c>
      <c r="O54" s="7">
        <f>IF($W54="","",N54*M54)</f>
        <v/>
      </c>
      <c r="P54">
        <f>IF($W54="","",Settings!$C$6)</f>
        <v/>
      </c>
      <c r="Q54" s="7">
        <f>IF($W54="","",SUMIFS('Per Line'!$Q$2:$Q$301,'Per Line'!$B$2:$B$301,$C54,'Per Line'!$Z$2:$Z$301,1,'Per Line'!$AA$2:$AA$301,0))</f>
        <v/>
      </c>
      <c r="R54" s="7">
        <f>IF($W54="","",Q54*P54)</f>
        <v/>
      </c>
      <c r="S54" s="7">
        <f>IF($W54="","",R54+O54)</f>
        <v/>
      </c>
      <c r="T54" s="7">
        <f>IF($W54="","",U54-S54)</f>
        <v/>
      </c>
      <c r="U54" s="7">
        <f>IF($W54="","",N54+Q54+L54)</f>
        <v/>
      </c>
      <c r="V54" s="7">
        <f>IF($W54="","",U54-S54-J54)</f>
        <v/>
      </c>
      <c r="W54" s="13">
        <f>IF(ROWS($W$2:$W54)&lt;=MAX('Per Line'!$Y$2:$Y$301),MATCH(ROWS($W$2:$W54),'Per Line'!$Y$2:$Y$301,0),"")</f>
        <v/>
      </c>
    </row>
    <row r="55">
      <c r="A55" s="12" t="n"/>
      <c r="B55">
        <f>IF($W55="","",INDEX('Per Line'!$A$2:$A$301,$W55)&amp;"")</f>
        <v/>
      </c>
      <c r="C55">
        <f>IF($W55="","",INDEX('Per Line'!$B$2:$B$301,$W55)&amp;"")</f>
        <v/>
      </c>
      <c r="D55" s="11">
        <f>IF($W55="","",INDEX('Per Line'!$C$2:$C$301,$W55))</f>
        <v/>
      </c>
      <c r="E55">
        <f>IF($W55="","",INDEX('Per Line'!$E$2:$E$301,$W55)&amp;"")</f>
        <v/>
      </c>
      <c r="F55">
        <f>IF($W55="","",INDEX('Per Line'!$F$2:$F$301,$W55)&amp;"")</f>
        <v/>
      </c>
      <c r="G55">
        <f>IF($W55="","",INDEX('Per Line'!$G$2:$G$301,$W55)&amp;"")</f>
        <v/>
      </c>
      <c r="H55">
        <f>IF($W55="","",INDEX('Per Line'!$H$2:$H$301,$W55)&amp;"")</f>
        <v/>
      </c>
      <c r="I55">
        <f>IF($W55="","",INDEX('Per Line'!$I$2:$I$301,$W55))</f>
        <v/>
      </c>
      <c r="J55" s="7">
        <f>IF($W55="","",I55*U55/100)</f>
        <v/>
      </c>
      <c r="K55">
        <f>IF($W55="","",INDEX('Per Line'!$R$2:$R$301,$W55)&amp;"")</f>
        <v/>
      </c>
      <c r="L55" s="7">
        <f>IF($W55="","",SUMIFS('Per Line'!$Q$2:$Q$301,'Per Line'!$B$2:$B$301,$C55,'Per Line'!$AA$2:$AA$301,1))</f>
        <v/>
      </c>
      <c r="M55">
        <f>IF($W55="","",Settings!$C$7)</f>
        <v/>
      </c>
      <c r="N55" s="7">
        <f>IF($W55="","",SUMIFS('Per Line'!$Q$2:$Q$301,'Per Line'!$B$2:$B$301,$C55,'Per Line'!$Z$2:$Z$301,0,'Per Line'!$AA$2:$AA$301,0))</f>
        <v/>
      </c>
      <c r="O55" s="7">
        <f>IF($W55="","",N55*M55)</f>
        <v/>
      </c>
      <c r="P55">
        <f>IF($W55="","",Settings!$C$6)</f>
        <v/>
      </c>
      <c r="Q55" s="7">
        <f>IF($W55="","",SUMIFS('Per Line'!$Q$2:$Q$301,'Per Line'!$B$2:$B$301,$C55,'Per Line'!$Z$2:$Z$301,1,'Per Line'!$AA$2:$AA$301,0))</f>
        <v/>
      </c>
      <c r="R55" s="7">
        <f>IF($W55="","",Q55*P55)</f>
        <v/>
      </c>
      <c r="S55" s="7">
        <f>IF($W55="","",R55+O55)</f>
        <v/>
      </c>
      <c r="T55" s="7">
        <f>IF($W55="","",U55-S55)</f>
        <v/>
      </c>
      <c r="U55" s="7">
        <f>IF($W55="","",N55+Q55+L55)</f>
        <v/>
      </c>
      <c r="V55" s="7">
        <f>IF($W55="","",U55-S55-J55)</f>
        <v/>
      </c>
      <c r="W55" s="13">
        <f>IF(ROWS($W$2:$W55)&lt;=MAX('Per Line'!$Y$2:$Y$301),MATCH(ROWS($W$2:$W55),'Per Line'!$Y$2:$Y$301,0),"")</f>
        <v/>
      </c>
    </row>
    <row r="56">
      <c r="A56" s="12" t="n"/>
      <c r="B56">
        <f>IF($W56="","",INDEX('Per Line'!$A$2:$A$301,$W56)&amp;"")</f>
        <v/>
      </c>
      <c r="C56">
        <f>IF($W56="","",INDEX('Per Line'!$B$2:$B$301,$W56)&amp;"")</f>
        <v/>
      </c>
      <c r="D56" s="11">
        <f>IF($W56="","",INDEX('Per Line'!$C$2:$C$301,$W56))</f>
        <v/>
      </c>
      <c r="E56">
        <f>IF($W56="","",INDEX('Per Line'!$E$2:$E$301,$W56)&amp;"")</f>
        <v/>
      </c>
      <c r="F56">
        <f>IF($W56="","",INDEX('Per Line'!$F$2:$F$301,$W56)&amp;"")</f>
        <v/>
      </c>
      <c r="G56">
        <f>IF($W56="","",INDEX('Per Line'!$G$2:$G$301,$W56)&amp;"")</f>
        <v/>
      </c>
      <c r="H56">
        <f>IF($W56="","",INDEX('Per Line'!$H$2:$H$301,$W56)&amp;"")</f>
        <v/>
      </c>
      <c r="I56">
        <f>IF($W56="","",INDEX('Per Line'!$I$2:$I$301,$W56))</f>
        <v/>
      </c>
      <c r="J56" s="7">
        <f>IF($W56="","",I56*U56/100)</f>
        <v/>
      </c>
      <c r="K56">
        <f>IF($W56="","",INDEX('Per Line'!$R$2:$R$301,$W56)&amp;"")</f>
        <v/>
      </c>
      <c r="L56" s="7">
        <f>IF($W56="","",SUMIFS('Per Line'!$Q$2:$Q$301,'Per Line'!$B$2:$B$301,$C56,'Per Line'!$AA$2:$AA$301,1))</f>
        <v/>
      </c>
      <c r="M56">
        <f>IF($W56="","",Settings!$C$7)</f>
        <v/>
      </c>
      <c r="N56" s="7">
        <f>IF($W56="","",SUMIFS('Per Line'!$Q$2:$Q$301,'Per Line'!$B$2:$B$301,$C56,'Per Line'!$Z$2:$Z$301,0,'Per Line'!$AA$2:$AA$301,0))</f>
        <v/>
      </c>
      <c r="O56" s="7">
        <f>IF($W56="","",N56*M56)</f>
        <v/>
      </c>
      <c r="P56">
        <f>IF($W56="","",Settings!$C$6)</f>
        <v/>
      </c>
      <c r="Q56" s="7">
        <f>IF($W56="","",SUMIFS('Per Line'!$Q$2:$Q$301,'Per Line'!$B$2:$B$301,$C56,'Per Line'!$Z$2:$Z$301,1,'Per Line'!$AA$2:$AA$301,0))</f>
        <v/>
      </c>
      <c r="R56" s="7">
        <f>IF($W56="","",Q56*P56)</f>
        <v/>
      </c>
      <c r="S56" s="7">
        <f>IF($W56="","",R56+O56)</f>
        <v/>
      </c>
      <c r="T56" s="7">
        <f>IF($W56="","",U56-S56)</f>
        <v/>
      </c>
      <c r="U56" s="7">
        <f>IF($W56="","",N56+Q56+L56)</f>
        <v/>
      </c>
      <c r="V56" s="7">
        <f>IF($W56="","",U56-S56-J56)</f>
        <v/>
      </c>
      <c r="W56" s="13">
        <f>IF(ROWS($W$2:$W56)&lt;=MAX('Per Line'!$Y$2:$Y$301),MATCH(ROWS($W$2:$W56),'Per Line'!$Y$2:$Y$301,0),"")</f>
        <v/>
      </c>
    </row>
    <row r="57">
      <c r="A57" s="12" t="n"/>
      <c r="B57">
        <f>IF($W57="","",INDEX('Per Line'!$A$2:$A$301,$W57)&amp;"")</f>
        <v/>
      </c>
      <c r="C57">
        <f>IF($W57="","",INDEX('Per Line'!$B$2:$B$301,$W57)&amp;"")</f>
        <v/>
      </c>
      <c r="D57" s="11">
        <f>IF($W57="","",INDEX('Per Line'!$C$2:$C$301,$W57))</f>
        <v/>
      </c>
      <c r="E57">
        <f>IF($W57="","",INDEX('Per Line'!$E$2:$E$301,$W57)&amp;"")</f>
        <v/>
      </c>
      <c r="F57">
        <f>IF($W57="","",INDEX('Per Line'!$F$2:$F$301,$W57)&amp;"")</f>
        <v/>
      </c>
      <c r="G57">
        <f>IF($W57="","",INDEX('Per Line'!$G$2:$G$301,$W57)&amp;"")</f>
        <v/>
      </c>
      <c r="H57">
        <f>IF($W57="","",INDEX('Per Line'!$H$2:$H$301,$W57)&amp;"")</f>
        <v/>
      </c>
      <c r="I57">
        <f>IF($W57="","",INDEX('Per Line'!$I$2:$I$301,$W57))</f>
        <v/>
      </c>
      <c r="J57" s="7">
        <f>IF($W57="","",I57*U57/100)</f>
        <v/>
      </c>
      <c r="K57">
        <f>IF($W57="","",INDEX('Per Line'!$R$2:$R$301,$W57)&amp;"")</f>
        <v/>
      </c>
      <c r="L57" s="7">
        <f>IF($W57="","",SUMIFS('Per Line'!$Q$2:$Q$301,'Per Line'!$B$2:$B$301,$C57,'Per Line'!$AA$2:$AA$301,1))</f>
        <v/>
      </c>
      <c r="M57">
        <f>IF($W57="","",Settings!$C$7)</f>
        <v/>
      </c>
      <c r="N57" s="7">
        <f>IF($W57="","",SUMIFS('Per Line'!$Q$2:$Q$301,'Per Line'!$B$2:$B$301,$C57,'Per Line'!$Z$2:$Z$301,0,'Per Line'!$AA$2:$AA$301,0))</f>
        <v/>
      </c>
      <c r="O57" s="7">
        <f>IF($W57="","",N57*M57)</f>
        <v/>
      </c>
      <c r="P57">
        <f>IF($W57="","",Settings!$C$6)</f>
        <v/>
      </c>
      <c r="Q57" s="7">
        <f>IF($W57="","",SUMIFS('Per Line'!$Q$2:$Q$301,'Per Line'!$B$2:$B$301,$C57,'Per Line'!$Z$2:$Z$301,1,'Per Line'!$AA$2:$AA$301,0))</f>
        <v/>
      </c>
      <c r="R57" s="7">
        <f>IF($W57="","",Q57*P57)</f>
        <v/>
      </c>
      <c r="S57" s="7">
        <f>IF($W57="","",R57+O57)</f>
        <v/>
      </c>
      <c r="T57" s="7">
        <f>IF($W57="","",U57-S57)</f>
        <v/>
      </c>
      <c r="U57" s="7">
        <f>IF($W57="","",N57+Q57+L57)</f>
        <v/>
      </c>
      <c r="V57" s="7">
        <f>IF($W57="","",U57-S57-J57)</f>
        <v/>
      </c>
      <c r="W57" s="13">
        <f>IF(ROWS($W$2:$W57)&lt;=MAX('Per Line'!$Y$2:$Y$301),MATCH(ROWS($W$2:$W57),'Per Line'!$Y$2:$Y$301,0),"")</f>
        <v/>
      </c>
    </row>
    <row r="58">
      <c r="A58" s="12" t="n"/>
      <c r="B58">
        <f>IF($W58="","",INDEX('Per Line'!$A$2:$A$301,$W58)&amp;"")</f>
        <v/>
      </c>
      <c r="C58">
        <f>IF($W58="","",INDEX('Per Line'!$B$2:$B$301,$W58)&amp;"")</f>
        <v/>
      </c>
      <c r="D58" s="11">
        <f>IF($W58="","",INDEX('Per Line'!$C$2:$C$301,$W58))</f>
        <v/>
      </c>
      <c r="E58">
        <f>IF($W58="","",INDEX('Per Line'!$E$2:$E$301,$W58)&amp;"")</f>
        <v/>
      </c>
      <c r="F58">
        <f>IF($W58="","",INDEX('Per Line'!$F$2:$F$301,$W58)&amp;"")</f>
        <v/>
      </c>
      <c r="G58">
        <f>IF($W58="","",INDEX('Per Line'!$G$2:$G$301,$W58)&amp;"")</f>
        <v/>
      </c>
      <c r="H58">
        <f>IF($W58="","",INDEX('Per Line'!$H$2:$H$301,$W58)&amp;"")</f>
        <v/>
      </c>
      <c r="I58">
        <f>IF($W58="","",INDEX('Per Line'!$I$2:$I$301,$W58))</f>
        <v/>
      </c>
      <c r="J58" s="7">
        <f>IF($W58="","",I58*U58/100)</f>
        <v/>
      </c>
      <c r="K58">
        <f>IF($W58="","",INDEX('Per Line'!$R$2:$R$301,$W58)&amp;"")</f>
        <v/>
      </c>
      <c r="L58" s="7">
        <f>IF($W58="","",SUMIFS('Per Line'!$Q$2:$Q$301,'Per Line'!$B$2:$B$301,$C58,'Per Line'!$AA$2:$AA$301,1))</f>
        <v/>
      </c>
      <c r="M58">
        <f>IF($W58="","",Settings!$C$7)</f>
        <v/>
      </c>
      <c r="N58" s="7">
        <f>IF($W58="","",SUMIFS('Per Line'!$Q$2:$Q$301,'Per Line'!$B$2:$B$301,$C58,'Per Line'!$Z$2:$Z$301,0,'Per Line'!$AA$2:$AA$301,0))</f>
        <v/>
      </c>
      <c r="O58" s="7">
        <f>IF($W58="","",N58*M58)</f>
        <v/>
      </c>
      <c r="P58">
        <f>IF($W58="","",Settings!$C$6)</f>
        <v/>
      </c>
      <c r="Q58" s="7">
        <f>IF($W58="","",SUMIFS('Per Line'!$Q$2:$Q$301,'Per Line'!$B$2:$B$301,$C58,'Per Line'!$Z$2:$Z$301,1,'Per Line'!$AA$2:$AA$301,0))</f>
        <v/>
      </c>
      <c r="R58" s="7">
        <f>IF($W58="","",Q58*P58)</f>
        <v/>
      </c>
      <c r="S58" s="7">
        <f>IF($W58="","",R58+O58)</f>
        <v/>
      </c>
      <c r="T58" s="7">
        <f>IF($W58="","",U58-S58)</f>
        <v/>
      </c>
      <c r="U58" s="7">
        <f>IF($W58="","",N58+Q58+L58)</f>
        <v/>
      </c>
      <c r="V58" s="7">
        <f>IF($W58="","",U58-S58-J58)</f>
        <v/>
      </c>
      <c r="W58" s="13">
        <f>IF(ROWS($W$2:$W58)&lt;=MAX('Per Line'!$Y$2:$Y$301),MATCH(ROWS($W$2:$W58),'Per Line'!$Y$2:$Y$301,0),"")</f>
        <v/>
      </c>
    </row>
    <row r="59">
      <c r="A59" s="12" t="n"/>
      <c r="B59">
        <f>IF($W59="","",INDEX('Per Line'!$A$2:$A$301,$W59)&amp;"")</f>
        <v/>
      </c>
      <c r="C59">
        <f>IF($W59="","",INDEX('Per Line'!$B$2:$B$301,$W59)&amp;"")</f>
        <v/>
      </c>
      <c r="D59" s="11">
        <f>IF($W59="","",INDEX('Per Line'!$C$2:$C$301,$W59))</f>
        <v/>
      </c>
      <c r="E59">
        <f>IF($W59="","",INDEX('Per Line'!$E$2:$E$301,$W59)&amp;"")</f>
        <v/>
      </c>
      <c r="F59">
        <f>IF($W59="","",INDEX('Per Line'!$F$2:$F$301,$W59)&amp;"")</f>
        <v/>
      </c>
      <c r="G59">
        <f>IF($W59="","",INDEX('Per Line'!$G$2:$G$301,$W59)&amp;"")</f>
        <v/>
      </c>
      <c r="H59">
        <f>IF($W59="","",INDEX('Per Line'!$H$2:$H$301,$W59)&amp;"")</f>
        <v/>
      </c>
      <c r="I59">
        <f>IF($W59="","",INDEX('Per Line'!$I$2:$I$301,$W59))</f>
        <v/>
      </c>
      <c r="J59" s="7">
        <f>IF($W59="","",I59*U59/100)</f>
        <v/>
      </c>
      <c r="K59">
        <f>IF($W59="","",INDEX('Per Line'!$R$2:$R$301,$W59)&amp;"")</f>
        <v/>
      </c>
      <c r="L59" s="7">
        <f>IF($W59="","",SUMIFS('Per Line'!$Q$2:$Q$301,'Per Line'!$B$2:$B$301,$C59,'Per Line'!$AA$2:$AA$301,1))</f>
        <v/>
      </c>
      <c r="M59">
        <f>IF($W59="","",Settings!$C$7)</f>
        <v/>
      </c>
      <c r="N59" s="7">
        <f>IF($W59="","",SUMIFS('Per Line'!$Q$2:$Q$301,'Per Line'!$B$2:$B$301,$C59,'Per Line'!$Z$2:$Z$301,0,'Per Line'!$AA$2:$AA$301,0))</f>
        <v/>
      </c>
      <c r="O59" s="7">
        <f>IF($W59="","",N59*M59)</f>
        <v/>
      </c>
      <c r="P59">
        <f>IF($W59="","",Settings!$C$6)</f>
        <v/>
      </c>
      <c r="Q59" s="7">
        <f>IF($W59="","",SUMIFS('Per Line'!$Q$2:$Q$301,'Per Line'!$B$2:$B$301,$C59,'Per Line'!$Z$2:$Z$301,1,'Per Line'!$AA$2:$AA$301,0))</f>
        <v/>
      </c>
      <c r="R59" s="7">
        <f>IF($W59="","",Q59*P59)</f>
        <v/>
      </c>
      <c r="S59" s="7">
        <f>IF($W59="","",R59+O59)</f>
        <v/>
      </c>
      <c r="T59" s="7">
        <f>IF($W59="","",U59-S59)</f>
        <v/>
      </c>
      <c r="U59" s="7">
        <f>IF($W59="","",N59+Q59+L59)</f>
        <v/>
      </c>
      <c r="V59" s="7">
        <f>IF($W59="","",U59-S59-J59)</f>
        <v/>
      </c>
      <c r="W59" s="13">
        <f>IF(ROWS($W$2:$W59)&lt;=MAX('Per Line'!$Y$2:$Y$301),MATCH(ROWS($W$2:$W59),'Per Line'!$Y$2:$Y$301,0),"")</f>
        <v/>
      </c>
    </row>
    <row r="60">
      <c r="A60" s="12" t="n"/>
      <c r="B60">
        <f>IF($W60="","",INDEX('Per Line'!$A$2:$A$301,$W60)&amp;"")</f>
        <v/>
      </c>
      <c r="C60">
        <f>IF($W60="","",INDEX('Per Line'!$B$2:$B$301,$W60)&amp;"")</f>
        <v/>
      </c>
      <c r="D60" s="11">
        <f>IF($W60="","",INDEX('Per Line'!$C$2:$C$301,$W60))</f>
        <v/>
      </c>
      <c r="E60">
        <f>IF($W60="","",INDEX('Per Line'!$E$2:$E$301,$W60)&amp;"")</f>
        <v/>
      </c>
      <c r="F60">
        <f>IF($W60="","",INDEX('Per Line'!$F$2:$F$301,$W60)&amp;"")</f>
        <v/>
      </c>
      <c r="G60">
        <f>IF($W60="","",INDEX('Per Line'!$G$2:$G$301,$W60)&amp;"")</f>
        <v/>
      </c>
      <c r="H60">
        <f>IF($W60="","",INDEX('Per Line'!$H$2:$H$301,$W60)&amp;"")</f>
        <v/>
      </c>
      <c r="I60">
        <f>IF($W60="","",INDEX('Per Line'!$I$2:$I$301,$W60))</f>
        <v/>
      </c>
      <c r="J60" s="7">
        <f>IF($W60="","",I60*U60/100)</f>
        <v/>
      </c>
      <c r="K60">
        <f>IF($W60="","",INDEX('Per Line'!$R$2:$R$301,$W60)&amp;"")</f>
        <v/>
      </c>
      <c r="L60" s="7">
        <f>IF($W60="","",SUMIFS('Per Line'!$Q$2:$Q$301,'Per Line'!$B$2:$B$301,$C60,'Per Line'!$AA$2:$AA$301,1))</f>
        <v/>
      </c>
      <c r="M60">
        <f>IF($W60="","",Settings!$C$7)</f>
        <v/>
      </c>
      <c r="N60" s="7">
        <f>IF($W60="","",SUMIFS('Per Line'!$Q$2:$Q$301,'Per Line'!$B$2:$B$301,$C60,'Per Line'!$Z$2:$Z$301,0,'Per Line'!$AA$2:$AA$301,0))</f>
        <v/>
      </c>
      <c r="O60" s="7">
        <f>IF($W60="","",N60*M60)</f>
        <v/>
      </c>
      <c r="P60">
        <f>IF($W60="","",Settings!$C$6)</f>
        <v/>
      </c>
      <c r="Q60" s="7">
        <f>IF($W60="","",SUMIFS('Per Line'!$Q$2:$Q$301,'Per Line'!$B$2:$B$301,$C60,'Per Line'!$Z$2:$Z$301,1,'Per Line'!$AA$2:$AA$301,0))</f>
        <v/>
      </c>
      <c r="R60" s="7">
        <f>IF($W60="","",Q60*P60)</f>
        <v/>
      </c>
      <c r="S60" s="7">
        <f>IF($W60="","",R60+O60)</f>
        <v/>
      </c>
      <c r="T60" s="7">
        <f>IF($W60="","",U60-S60)</f>
        <v/>
      </c>
      <c r="U60" s="7">
        <f>IF($W60="","",N60+Q60+L60)</f>
        <v/>
      </c>
      <c r="V60" s="7">
        <f>IF($W60="","",U60-S60-J60)</f>
        <v/>
      </c>
      <c r="W60" s="13">
        <f>IF(ROWS($W$2:$W60)&lt;=MAX('Per Line'!$Y$2:$Y$301),MATCH(ROWS($W$2:$W60),'Per Line'!$Y$2:$Y$301,0),"")</f>
        <v/>
      </c>
    </row>
    <row r="61">
      <c r="A61" s="12" t="n"/>
      <c r="B61">
        <f>IF($W61="","",INDEX('Per Line'!$A$2:$A$301,$W61)&amp;"")</f>
        <v/>
      </c>
      <c r="C61">
        <f>IF($W61="","",INDEX('Per Line'!$B$2:$B$301,$W61)&amp;"")</f>
        <v/>
      </c>
      <c r="D61" s="11">
        <f>IF($W61="","",INDEX('Per Line'!$C$2:$C$301,$W61))</f>
        <v/>
      </c>
      <c r="E61">
        <f>IF($W61="","",INDEX('Per Line'!$E$2:$E$301,$W61)&amp;"")</f>
        <v/>
      </c>
      <c r="F61">
        <f>IF($W61="","",INDEX('Per Line'!$F$2:$F$301,$W61)&amp;"")</f>
        <v/>
      </c>
      <c r="G61">
        <f>IF($W61="","",INDEX('Per Line'!$G$2:$G$301,$W61)&amp;"")</f>
        <v/>
      </c>
      <c r="H61">
        <f>IF($W61="","",INDEX('Per Line'!$H$2:$H$301,$W61)&amp;"")</f>
        <v/>
      </c>
      <c r="I61">
        <f>IF($W61="","",INDEX('Per Line'!$I$2:$I$301,$W61))</f>
        <v/>
      </c>
      <c r="J61" s="7">
        <f>IF($W61="","",I61*U61/100)</f>
        <v/>
      </c>
      <c r="K61">
        <f>IF($W61="","",INDEX('Per Line'!$R$2:$R$301,$W61)&amp;"")</f>
        <v/>
      </c>
      <c r="L61" s="7">
        <f>IF($W61="","",SUMIFS('Per Line'!$Q$2:$Q$301,'Per Line'!$B$2:$B$301,$C61,'Per Line'!$AA$2:$AA$301,1))</f>
        <v/>
      </c>
      <c r="M61">
        <f>IF($W61="","",Settings!$C$7)</f>
        <v/>
      </c>
      <c r="N61" s="7">
        <f>IF($W61="","",SUMIFS('Per Line'!$Q$2:$Q$301,'Per Line'!$B$2:$B$301,$C61,'Per Line'!$Z$2:$Z$301,0,'Per Line'!$AA$2:$AA$301,0))</f>
        <v/>
      </c>
      <c r="O61" s="7">
        <f>IF($W61="","",N61*M61)</f>
        <v/>
      </c>
      <c r="P61">
        <f>IF($W61="","",Settings!$C$6)</f>
        <v/>
      </c>
      <c r="Q61" s="7">
        <f>IF($W61="","",SUMIFS('Per Line'!$Q$2:$Q$301,'Per Line'!$B$2:$B$301,$C61,'Per Line'!$Z$2:$Z$301,1,'Per Line'!$AA$2:$AA$301,0))</f>
        <v/>
      </c>
      <c r="R61" s="7">
        <f>IF($W61="","",Q61*P61)</f>
        <v/>
      </c>
      <c r="S61" s="7">
        <f>IF($W61="","",R61+O61)</f>
        <v/>
      </c>
      <c r="T61" s="7">
        <f>IF($W61="","",U61-S61)</f>
        <v/>
      </c>
      <c r="U61" s="7">
        <f>IF($W61="","",N61+Q61+L61)</f>
        <v/>
      </c>
      <c r="V61" s="7">
        <f>IF($W61="","",U61-S61-J61)</f>
        <v/>
      </c>
      <c r="W61" s="13">
        <f>IF(ROWS($W$2:$W61)&lt;=MAX('Per Line'!$Y$2:$Y$301),MATCH(ROWS($W$2:$W61),'Per Line'!$Y$2:$Y$301,0),"")</f>
        <v/>
      </c>
    </row>
    <row r="62">
      <c r="A62" s="12" t="n"/>
      <c r="B62">
        <f>IF($W62="","",INDEX('Per Line'!$A$2:$A$301,$W62)&amp;"")</f>
        <v/>
      </c>
      <c r="C62">
        <f>IF($W62="","",INDEX('Per Line'!$B$2:$B$301,$W62)&amp;"")</f>
        <v/>
      </c>
      <c r="D62" s="11">
        <f>IF($W62="","",INDEX('Per Line'!$C$2:$C$301,$W62))</f>
        <v/>
      </c>
      <c r="E62">
        <f>IF($W62="","",INDEX('Per Line'!$E$2:$E$301,$W62)&amp;"")</f>
        <v/>
      </c>
      <c r="F62">
        <f>IF($W62="","",INDEX('Per Line'!$F$2:$F$301,$W62)&amp;"")</f>
        <v/>
      </c>
      <c r="G62">
        <f>IF($W62="","",INDEX('Per Line'!$G$2:$G$301,$W62)&amp;"")</f>
        <v/>
      </c>
      <c r="H62">
        <f>IF($W62="","",INDEX('Per Line'!$H$2:$H$301,$W62)&amp;"")</f>
        <v/>
      </c>
      <c r="I62">
        <f>IF($W62="","",INDEX('Per Line'!$I$2:$I$301,$W62))</f>
        <v/>
      </c>
      <c r="J62" s="7">
        <f>IF($W62="","",I62*U62/100)</f>
        <v/>
      </c>
      <c r="K62">
        <f>IF($W62="","",INDEX('Per Line'!$R$2:$R$301,$W62)&amp;"")</f>
        <v/>
      </c>
      <c r="L62" s="7">
        <f>IF($W62="","",SUMIFS('Per Line'!$Q$2:$Q$301,'Per Line'!$B$2:$B$301,$C62,'Per Line'!$AA$2:$AA$301,1))</f>
        <v/>
      </c>
      <c r="M62">
        <f>IF($W62="","",Settings!$C$7)</f>
        <v/>
      </c>
      <c r="N62" s="7">
        <f>IF($W62="","",SUMIFS('Per Line'!$Q$2:$Q$301,'Per Line'!$B$2:$B$301,$C62,'Per Line'!$Z$2:$Z$301,0,'Per Line'!$AA$2:$AA$301,0))</f>
        <v/>
      </c>
      <c r="O62" s="7">
        <f>IF($W62="","",N62*M62)</f>
        <v/>
      </c>
      <c r="P62">
        <f>IF($W62="","",Settings!$C$6)</f>
        <v/>
      </c>
      <c r="Q62" s="7">
        <f>IF($W62="","",SUMIFS('Per Line'!$Q$2:$Q$301,'Per Line'!$B$2:$B$301,$C62,'Per Line'!$Z$2:$Z$301,1,'Per Line'!$AA$2:$AA$301,0))</f>
        <v/>
      </c>
      <c r="R62" s="7">
        <f>IF($W62="","",Q62*P62)</f>
        <v/>
      </c>
      <c r="S62" s="7">
        <f>IF($W62="","",R62+O62)</f>
        <v/>
      </c>
      <c r="T62" s="7">
        <f>IF($W62="","",U62-S62)</f>
        <v/>
      </c>
      <c r="U62" s="7">
        <f>IF($W62="","",N62+Q62+L62)</f>
        <v/>
      </c>
      <c r="V62" s="7">
        <f>IF($W62="","",U62-S62-J62)</f>
        <v/>
      </c>
      <c r="W62" s="13">
        <f>IF(ROWS($W$2:$W62)&lt;=MAX('Per Line'!$Y$2:$Y$301),MATCH(ROWS($W$2:$W62),'Per Line'!$Y$2:$Y$301,0),"")</f>
        <v/>
      </c>
    </row>
    <row r="63">
      <c r="A63" s="12" t="n"/>
      <c r="B63">
        <f>IF($W63="","",INDEX('Per Line'!$A$2:$A$301,$W63)&amp;"")</f>
        <v/>
      </c>
      <c r="C63">
        <f>IF($W63="","",INDEX('Per Line'!$B$2:$B$301,$W63)&amp;"")</f>
        <v/>
      </c>
      <c r="D63" s="11">
        <f>IF($W63="","",INDEX('Per Line'!$C$2:$C$301,$W63))</f>
        <v/>
      </c>
      <c r="E63">
        <f>IF($W63="","",INDEX('Per Line'!$E$2:$E$301,$W63)&amp;"")</f>
        <v/>
      </c>
      <c r="F63">
        <f>IF($W63="","",INDEX('Per Line'!$F$2:$F$301,$W63)&amp;"")</f>
        <v/>
      </c>
      <c r="G63">
        <f>IF($W63="","",INDEX('Per Line'!$G$2:$G$301,$W63)&amp;"")</f>
        <v/>
      </c>
      <c r="H63">
        <f>IF($W63="","",INDEX('Per Line'!$H$2:$H$301,$W63)&amp;"")</f>
        <v/>
      </c>
      <c r="I63">
        <f>IF($W63="","",INDEX('Per Line'!$I$2:$I$301,$W63))</f>
        <v/>
      </c>
      <c r="J63" s="7">
        <f>IF($W63="","",I63*U63/100)</f>
        <v/>
      </c>
      <c r="K63">
        <f>IF($W63="","",INDEX('Per Line'!$R$2:$R$301,$W63)&amp;"")</f>
        <v/>
      </c>
      <c r="L63" s="7">
        <f>IF($W63="","",SUMIFS('Per Line'!$Q$2:$Q$301,'Per Line'!$B$2:$B$301,$C63,'Per Line'!$AA$2:$AA$301,1))</f>
        <v/>
      </c>
      <c r="M63">
        <f>IF($W63="","",Settings!$C$7)</f>
        <v/>
      </c>
      <c r="N63" s="7">
        <f>IF($W63="","",SUMIFS('Per Line'!$Q$2:$Q$301,'Per Line'!$B$2:$B$301,$C63,'Per Line'!$Z$2:$Z$301,0,'Per Line'!$AA$2:$AA$301,0))</f>
        <v/>
      </c>
      <c r="O63" s="7">
        <f>IF($W63="","",N63*M63)</f>
        <v/>
      </c>
      <c r="P63">
        <f>IF($W63="","",Settings!$C$6)</f>
        <v/>
      </c>
      <c r="Q63" s="7">
        <f>IF($W63="","",SUMIFS('Per Line'!$Q$2:$Q$301,'Per Line'!$B$2:$B$301,$C63,'Per Line'!$Z$2:$Z$301,1,'Per Line'!$AA$2:$AA$301,0))</f>
        <v/>
      </c>
      <c r="R63" s="7">
        <f>IF($W63="","",Q63*P63)</f>
        <v/>
      </c>
      <c r="S63" s="7">
        <f>IF($W63="","",R63+O63)</f>
        <v/>
      </c>
      <c r="T63" s="7">
        <f>IF($W63="","",U63-S63)</f>
        <v/>
      </c>
      <c r="U63" s="7">
        <f>IF($W63="","",N63+Q63+L63)</f>
        <v/>
      </c>
      <c r="V63" s="7">
        <f>IF($W63="","",U63-S63-J63)</f>
        <v/>
      </c>
      <c r="W63" s="13">
        <f>IF(ROWS($W$2:$W63)&lt;=MAX('Per Line'!$Y$2:$Y$301),MATCH(ROWS($W$2:$W63),'Per Line'!$Y$2:$Y$301,0),"")</f>
        <v/>
      </c>
    </row>
    <row r="64">
      <c r="A64" s="12" t="n"/>
      <c r="B64">
        <f>IF($W64="","",INDEX('Per Line'!$A$2:$A$301,$W64)&amp;"")</f>
        <v/>
      </c>
      <c r="C64">
        <f>IF($W64="","",INDEX('Per Line'!$B$2:$B$301,$W64)&amp;"")</f>
        <v/>
      </c>
      <c r="D64" s="11">
        <f>IF($W64="","",INDEX('Per Line'!$C$2:$C$301,$W64))</f>
        <v/>
      </c>
      <c r="E64">
        <f>IF($W64="","",INDEX('Per Line'!$E$2:$E$301,$W64)&amp;"")</f>
        <v/>
      </c>
      <c r="F64">
        <f>IF($W64="","",INDEX('Per Line'!$F$2:$F$301,$W64)&amp;"")</f>
        <v/>
      </c>
      <c r="G64">
        <f>IF($W64="","",INDEX('Per Line'!$G$2:$G$301,$W64)&amp;"")</f>
        <v/>
      </c>
      <c r="H64">
        <f>IF($W64="","",INDEX('Per Line'!$H$2:$H$301,$W64)&amp;"")</f>
        <v/>
      </c>
      <c r="I64">
        <f>IF($W64="","",INDEX('Per Line'!$I$2:$I$301,$W64))</f>
        <v/>
      </c>
      <c r="J64" s="7">
        <f>IF($W64="","",I64*U64/100)</f>
        <v/>
      </c>
      <c r="K64">
        <f>IF($W64="","",INDEX('Per Line'!$R$2:$R$301,$W64)&amp;"")</f>
        <v/>
      </c>
      <c r="L64" s="7">
        <f>IF($W64="","",SUMIFS('Per Line'!$Q$2:$Q$301,'Per Line'!$B$2:$B$301,$C64,'Per Line'!$AA$2:$AA$301,1))</f>
        <v/>
      </c>
      <c r="M64">
        <f>IF($W64="","",Settings!$C$7)</f>
        <v/>
      </c>
      <c r="N64" s="7">
        <f>IF($W64="","",SUMIFS('Per Line'!$Q$2:$Q$301,'Per Line'!$B$2:$B$301,$C64,'Per Line'!$Z$2:$Z$301,0,'Per Line'!$AA$2:$AA$301,0))</f>
        <v/>
      </c>
      <c r="O64" s="7">
        <f>IF($W64="","",N64*M64)</f>
        <v/>
      </c>
      <c r="P64">
        <f>IF($W64="","",Settings!$C$6)</f>
        <v/>
      </c>
      <c r="Q64" s="7">
        <f>IF($W64="","",SUMIFS('Per Line'!$Q$2:$Q$301,'Per Line'!$B$2:$B$301,$C64,'Per Line'!$Z$2:$Z$301,1,'Per Line'!$AA$2:$AA$301,0))</f>
        <v/>
      </c>
      <c r="R64" s="7">
        <f>IF($W64="","",Q64*P64)</f>
        <v/>
      </c>
      <c r="S64" s="7">
        <f>IF($W64="","",R64+O64)</f>
        <v/>
      </c>
      <c r="T64" s="7">
        <f>IF($W64="","",U64-S64)</f>
        <v/>
      </c>
      <c r="U64" s="7">
        <f>IF($W64="","",N64+Q64+L64)</f>
        <v/>
      </c>
      <c r="V64" s="7">
        <f>IF($W64="","",U64-S64-J64)</f>
        <v/>
      </c>
      <c r="W64" s="13">
        <f>IF(ROWS($W$2:$W64)&lt;=MAX('Per Line'!$Y$2:$Y$301),MATCH(ROWS($W$2:$W64),'Per Line'!$Y$2:$Y$301,0),"")</f>
        <v/>
      </c>
    </row>
    <row r="65">
      <c r="A65" s="12" t="n"/>
      <c r="B65">
        <f>IF($W65="","",INDEX('Per Line'!$A$2:$A$301,$W65)&amp;"")</f>
        <v/>
      </c>
      <c r="C65">
        <f>IF($W65="","",INDEX('Per Line'!$B$2:$B$301,$W65)&amp;"")</f>
        <v/>
      </c>
      <c r="D65" s="11">
        <f>IF($W65="","",INDEX('Per Line'!$C$2:$C$301,$W65))</f>
        <v/>
      </c>
      <c r="E65">
        <f>IF($W65="","",INDEX('Per Line'!$E$2:$E$301,$W65)&amp;"")</f>
        <v/>
      </c>
      <c r="F65">
        <f>IF($W65="","",INDEX('Per Line'!$F$2:$F$301,$W65)&amp;"")</f>
        <v/>
      </c>
      <c r="G65">
        <f>IF($W65="","",INDEX('Per Line'!$G$2:$G$301,$W65)&amp;"")</f>
        <v/>
      </c>
      <c r="H65">
        <f>IF($W65="","",INDEX('Per Line'!$H$2:$H$301,$W65)&amp;"")</f>
        <v/>
      </c>
      <c r="I65">
        <f>IF($W65="","",INDEX('Per Line'!$I$2:$I$301,$W65))</f>
        <v/>
      </c>
      <c r="J65" s="7">
        <f>IF($W65="","",I65*U65/100)</f>
        <v/>
      </c>
      <c r="K65">
        <f>IF($W65="","",INDEX('Per Line'!$R$2:$R$301,$W65)&amp;"")</f>
        <v/>
      </c>
      <c r="L65" s="7">
        <f>IF($W65="","",SUMIFS('Per Line'!$Q$2:$Q$301,'Per Line'!$B$2:$B$301,$C65,'Per Line'!$AA$2:$AA$301,1))</f>
        <v/>
      </c>
      <c r="M65">
        <f>IF($W65="","",Settings!$C$7)</f>
        <v/>
      </c>
      <c r="N65" s="7">
        <f>IF($W65="","",SUMIFS('Per Line'!$Q$2:$Q$301,'Per Line'!$B$2:$B$301,$C65,'Per Line'!$Z$2:$Z$301,0,'Per Line'!$AA$2:$AA$301,0))</f>
        <v/>
      </c>
      <c r="O65" s="7">
        <f>IF($W65="","",N65*M65)</f>
        <v/>
      </c>
      <c r="P65">
        <f>IF($W65="","",Settings!$C$6)</f>
        <v/>
      </c>
      <c r="Q65" s="7">
        <f>IF($W65="","",SUMIFS('Per Line'!$Q$2:$Q$301,'Per Line'!$B$2:$B$301,$C65,'Per Line'!$Z$2:$Z$301,1,'Per Line'!$AA$2:$AA$301,0))</f>
        <v/>
      </c>
      <c r="R65" s="7">
        <f>IF($W65="","",Q65*P65)</f>
        <v/>
      </c>
      <c r="S65" s="7">
        <f>IF($W65="","",R65+O65)</f>
        <v/>
      </c>
      <c r="T65" s="7">
        <f>IF($W65="","",U65-S65)</f>
        <v/>
      </c>
      <c r="U65" s="7">
        <f>IF($W65="","",N65+Q65+L65)</f>
        <v/>
      </c>
      <c r="V65" s="7">
        <f>IF($W65="","",U65-S65-J65)</f>
        <v/>
      </c>
      <c r="W65" s="13">
        <f>IF(ROWS($W$2:$W65)&lt;=MAX('Per Line'!$Y$2:$Y$301),MATCH(ROWS($W$2:$W65),'Per Line'!$Y$2:$Y$301,0),"")</f>
        <v/>
      </c>
    </row>
    <row r="66">
      <c r="A66" s="12" t="n"/>
      <c r="B66">
        <f>IF($W66="","",INDEX('Per Line'!$A$2:$A$301,$W66)&amp;"")</f>
        <v/>
      </c>
      <c r="C66">
        <f>IF($W66="","",INDEX('Per Line'!$B$2:$B$301,$W66)&amp;"")</f>
        <v/>
      </c>
      <c r="D66" s="11">
        <f>IF($W66="","",INDEX('Per Line'!$C$2:$C$301,$W66))</f>
        <v/>
      </c>
      <c r="E66">
        <f>IF($W66="","",INDEX('Per Line'!$E$2:$E$301,$W66)&amp;"")</f>
        <v/>
      </c>
      <c r="F66">
        <f>IF($W66="","",INDEX('Per Line'!$F$2:$F$301,$W66)&amp;"")</f>
        <v/>
      </c>
      <c r="G66">
        <f>IF($W66="","",INDEX('Per Line'!$G$2:$G$301,$W66)&amp;"")</f>
        <v/>
      </c>
      <c r="H66">
        <f>IF($W66="","",INDEX('Per Line'!$H$2:$H$301,$W66)&amp;"")</f>
        <v/>
      </c>
      <c r="I66">
        <f>IF($W66="","",INDEX('Per Line'!$I$2:$I$301,$W66))</f>
        <v/>
      </c>
      <c r="J66" s="7">
        <f>IF($W66="","",I66*U66/100)</f>
        <v/>
      </c>
      <c r="K66">
        <f>IF($W66="","",INDEX('Per Line'!$R$2:$R$301,$W66)&amp;"")</f>
        <v/>
      </c>
      <c r="L66" s="7">
        <f>IF($W66="","",SUMIFS('Per Line'!$Q$2:$Q$301,'Per Line'!$B$2:$B$301,$C66,'Per Line'!$AA$2:$AA$301,1))</f>
        <v/>
      </c>
      <c r="M66">
        <f>IF($W66="","",Settings!$C$7)</f>
        <v/>
      </c>
      <c r="N66" s="7">
        <f>IF($W66="","",SUMIFS('Per Line'!$Q$2:$Q$301,'Per Line'!$B$2:$B$301,$C66,'Per Line'!$Z$2:$Z$301,0,'Per Line'!$AA$2:$AA$301,0))</f>
        <v/>
      </c>
      <c r="O66" s="7">
        <f>IF($W66="","",N66*M66)</f>
        <v/>
      </c>
      <c r="P66">
        <f>IF($W66="","",Settings!$C$6)</f>
        <v/>
      </c>
      <c r="Q66" s="7">
        <f>IF($W66="","",SUMIFS('Per Line'!$Q$2:$Q$301,'Per Line'!$B$2:$B$301,$C66,'Per Line'!$Z$2:$Z$301,1,'Per Line'!$AA$2:$AA$301,0))</f>
        <v/>
      </c>
      <c r="R66" s="7">
        <f>IF($W66="","",Q66*P66)</f>
        <v/>
      </c>
      <c r="S66" s="7">
        <f>IF($W66="","",R66+O66)</f>
        <v/>
      </c>
      <c r="T66" s="7">
        <f>IF($W66="","",U66-S66)</f>
        <v/>
      </c>
      <c r="U66" s="7">
        <f>IF($W66="","",N66+Q66+L66)</f>
        <v/>
      </c>
      <c r="V66" s="7">
        <f>IF($W66="","",U66-S66-J66)</f>
        <v/>
      </c>
      <c r="W66" s="13">
        <f>IF(ROWS($W$2:$W66)&lt;=MAX('Per Line'!$Y$2:$Y$301),MATCH(ROWS($W$2:$W66),'Per Line'!$Y$2:$Y$301,0),"")</f>
        <v/>
      </c>
    </row>
    <row r="67">
      <c r="A67" s="12" t="n"/>
      <c r="B67">
        <f>IF($W67="","",INDEX('Per Line'!$A$2:$A$301,$W67)&amp;"")</f>
        <v/>
      </c>
      <c r="C67">
        <f>IF($W67="","",INDEX('Per Line'!$B$2:$B$301,$W67)&amp;"")</f>
        <v/>
      </c>
      <c r="D67" s="11">
        <f>IF($W67="","",INDEX('Per Line'!$C$2:$C$301,$W67))</f>
        <v/>
      </c>
      <c r="E67">
        <f>IF($W67="","",INDEX('Per Line'!$E$2:$E$301,$W67)&amp;"")</f>
        <v/>
      </c>
      <c r="F67">
        <f>IF($W67="","",INDEX('Per Line'!$F$2:$F$301,$W67)&amp;"")</f>
        <v/>
      </c>
      <c r="G67">
        <f>IF($W67="","",INDEX('Per Line'!$G$2:$G$301,$W67)&amp;"")</f>
        <v/>
      </c>
      <c r="H67">
        <f>IF($W67="","",INDEX('Per Line'!$H$2:$H$301,$W67)&amp;"")</f>
        <v/>
      </c>
      <c r="I67">
        <f>IF($W67="","",INDEX('Per Line'!$I$2:$I$301,$W67))</f>
        <v/>
      </c>
      <c r="J67" s="7">
        <f>IF($W67="","",I67*U67/100)</f>
        <v/>
      </c>
      <c r="K67">
        <f>IF($W67="","",INDEX('Per Line'!$R$2:$R$301,$W67)&amp;"")</f>
        <v/>
      </c>
      <c r="L67" s="7">
        <f>IF($W67="","",SUMIFS('Per Line'!$Q$2:$Q$301,'Per Line'!$B$2:$B$301,$C67,'Per Line'!$AA$2:$AA$301,1))</f>
        <v/>
      </c>
      <c r="M67">
        <f>IF($W67="","",Settings!$C$7)</f>
        <v/>
      </c>
      <c r="N67" s="7">
        <f>IF($W67="","",SUMIFS('Per Line'!$Q$2:$Q$301,'Per Line'!$B$2:$B$301,$C67,'Per Line'!$Z$2:$Z$301,0,'Per Line'!$AA$2:$AA$301,0))</f>
        <v/>
      </c>
      <c r="O67" s="7">
        <f>IF($W67="","",N67*M67)</f>
        <v/>
      </c>
      <c r="P67">
        <f>IF($W67="","",Settings!$C$6)</f>
        <v/>
      </c>
      <c r="Q67" s="7">
        <f>IF($W67="","",SUMIFS('Per Line'!$Q$2:$Q$301,'Per Line'!$B$2:$B$301,$C67,'Per Line'!$Z$2:$Z$301,1,'Per Line'!$AA$2:$AA$301,0))</f>
        <v/>
      </c>
      <c r="R67" s="7">
        <f>IF($W67="","",Q67*P67)</f>
        <v/>
      </c>
      <c r="S67" s="7">
        <f>IF($W67="","",R67+O67)</f>
        <v/>
      </c>
      <c r="T67" s="7">
        <f>IF($W67="","",U67-S67)</f>
        <v/>
      </c>
      <c r="U67" s="7">
        <f>IF($W67="","",N67+Q67+L67)</f>
        <v/>
      </c>
      <c r="V67" s="7">
        <f>IF($W67="","",U67-S67-J67)</f>
        <v/>
      </c>
      <c r="W67" s="13">
        <f>IF(ROWS($W$2:$W67)&lt;=MAX('Per Line'!$Y$2:$Y$301),MATCH(ROWS($W$2:$W67),'Per Line'!$Y$2:$Y$301,0),"")</f>
        <v/>
      </c>
    </row>
    <row r="68">
      <c r="A68" s="12" t="n"/>
      <c r="B68">
        <f>IF($W68="","",INDEX('Per Line'!$A$2:$A$301,$W68)&amp;"")</f>
        <v/>
      </c>
      <c r="C68">
        <f>IF($W68="","",INDEX('Per Line'!$B$2:$B$301,$W68)&amp;"")</f>
        <v/>
      </c>
      <c r="D68" s="11">
        <f>IF($W68="","",INDEX('Per Line'!$C$2:$C$301,$W68))</f>
        <v/>
      </c>
      <c r="E68">
        <f>IF($W68="","",INDEX('Per Line'!$E$2:$E$301,$W68)&amp;"")</f>
        <v/>
      </c>
      <c r="F68">
        <f>IF($W68="","",INDEX('Per Line'!$F$2:$F$301,$W68)&amp;"")</f>
        <v/>
      </c>
      <c r="G68">
        <f>IF($W68="","",INDEX('Per Line'!$G$2:$G$301,$W68)&amp;"")</f>
        <v/>
      </c>
      <c r="H68">
        <f>IF($W68="","",INDEX('Per Line'!$H$2:$H$301,$W68)&amp;"")</f>
        <v/>
      </c>
      <c r="I68">
        <f>IF($W68="","",INDEX('Per Line'!$I$2:$I$301,$W68))</f>
        <v/>
      </c>
      <c r="J68" s="7">
        <f>IF($W68="","",I68*U68/100)</f>
        <v/>
      </c>
      <c r="K68">
        <f>IF($W68="","",INDEX('Per Line'!$R$2:$R$301,$W68)&amp;"")</f>
        <v/>
      </c>
      <c r="L68" s="7">
        <f>IF($W68="","",SUMIFS('Per Line'!$Q$2:$Q$301,'Per Line'!$B$2:$B$301,$C68,'Per Line'!$AA$2:$AA$301,1))</f>
        <v/>
      </c>
      <c r="M68">
        <f>IF($W68="","",Settings!$C$7)</f>
        <v/>
      </c>
      <c r="N68" s="7">
        <f>IF($W68="","",SUMIFS('Per Line'!$Q$2:$Q$301,'Per Line'!$B$2:$B$301,$C68,'Per Line'!$Z$2:$Z$301,0,'Per Line'!$AA$2:$AA$301,0))</f>
        <v/>
      </c>
      <c r="O68" s="7">
        <f>IF($W68="","",N68*M68)</f>
        <v/>
      </c>
      <c r="P68">
        <f>IF($W68="","",Settings!$C$6)</f>
        <v/>
      </c>
      <c r="Q68" s="7">
        <f>IF($W68="","",SUMIFS('Per Line'!$Q$2:$Q$301,'Per Line'!$B$2:$B$301,$C68,'Per Line'!$Z$2:$Z$301,1,'Per Line'!$AA$2:$AA$301,0))</f>
        <v/>
      </c>
      <c r="R68" s="7">
        <f>IF($W68="","",Q68*P68)</f>
        <v/>
      </c>
      <c r="S68" s="7">
        <f>IF($W68="","",R68+O68)</f>
        <v/>
      </c>
      <c r="T68" s="7">
        <f>IF($W68="","",U68-S68)</f>
        <v/>
      </c>
      <c r="U68" s="7">
        <f>IF($W68="","",N68+Q68+L68)</f>
        <v/>
      </c>
      <c r="V68" s="7">
        <f>IF($W68="","",U68-S68-J68)</f>
        <v/>
      </c>
      <c r="W68" s="13">
        <f>IF(ROWS($W$2:$W68)&lt;=MAX('Per Line'!$Y$2:$Y$301),MATCH(ROWS($W$2:$W68),'Per Line'!$Y$2:$Y$301,0),"")</f>
        <v/>
      </c>
    </row>
    <row r="69">
      <c r="A69" s="12" t="n"/>
      <c r="B69">
        <f>IF($W69="","",INDEX('Per Line'!$A$2:$A$301,$W69)&amp;"")</f>
        <v/>
      </c>
      <c r="C69">
        <f>IF($W69="","",INDEX('Per Line'!$B$2:$B$301,$W69)&amp;"")</f>
        <v/>
      </c>
      <c r="D69" s="11">
        <f>IF($W69="","",INDEX('Per Line'!$C$2:$C$301,$W69))</f>
        <v/>
      </c>
      <c r="E69">
        <f>IF($W69="","",INDEX('Per Line'!$E$2:$E$301,$W69)&amp;"")</f>
        <v/>
      </c>
      <c r="F69">
        <f>IF($W69="","",INDEX('Per Line'!$F$2:$F$301,$W69)&amp;"")</f>
        <v/>
      </c>
      <c r="G69">
        <f>IF($W69="","",INDEX('Per Line'!$G$2:$G$301,$W69)&amp;"")</f>
        <v/>
      </c>
      <c r="H69">
        <f>IF($W69="","",INDEX('Per Line'!$H$2:$H$301,$W69)&amp;"")</f>
        <v/>
      </c>
      <c r="I69">
        <f>IF($W69="","",INDEX('Per Line'!$I$2:$I$301,$W69))</f>
        <v/>
      </c>
      <c r="J69" s="7">
        <f>IF($W69="","",I69*U69/100)</f>
        <v/>
      </c>
      <c r="K69">
        <f>IF($W69="","",INDEX('Per Line'!$R$2:$R$301,$W69)&amp;"")</f>
        <v/>
      </c>
      <c r="L69" s="7">
        <f>IF($W69="","",SUMIFS('Per Line'!$Q$2:$Q$301,'Per Line'!$B$2:$B$301,$C69,'Per Line'!$AA$2:$AA$301,1))</f>
        <v/>
      </c>
      <c r="M69">
        <f>IF($W69="","",Settings!$C$7)</f>
        <v/>
      </c>
      <c r="N69" s="7">
        <f>IF($W69="","",SUMIFS('Per Line'!$Q$2:$Q$301,'Per Line'!$B$2:$B$301,$C69,'Per Line'!$Z$2:$Z$301,0,'Per Line'!$AA$2:$AA$301,0))</f>
        <v/>
      </c>
      <c r="O69" s="7">
        <f>IF($W69="","",N69*M69)</f>
        <v/>
      </c>
      <c r="P69">
        <f>IF($W69="","",Settings!$C$6)</f>
        <v/>
      </c>
      <c r="Q69" s="7">
        <f>IF($W69="","",SUMIFS('Per Line'!$Q$2:$Q$301,'Per Line'!$B$2:$B$301,$C69,'Per Line'!$Z$2:$Z$301,1,'Per Line'!$AA$2:$AA$301,0))</f>
        <v/>
      </c>
      <c r="R69" s="7">
        <f>IF($W69="","",Q69*P69)</f>
        <v/>
      </c>
      <c r="S69" s="7">
        <f>IF($W69="","",R69+O69)</f>
        <v/>
      </c>
      <c r="T69" s="7">
        <f>IF($W69="","",U69-S69)</f>
        <v/>
      </c>
      <c r="U69" s="7">
        <f>IF($W69="","",N69+Q69+L69)</f>
        <v/>
      </c>
      <c r="V69" s="7">
        <f>IF($W69="","",U69-S69-J69)</f>
        <v/>
      </c>
      <c r="W69" s="13">
        <f>IF(ROWS($W$2:$W69)&lt;=MAX('Per Line'!$Y$2:$Y$301),MATCH(ROWS($W$2:$W69),'Per Line'!$Y$2:$Y$301,0),"")</f>
        <v/>
      </c>
    </row>
    <row r="70">
      <c r="A70" s="12" t="n"/>
      <c r="B70">
        <f>IF($W70="","",INDEX('Per Line'!$A$2:$A$301,$W70)&amp;"")</f>
        <v/>
      </c>
      <c r="C70">
        <f>IF($W70="","",INDEX('Per Line'!$B$2:$B$301,$W70)&amp;"")</f>
        <v/>
      </c>
      <c r="D70" s="11">
        <f>IF($W70="","",INDEX('Per Line'!$C$2:$C$301,$W70))</f>
        <v/>
      </c>
      <c r="E70">
        <f>IF($W70="","",INDEX('Per Line'!$E$2:$E$301,$W70)&amp;"")</f>
        <v/>
      </c>
      <c r="F70">
        <f>IF($W70="","",INDEX('Per Line'!$F$2:$F$301,$W70)&amp;"")</f>
        <v/>
      </c>
      <c r="G70">
        <f>IF($W70="","",INDEX('Per Line'!$G$2:$G$301,$W70)&amp;"")</f>
        <v/>
      </c>
      <c r="H70">
        <f>IF($W70="","",INDEX('Per Line'!$H$2:$H$301,$W70)&amp;"")</f>
        <v/>
      </c>
      <c r="I70">
        <f>IF($W70="","",INDEX('Per Line'!$I$2:$I$301,$W70))</f>
        <v/>
      </c>
      <c r="J70" s="7">
        <f>IF($W70="","",I70*U70/100)</f>
        <v/>
      </c>
      <c r="K70">
        <f>IF($W70="","",INDEX('Per Line'!$R$2:$R$301,$W70)&amp;"")</f>
        <v/>
      </c>
      <c r="L70" s="7">
        <f>IF($W70="","",SUMIFS('Per Line'!$Q$2:$Q$301,'Per Line'!$B$2:$B$301,$C70,'Per Line'!$AA$2:$AA$301,1))</f>
        <v/>
      </c>
      <c r="M70">
        <f>IF($W70="","",Settings!$C$7)</f>
        <v/>
      </c>
      <c r="N70" s="7">
        <f>IF($W70="","",SUMIFS('Per Line'!$Q$2:$Q$301,'Per Line'!$B$2:$B$301,$C70,'Per Line'!$Z$2:$Z$301,0,'Per Line'!$AA$2:$AA$301,0))</f>
        <v/>
      </c>
      <c r="O70" s="7">
        <f>IF($W70="","",N70*M70)</f>
        <v/>
      </c>
      <c r="P70">
        <f>IF($W70="","",Settings!$C$6)</f>
        <v/>
      </c>
      <c r="Q70" s="7">
        <f>IF($W70="","",SUMIFS('Per Line'!$Q$2:$Q$301,'Per Line'!$B$2:$B$301,$C70,'Per Line'!$Z$2:$Z$301,1,'Per Line'!$AA$2:$AA$301,0))</f>
        <v/>
      </c>
      <c r="R70" s="7">
        <f>IF($W70="","",Q70*P70)</f>
        <v/>
      </c>
      <c r="S70" s="7">
        <f>IF($W70="","",R70+O70)</f>
        <v/>
      </c>
      <c r="T70" s="7">
        <f>IF($W70="","",U70-S70)</f>
        <v/>
      </c>
      <c r="U70" s="7">
        <f>IF($W70="","",N70+Q70+L70)</f>
        <v/>
      </c>
      <c r="V70" s="7">
        <f>IF($W70="","",U70-S70-J70)</f>
        <v/>
      </c>
      <c r="W70" s="13">
        <f>IF(ROWS($W$2:$W70)&lt;=MAX('Per Line'!$Y$2:$Y$301),MATCH(ROWS($W$2:$W70),'Per Line'!$Y$2:$Y$301,0),"")</f>
        <v/>
      </c>
    </row>
    <row r="71">
      <c r="A71" s="12" t="n"/>
      <c r="B71">
        <f>IF($W71="","",INDEX('Per Line'!$A$2:$A$301,$W71)&amp;"")</f>
        <v/>
      </c>
      <c r="C71">
        <f>IF($W71="","",INDEX('Per Line'!$B$2:$B$301,$W71)&amp;"")</f>
        <v/>
      </c>
      <c r="D71" s="11">
        <f>IF($W71="","",INDEX('Per Line'!$C$2:$C$301,$W71))</f>
        <v/>
      </c>
      <c r="E71">
        <f>IF($W71="","",INDEX('Per Line'!$E$2:$E$301,$W71)&amp;"")</f>
        <v/>
      </c>
      <c r="F71">
        <f>IF($W71="","",INDEX('Per Line'!$F$2:$F$301,$W71)&amp;"")</f>
        <v/>
      </c>
      <c r="G71">
        <f>IF($W71="","",INDEX('Per Line'!$G$2:$G$301,$W71)&amp;"")</f>
        <v/>
      </c>
      <c r="H71">
        <f>IF($W71="","",INDEX('Per Line'!$H$2:$H$301,$W71)&amp;"")</f>
        <v/>
      </c>
      <c r="I71">
        <f>IF($W71="","",INDEX('Per Line'!$I$2:$I$301,$W71))</f>
        <v/>
      </c>
      <c r="J71" s="7">
        <f>IF($W71="","",I71*U71/100)</f>
        <v/>
      </c>
      <c r="K71">
        <f>IF($W71="","",INDEX('Per Line'!$R$2:$R$301,$W71)&amp;"")</f>
        <v/>
      </c>
      <c r="L71" s="7">
        <f>IF($W71="","",SUMIFS('Per Line'!$Q$2:$Q$301,'Per Line'!$B$2:$B$301,$C71,'Per Line'!$AA$2:$AA$301,1))</f>
        <v/>
      </c>
      <c r="M71">
        <f>IF($W71="","",Settings!$C$7)</f>
        <v/>
      </c>
      <c r="N71" s="7">
        <f>IF($W71="","",SUMIFS('Per Line'!$Q$2:$Q$301,'Per Line'!$B$2:$B$301,$C71,'Per Line'!$Z$2:$Z$301,0,'Per Line'!$AA$2:$AA$301,0))</f>
        <v/>
      </c>
      <c r="O71" s="7">
        <f>IF($W71="","",N71*M71)</f>
        <v/>
      </c>
      <c r="P71">
        <f>IF($W71="","",Settings!$C$6)</f>
        <v/>
      </c>
      <c r="Q71" s="7">
        <f>IF($W71="","",SUMIFS('Per Line'!$Q$2:$Q$301,'Per Line'!$B$2:$B$301,$C71,'Per Line'!$Z$2:$Z$301,1,'Per Line'!$AA$2:$AA$301,0))</f>
        <v/>
      </c>
      <c r="R71" s="7">
        <f>IF($W71="","",Q71*P71)</f>
        <v/>
      </c>
      <c r="S71" s="7">
        <f>IF($W71="","",R71+O71)</f>
        <v/>
      </c>
      <c r="T71" s="7">
        <f>IF($W71="","",U71-S71)</f>
        <v/>
      </c>
      <c r="U71" s="7">
        <f>IF($W71="","",N71+Q71+L71)</f>
        <v/>
      </c>
      <c r="V71" s="7">
        <f>IF($W71="","",U71-S71-J71)</f>
        <v/>
      </c>
      <c r="W71" s="13">
        <f>IF(ROWS($W$2:$W71)&lt;=MAX('Per Line'!$Y$2:$Y$301),MATCH(ROWS($W$2:$W71),'Per Line'!$Y$2:$Y$301,0),"")</f>
        <v/>
      </c>
    </row>
    <row r="72">
      <c r="A72" s="12" t="n"/>
      <c r="B72">
        <f>IF($W72="","",INDEX('Per Line'!$A$2:$A$301,$W72)&amp;"")</f>
        <v/>
      </c>
      <c r="C72">
        <f>IF($W72="","",INDEX('Per Line'!$B$2:$B$301,$W72)&amp;"")</f>
        <v/>
      </c>
      <c r="D72" s="11">
        <f>IF($W72="","",INDEX('Per Line'!$C$2:$C$301,$W72))</f>
        <v/>
      </c>
      <c r="E72">
        <f>IF($W72="","",INDEX('Per Line'!$E$2:$E$301,$W72)&amp;"")</f>
        <v/>
      </c>
      <c r="F72">
        <f>IF($W72="","",INDEX('Per Line'!$F$2:$F$301,$W72)&amp;"")</f>
        <v/>
      </c>
      <c r="G72">
        <f>IF($W72="","",INDEX('Per Line'!$G$2:$G$301,$W72)&amp;"")</f>
        <v/>
      </c>
      <c r="H72">
        <f>IF($W72="","",INDEX('Per Line'!$H$2:$H$301,$W72)&amp;"")</f>
        <v/>
      </c>
      <c r="I72">
        <f>IF($W72="","",INDEX('Per Line'!$I$2:$I$301,$W72))</f>
        <v/>
      </c>
      <c r="J72" s="7">
        <f>IF($W72="","",I72*U72/100)</f>
        <v/>
      </c>
      <c r="K72">
        <f>IF($W72="","",INDEX('Per Line'!$R$2:$R$301,$W72)&amp;"")</f>
        <v/>
      </c>
      <c r="L72" s="7">
        <f>IF($W72="","",SUMIFS('Per Line'!$Q$2:$Q$301,'Per Line'!$B$2:$B$301,$C72,'Per Line'!$AA$2:$AA$301,1))</f>
        <v/>
      </c>
      <c r="M72">
        <f>IF($W72="","",Settings!$C$7)</f>
        <v/>
      </c>
      <c r="N72" s="7">
        <f>IF($W72="","",SUMIFS('Per Line'!$Q$2:$Q$301,'Per Line'!$B$2:$B$301,$C72,'Per Line'!$Z$2:$Z$301,0,'Per Line'!$AA$2:$AA$301,0))</f>
        <v/>
      </c>
      <c r="O72" s="7">
        <f>IF($W72="","",N72*M72)</f>
        <v/>
      </c>
      <c r="P72">
        <f>IF($W72="","",Settings!$C$6)</f>
        <v/>
      </c>
      <c r="Q72" s="7">
        <f>IF($W72="","",SUMIFS('Per Line'!$Q$2:$Q$301,'Per Line'!$B$2:$B$301,$C72,'Per Line'!$Z$2:$Z$301,1,'Per Line'!$AA$2:$AA$301,0))</f>
        <v/>
      </c>
      <c r="R72" s="7">
        <f>IF($W72="","",Q72*P72)</f>
        <v/>
      </c>
      <c r="S72" s="7">
        <f>IF($W72="","",R72+O72)</f>
        <v/>
      </c>
      <c r="T72" s="7">
        <f>IF($W72="","",U72-S72)</f>
        <v/>
      </c>
      <c r="U72" s="7">
        <f>IF($W72="","",N72+Q72+L72)</f>
        <v/>
      </c>
      <c r="V72" s="7">
        <f>IF($W72="","",U72-S72-J72)</f>
        <v/>
      </c>
      <c r="W72" s="13">
        <f>IF(ROWS($W$2:$W72)&lt;=MAX('Per Line'!$Y$2:$Y$301),MATCH(ROWS($W$2:$W72),'Per Line'!$Y$2:$Y$301,0),"")</f>
        <v/>
      </c>
    </row>
    <row r="73">
      <c r="A73" s="12" t="n"/>
      <c r="B73">
        <f>IF($W73="","",INDEX('Per Line'!$A$2:$A$301,$W73)&amp;"")</f>
        <v/>
      </c>
      <c r="C73">
        <f>IF($W73="","",INDEX('Per Line'!$B$2:$B$301,$W73)&amp;"")</f>
        <v/>
      </c>
      <c r="D73" s="11">
        <f>IF($W73="","",INDEX('Per Line'!$C$2:$C$301,$W73))</f>
        <v/>
      </c>
      <c r="E73">
        <f>IF($W73="","",INDEX('Per Line'!$E$2:$E$301,$W73)&amp;"")</f>
        <v/>
      </c>
      <c r="F73">
        <f>IF($W73="","",INDEX('Per Line'!$F$2:$F$301,$W73)&amp;"")</f>
        <v/>
      </c>
      <c r="G73">
        <f>IF($W73="","",INDEX('Per Line'!$G$2:$G$301,$W73)&amp;"")</f>
        <v/>
      </c>
      <c r="H73">
        <f>IF($W73="","",INDEX('Per Line'!$H$2:$H$301,$W73)&amp;"")</f>
        <v/>
      </c>
      <c r="I73">
        <f>IF($W73="","",INDEX('Per Line'!$I$2:$I$301,$W73))</f>
        <v/>
      </c>
      <c r="J73" s="7">
        <f>IF($W73="","",I73*U73/100)</f>
        <v/>
      </c>
      <c r="K73">
        <f>IF($W73="","",INDEX('Per Line'!$R$2:$R$301,$W73)&amp;"")</f>
        <v/>
      </c>
      <c r="L73" s="7">
        <f>IF($W73="","",SUMIFS('Per Line'!$Q$2:$Q$301,'Per Line'!$B$2:$B$301,$C73,'Per Line'!$AA$2:$AA$301,1))</f>
        <v/>
      </c>
      <c r="M73">
        <f>IF($W73="","",Settings!$C$7)</f>
        <v/>
      </c>
      <c r="N73" s="7">
        <f>IF($W73="","",SUMIFS('Per Line'!$Q$2:$Q$301,'Per Line'!$B$2:$B$301,$C73,'Per Line'!$Z$2:$Z$301,0,'Per Line'!$AA$2:$AA$301,0))</f>
        <v/>
      </c>
      <c r="O73" s="7">
        <f>IF($W73="","",N73*M73)</f>
        <v/>
      </c>
      <c r="P73">
        <f>IF($W73="","",Settings!$C$6)</f>
        <v/>
      </c>
      <c r="Q73" s="7">
        <f>IF($W73="","",SUMIFS('Per Line'!$Q$2:$Q$301,'Per Line'!$B$2:$B$301,$C73,'Per Line'!$Z$2:$Z$301,1,'Per Line'!$AA$2:$AA$301,0))</f>
        <v/>
      </c>
      <c r="R73" s="7">
        <f>IF($W73="","",Q73*P73)</f>
        <v/>
      </c>
      <c r="S73" s="7">
        <f>IF($W73="","",R73+O73)</f>
        <v/>
      </c>
      <c r="T73" s="7">
        <f>IF($W73="","",U73-S73)</f>
        <v/>
      </c>
      <c r="U73" s="7">
        <f>IF($W73="","",N73+Q73+L73)</f>
        <v/>
      </c>
      <c r="V73" s="7">
        <f>IF($W73="","",U73-S73-J73)</f>
        <v/>
      </c>
      <c r="W73" s="13">
        <f>IF(ROWS($W$2:$W73)&lt;=MAX('Per Line'!$Y$2:$Y$301),MATCH(ROWS($W$2:$W73),'Per Line'!$Y$2:$Y$301,0),"")</f>
        <v/>
      </c>
    </row>
    <row r="74">
      <c r="A74" s="12" t="n"/>
      <c r="B74">
        <f>IF($W74="","",INDEX('Per Line'!$A$2:$A$301,$W74)&amp;"")</f>
        <v/>
      </c>
      <c r="C74">
        <f>IF($W74="","",INDEX('Per Line'!$B$2:$B$301,$W74)&amp;"")</f>
        <v/>
      </c>
      <c r="D74" s="11">
        <f>IF($W74="","",INDEX('Per Line'!$C$2:$C$301,$W74))</f>
        <v/>
      </c>
      <c r="E74">
        <f>IF($W74="","",INDEX('Per Line'!$E$2:$E$301,$W74)&amp;"")</f>
        <v/>
      </c>
      <c r="F74">
        <f>IF($W74="","",INDEX('Per Line'!$F$2:$F$301,$W74)&amp;"")</f>
        <v/>
      </c>
      <c r="G74">
        <f>IF($W74="","",INDEX('Per Line'!$G$2:$G$301,$W74)&amp;"")</f>
        <v/>
      </c>
      <c r="H74">
        <f>IF($W74="","",INDEX('Per Line'!$H$2:$H$301,$W74)&amp;"")</f>
        <v/>
      </c>
      <c r="I74">
        <f>IF($W74="","",INDEX('Per Line'!$I$2:$I$301,$W74))</f>
        <v/>
      </c>
      <c r="J74" s="7">
        <f>IF($W74="","",I74*U74/100)</f>
        <v/>
      </c>
      <c r="K74">
        <f>IF($W74="","",INDEX('Per Line'!$R$2:$R$301,$W74)&amp;"")</f>
        <v/>
      </c>
      <c r="L74" s="7">
        <f>IF($W74="","",SUMIFS('Per Line'!$Q$2:$Q$301,'Per Line'!$B$2:$B$301,$C74,'Per Line'!$AA$2:$AA$301,1))</f>
        <v/>
      </c>
      <c r="M74">
        <f>IF($W74="","",Settings!$C$7)</f>
        <v/>
      </c>
      <c r="N74" s="7">
        <f>IF($W74="","",SUMIFS('Per Line'!$Q$2:$Q$301,'Per Line'!$B$2:$B$301,$C74,'Per Line'!$Z$2:$Z$301,0,'Per Line'!$AA$2:$AA$301,0))</f>
        <v/>
      </c>
      <c r="O74" s="7">
        <f>IF($W74="","",N74*M74)</f>
        <v/>
      </c>
      <c r="P74">
        <f>IF($W74="","",Settings!$C$6)</f>
        <v/>
      </c>
      <c r="Q74" s="7">
        <f>IF($W74="","",SUMIFS('Per Line'!$Q$2:$Q$301,'Per Line'!$B$2:$B$301,$C74,'Per Line'!$Z$2:$Z$301,1,'Per Line'!$AA$2:$AA$301,0))</f>
        <v/>
      </c>
      <c r="R74" s="7">
        <f>IF($W74="","",Q74*P74)</f>
        <v/>
      </c>
      <c r="S74" s="7">
        <f>IF($W74="","",R74+O74)</f>
        <v/>
      </c>
      <c r="T74" s="7">
        <f>IF($W74="","",U74-S74)</f>
        <v/>
      </c>
      <c r="U74" s="7">
        <f>IF($W74="","",N74+Q74+L74)</f>
        <v/>
      </c>
      <c r="V74" s="7">
        <f>IF($W74="","",U74-S74-J74)</f>
        <v/>
      </c>
      <c r="W74" s="13">
        <f>IF(ROWS($W$2:$W74)&lt;=MAX('Per Line'!$Y$2:$Y$301),MATCH(ROWS($W$2:$W74),'Per Line'!$Y$2:$Y$301,0),"")</f>
        <v/>
      </c>
    </row>
    <row r="75">
      <c r="A75" s="12" t="n"/>
      <c r="B75">
        <f>IF($W75="","",INDEX('Per Line'!$A$2:$A$301,$W75)&amp;"")</f>
        <v/>
      </c>
      <c r="C75">
        <f>IF($W75="","",INDEX('Per Line'!$B$2:$B$301,$W75)&amp;"")</f>
        <v/>
      </c>
      <c r="D75" s="11">
        <f>IF($W75="","",INDEX('Per Line'!$C$2:$C$301,$W75))</f>
        <v/>
      </c>
      <c r="E75">
        <f>IF($W75="","",INDEX('Per Line'!$E$2:$E$301,$W75)&amp;"")</f>
        <v/>
      </c>
      <c r="F75">
        <f>IF($W75="","",INDEX('Per Line'!$F$2:$F$301,$W75)&amp;"")</f>
        <v/>
      </c>
      <c r="G75">
        <f>IF($W75="","",INDEX('Per Line'!$G$2:$G$301,$W75)&amp;"")</f>
        <v/>
      </c>
      <c r="H75">
        <f>IF($W75="","",INDEX('Per Line'!$H$2:$H$301,$W75)&amp;"")</f>
        <v/>
      </c>
      <c r="I75">
        <f>IF($W75="","",INDEX('Per Line'!$I$2:$I$301,$W75))</f>
        <v/>
      </c>
      <c r="J75" s="7">
        <f>IF($W75="","",I75*U75/100)</f>
        <v/>
      </c>
      <c r="K75">
        <f>IF($W75="","",INDEX('Per Line'!$R$2:$R$301,$W75)&amp;"")</f>
        <v/>
      </c>
      <c r="L75" s="7">
        <f>IF($W75="","",SUMIFS('Per Line'!$Q$2:$Q$301,'Per Line'!$B$2:$B$301,$C75,'Per Line'!$AA$2:$AA$301,1))</f>
        <v/>
      </c>
      <c r="M75">
        <f>IF($W75="","",Settings!$C$7)</f>
        <v/>
      </c>
      <c r="N75" s="7">
        <f>IF($W75="","",SUMIFS('Per Line'!$Q$2:$Q$301,'Per Line'!$B$2:$B$301,$C75,'Per Line'!$Z$2:$Z$301,0,'Per Line'!$AA$2:$AA$301,0))</f>
        <v/>
      </c>
      <c r="O75" s="7">
        <f>IF($W75="","",N75*M75)</f>
        <v/>
      </c>
      <c r="P75">
        <f>IF($W75="","",Settings!$C$6)</f>
        <v/>
      </c>
      <c r="Q75" s="7">
        <f>IF($W75="","",SUMIFS('Per Line'!$Q$2:$Q$301,'Per Line'!$B$2:$B$301,$C75,'Per Line'!$Z$2:$Z$301,1,'Per Line'!$AA$2:$AA$301,0))</f>
        <v/>
      </c>
      <c r="R75" s="7">
        <f>IF($W75="","",Q75*P75)</f>
        <v/>
      </c>
      <c r="S75" s="7">
        <f>IF($W75="","",R75+O75)</f>
        <v/>
      </c>
      <c r="T75" s="7">
        <f>IF($W75="","",U75-S75)</f>
        <v/>
      </c>
      <c r="U75" s="7">
        <f>IF($W75="","",N75+Q75+L75)</f>
        <v/>
      </c>
      <c r="V75" s="7">
        <f>IF($W75="","",U75-S75-J75)</f>
        <v/>
      </c>
      <c r="W75" s="13">
        <f>IF(ROWS($W$2:$W75)&lt;=MAX('Per Line'!$Y$2:$Y$301),MATCH(ROWS($W$2:$W75),'Per Line'!$Y$2:$Y$301,0),"")</f>
        <v/>
      </c>
    </row>
    <row r="76">
      <c r="A76" s="12" t="n"/>
      <c r="B76">
        <f>IF($W76="","",INDEX('Per Line'!$A$2:$A$301,$W76)&amp;"")</f>
        <v/>
      </c>
      <c r="C76">
        <f>IF($W76="","",INDEX('Per Line'!$B$2:$B$301,$W76)&amp;"")</f>
        <v/>
      </c>
      <c r="D76" s="11">
        <f>IF($W76="","",INDEX('Per Line'!$C$2:$C$301,$W76))</f>
        <v/>
      </c>
      <c r="E76">
        <f>IF($W76="","",INDEX('Per Line'!$E$2:$E$301,$W76)&amp;"")</f>
        <v/>
      </c>
      <c r="F76">
        <f>IF($W76="","",INDEX('Per Line'!$F$2:$F$301,$W76)&amp;"")</f>
        <v/>
      </c>
      <c r="G76">
        <f>IF($W76="","",INDEX('Per Line'!$G$2:$G$301,$W76)&amp;"")</f>
        <v/>
      </c>
      <c r="H76">
        <f>IF($W76="","",INDEX('Per Line'!$H$2:$H$301,$W76)&amp;"")</f>
        <v/>
      </c>
      <c r="I76">
        <f>IF($W76="","",INDEX('Per Line'!$I$2:$I$301,$W76))</f>
        <v/>
      </c>
      <c r="J76" s="7">
        <f>IF($W76="","",I76*U76/100)</f>
        <v/>
      </c>
      <c r="K76">
        <f>IF($W76="","",INDEX('Per Line'!$R$2:$R$301,$W76)&amp;"")</f>
        <v/>
      </c>
      <c r="L76" s="7">
        <f>IF($W76="","",SUMIFS('Per Line'!$Q$2:$Q$301,'Per Line'!$B$2:$B$301,$C76,'Per Line'!$AA$2:$AA$301,1))</f>
        <v/>
      </c>
      <c r="M76">
        <f>IF($W76="","",Settings!$C$7)</f>
        <v/>
      </c>
      <c r="N76" s="7">
        <f>IF($W76="","",SUMIFS('Per Line'!$Q$2:$Q$301,'Per Line'!$B$2:$B$301,$C76,'Per Line'!$Z$2:$Z$301,0,'Per Line'!$AA$2:$AA$301,0))</f>
        <v/>
      </c>
      <c r="O76" s="7">
        <f>IF($W76="","",N76*M76)</f>
        <v/>
      </c>
      <c r="P76">
        <f>IF($W76="","",Settings!$C$6)</f>
        <v/>
      </c>
      <c r="Q76" s="7">
        <f>IF($W76="","",SUMIFS('Per Line'!$Q$2:$Q$301,'Per Line'!$B$2:$B$301,$C76,'Per Line'!$Z$2:$Z$301,1,'Per Line'!$AA$2:$AA$301,0))</f>
        <v/>
      </c>
      <c r="R76" s="7">
        <f>IF($W76="","",Q76*P76)</f>
        <v/>
      </c>
      <c r="S76" s="7">
        <f>IF($W76="","",R76+O76)</f>
        <v/>
      </c>
      <c r="T76" s="7">
        <f>IF($W76="","",U76-S76)</f>
        <v/>
      </c>
      <c r="U76" s="7">
        <f>IF($W76="","",N76+Q76+L76)</f>
        <v/>
      </c>
      <c r="V76" s="7">
        <f>IF($W76="","",U76-S76-J76)</f>
        <v/>
      </c>
      <c r="W76" s="13">
        <f>IF(ROWS($W$2:$W76)&lt;=MAX('Per Line'!$Y$2:$Y$301),MATCH(ROWS($W$2:$W76),'Per Line'!$Y$2:$Y$301,0),"")</f>
        <v/>
      </c>
    </row>
    <row r="77">
      <c r="A77" s="12" t="n"/>
      <c r="B77">
        <f>IF($W77="","",INDEX('Per Line'!$A$2:$A$301,$W77)&amp;"")</f>
        <v/>
      </c>
      <c r="C77">
        <f>IF($W77="","",INDEX('Per Line'!$B$2:$B$301,$W77)&amp;"")</f>
        <v/>
      </c>
      <c r="D77" s="11">
        <f>IF($W77="","",INDEX('Per Line'!$C$2:$C$301,$W77))</f>
        <v/>
      </c>
      <c r="E77">
        <f>IF($W77="","",INDEX('Per Line'!$E$2:$E$301,$W77)&amp;"")</f>
        <v/>
      </c>
      <c r="F77">
        <f>IF($W77="","",INDEX('Per Line'!$F$2:$F$301,$W77)&amp;"")</f>
        <v/>
      </c>
      <c r="G77">
        <f>IF($W77="","",INDEX('Per Line'!$G$2:$G$301,$W77)&amp;"")</f>
        <v/>
      </c>
      <c r="H77">
        <f>IF($W77="","",INDEX('Per Line'!$H$2:$H$301,$W77)&amp;"")</f>
        <v/>
      </c>
      <c r="I77">
        <f>IF($W77="","",INDEX('Per Line'!$I$2:$I$301,$W77))</f>
        <v/>
      </c>
      <c r="J77" s="7">
        <f>IF($W77="","",I77*U77/100)</f>
        <v/>
      </c>
      <c r="K77">
        <f>IF($W77="","",INDEX('Per Line'!$R$2:$R$301,$W77)&amp;"")</f>
        <v/>
      </c>
      <c r="L77" s="7">
        <f>IF($W77="","",SUMIFS('Per Line'!$Q$2:$Q$301,'Per Line'!$B$2:$B$301,$C77,'Per Line'!$AA$2:$AA$301,1))</f>
        <v/>
      </c>
      <c r="M77">
        <f>IF($W77="","",Settings!$C$7)</f>
        <v/>
      </c>
      <c r="N77" s="7">
        <f>IF($W77="","",SUMIFS('Per Line'!$Q$2:$Q$301,'Per Line'!$B$2:$B$301,$C77,'Per Line'!$Z$2:$Z$301,0,'Per Line'!$AA$2:$AA$301,0))</f>
        <v/>
      </c>
      <c r="O77" s="7">
        <f>IF($W77="","",N77*M77)</f>
        <v/>
      </c>
      <c r="P77">
        <f>IF($W77="","",Settings!$C$6)</f>
        <v/>
      </c>
      <c r="Q77" s="7">
        <f>IF($W77="","",SUMIFS('Per Line'!$Q$2:$Q$301,'Per Line'!$B$2:$B$301,$C77,'Per Line'!$Z$2:$Z$301,1,'Per Line'!$AA$2:$AA$301,0))</f>
        <v/>
      </c>
      <c r="R77" s="7">
        <f>IF($W77="","",Q77*P77)</f>
        <v/>
      </c>
      <c r="S77" s="7">
        <f>IF($W77="","",R77+O77)</f>
        <v/>
      </c>
      <c r="T77" s="7">
        <f>IF($W77="","",U77-S77)</f>
        <v/>
      </c>
      <c r="U77" s="7">
        <f>IF($W77="","",N77+Q77+L77)</f>
        <v/>
      </c>
      <c r="V77" s="7">
        <f>IF($W77="","",U77-S77-J77)</f>
        <v/>
      </c>
      <c r="W77" s="13">
        <f>IF(ROWS($W$2:$W77)&lt;=MAX('Per Line'!$Y$2:$Y$301),MATCH(ROWS($W$2:$W77),'Per Line'!$Y$2:$Y$301,0),"")</f>
        <v/>
      </c>
    </row>
    <row r="78">
      <c r="A78" s="12" t="n"/>
      <c r="B78">
        <f>IF($W78="","",INDEX('Per Line'!$A$2:$A$301,$W78)&amp;"")</f>
        <v/>
      </c>
      <c r="C78">
        <f>IF($W78="","",INDEX('Per Line'!$B$2:$B$301,$W78)&amp;"")</f>
        <v/>
      </c>
      <c r="D78" s="11">
        <f>IF($W78="","",INDEX('Per Line'!$C$2:$C$301,$W78))</f>
        <v/>
      </c>
      <c r="E78">
        <f>IF($W78="","",INDEX('Per Line'!$E$2:$E$301,$W78)&amp;"")</f>
        <v/>
      </c>
      <c r="F78">
        <f>IF($W78="","",INDEX('Per Line'!$F$2:$F$301,$W78)&amp;"")</f>
        <v/>
      </c>
      <c r="G78">
        <f>IF($W78="","",INDEX('Per Line'!$G$2:$G$301,$W78)&amp;"")</f>
        <v/>
      </c>
      <c r="H78">
        <f>IF($W78="","",INDEX('Per Line'!$H$2:$H$301,$W78)&amp;"")</f>
        <v/>
      </c>
      <c r="I78">
        <f>IF($W78="","",INDEX('Per Line'!$I$2:$I$301,$W78))</f>
        <v/>
      </c>
      <c r="J78" s="7">
        <f>IF($W78="","",I78*U78/100)</f>
        <v/>
      </c>
      <c r="K78">
        <f>IF($W78="","",INDEX('Per Line'!$R$2:$R$301,$W78)&amp;"")</f>
        <v/>
      </c>
      <c r="L78" s="7">
        <f>IF($W78="","",SUMIFS('Per Line'!$Q$2:$Q$301,'Per Line'!$B$2:$B$301,$C78,'Per Line'!$AA$2:$AA$301,1))</f>
        <v/>
      </c>
      <c r="M78">
        <f>IF($W78="","",Settings!$C$7)</f>
        <v/>
      </c>
      <c r="N78" s="7">
        <f>IF($W78="","",SUMIFS('Per Line'!$Q$2:$Q$301,'Per Line'!$B$2:$B$301,$C78,'Per Line'!$Z$2:$Z$301,0,'Per Line'!$AA$2:$AA$301,0))</f>
        <v/>
      </c>
      <c r="O78" s="7">
        <f>IF($W78="","",N78*M78)</f>
        <v/>
      </c>
      <c r="P78">
        <f>IF($W78="","",Settings!$C$6)</f>
        <v/>
      </c>
      <c r="Q78" s="7">
        <f>IF($W78="","",SUMIFS('Per Line'!$Q$2:$Q$301,'Per Line'!$B$2:$B$301,$C78,'Per Line'!$Z$2:$Z$301,1,'Per Line'!$AA$2:$AA$301,0))</f>
        <v/>
      </c>
      <c r="R78" s="7">
        <f>IF($W78="","",Q78*P78)</f>
        <v/>
      </c>
      <c r="S78" s="7">
        <f>IF($W78="","",R78+O78)</f>
        <v/>
      </c>
      <c r="T78" s="7">
        <f>IF($W78="","",U78-S78)</f>
        <v/>
      </c>
      <c r="U78" s="7">
        <f>IF($W78="","",N78+Q78+L78)</f>
        <v/>
      </c>
      <c r="V78" s="7">
        <f>IF($W78="","",U78-S78-J78)</f>
        <v/>
      </c>
      <c r="W78" s="13">
        <f>IF(ROWS($W$2:$W78)&lt;=MAX('Per Line'!$Y$2:$Y$301),MATCH(ROWS($W$2:$W78),'Per Line'!$Y$2:$Y$301,0),"")</f>
        <v/>
      </c>
    </row>
    <row r="79">
      <c r="A79" s="12" t="n"/>
      <c r="B79">
        <f>IF($W79="","",INDEX('Per Line'!$A$2:$A$301,$W79)&amp;"")</f>
        <v/>
      </c>
      <c r="C79">
        <f>IF($W79="","",INDEX('Per Line'!$B$2:$B$301,$W79)&amp;"")</f>
        <v/>
      </c>
      <c r="D79" s="11">
        <f>IF($W79="","",INDEX('Per Line'!$C$2:$C$301,$W79))</f>
        <v/>
      </c>
      <c r="E79">
        <f>IF($W79="","",INDEX('Per Line'!$E$2:$E$301,$W79)&amp;"")</f>
        <v/>
      </c>
      <c r="F79">
        <f>IF($W79="","",INDEX('Per Line'!$F$2:$F$301,$W79)&amp;"")</f>
        <v/>
      </c>
      <c r="G79">
        <f>IF($W79="","",INDEX('Per Line'!$G$2:$G$301,$W79)&amp;"")</f>
        <v/>
      </c>
      <c r="H79">
        <f>IF($W79="","",INDEX('Per Line'!$H$2:$H$301,$W79)&amp;"")</f>
        <v/>
      </c>
      <c r="I79">
        <f>IF($W79="","",INDEX('Per Line'!$I$2:$I$301,$W79))</f>
        <v/>
      </c>
      <c r="J79" s="7">
        <f>IF($W79="","",I79*U79/100)</f>
        <v/>
      </c>
      <c r="K79">
        <f>IF($W79="","",INDEX('Per Line'!$R$2:$R$301,$W79)&amp;"")</f>
        <v/>
      </c>
      <c r="L79" s="7">
        <f>IF($W79="","",SUMIFS('Per Line'!$Q$2:$Q$301,'Per Line'!$B$2:$B$301,$C79,'Per Line'!$AA$2:$AA$301,1))</f>
        <v/>
      </c>
      <c r="M79">
        <f>IF($W79="","",Settings!$C$7)</f>
        <v/>
      </c>
      <c r="N79" s="7">
        <f>IF($W79="","",SUMIFS('Per Line'!$Q$2:$Q$301,'Per Line'!$B$2:$B$301,$C79,'Per Line'!$Z$2:$Z$301,0,'Per Line'!$AA$2:$AA$301,0))</f>
        <v/>
      </c>
      <c r="O79" s="7">
        <f>IF($W79="","",N79*M79)</f>
        <v/>
      </c>
      <c r="P79">
        <f>IF($W79="","",Settings!$C$6)</f>
        <v/>
      </c>
      <c r="Q79" s="7">
        <f>IF($W79="","",SUMIFS('Per Line'!$Q$2:$Q$301,'Per Line'!$B$2:$B$301,$C79,'Per Line'!$Z$2:$Z$301,1,'Per Line'!$AA$2:$AA$301,0))</f>
        <v/>
      </c>
      <c r="R79" s="7">
        <f>IF($W79="","",Q79*P79)</f>
        <v/>
      </c>
      <c r="S79" s="7">
        <f>IF($W79="","",R79+O79)</f>
        <v/>
      </c>
      <c r="T79" s="7">
        <f>IF($W79="","",U79-S79)</f>
        <v/>
      </c>
      <c r="U79" s="7">
        <f>IF($W79="","",N79+Q79+L79)</f>
        <v/>
      </c>
      <c r="V79" s="7">
        <f>IF($W79="","",U79-S79-J79)</f>
        <v/>
      </c>
      <c r="W79" s="13">
        <f>IF(ROWS($W$2:$W79)&lt;=MAX('Per Line'!$Y$2:$Y$301),MATCH(ROWS($W$2:$W79),'Per Line'!$Y$2:$Y$301,0),"")</f>
        <v/>
      </c>
    </row>
    <row r="80">
      <c r="A80" s="12" t="n"/>
      <c r="B80">
        <f>IF($W80="","",INDEX('Per Line'!$A$2:$A$301,$W80)&amp;"")</f>
        <v/>
      </c>
      <c r="C80">
        <f>IF($W80="","",INDEX('Per Line'!$B$2:$B$301,$W80)&amp;"")</f>
        <v/>
      </c>
      <c r="D80" s="11">
        <f>IF($W80="","",INDEX('Per Line'!$C$2:$C$301,$W80))</f>
        <v/>
      </c>
      <c r="E80">
        <f>IF($W80="","",INDEX('Per Line'!$E$2:$E$301,$W80)&amp;"")</f>
        <v/>
      </c>
      <c r="F80">
        <f>IF($W80="","",INDEX('Per Line'!$F$2:$F$301,$W80)&amp;"")</f>
        <v/>
      </c>
      <c r="G80">
        <f>IF($W80="","",INDEX('Per Line'!$G$2:$G$301,$W80)&amp;"")</f>
        <v/>
      </c>
      <c r="H80">
        <f>IF($W80="","",INDEX('Per Line'!$H$2:$H$301,$W80)&amp;"")</f>
        <v/>
      </c>
      <c r="I80">
        <f>IF($W80="","",INDEX('Per Line'!$I$2:$I$301,$W80))</f>
        <v/>
      </c>
      <c r="J80" s="7">
        <f>IF($W80="","",I80*U80/100)</f>
        <v/>
      </c>
      <c r="K80">
        <f>IF($W80="","",INDEX('Per Line'!$R$2:$R$301,$W80)&amp;"")</f>
        <v/>
      </c>
      <c r="L80" s="7">
        <f>IF($W80="","",SUMIFS('Per Line'!$Q$2:$Q$301,'Per Line'!$B$2:$B$301,$C80,'Per Line'!$AA$2:$AA$301,1))</f>
        <v/>
      </c>
      <c r="M80">
        <f>IF($W80="","",Settings!$C$7)</f>
        <v/>
      </c>
      <c r="N80" s="7">
        <f>IF($W80="","",SUMIFS('Per Line'!$Q$2:$Q$301,'Per Line'!$B$2:$B$301,$C80,'Per Line'!$Z$2:$Z$301,0,'Per Line'!$AA$2:$AA$301,0))</f>
        <v/>
      </c>
      <c r="O80" s="7">
        <f>IF($W80="","",N80*M80)</f>
        <v/>
      </c>
      <c r="P80">
        <f>IF($W80="","",Settings!$C$6)</f>
        <v/>
      </c>
      <c r="Q80" s="7">
        <f>IF($W80="","",SUMIFS('Per Line'!$Q$2:$Q$301,'Per Line'!$B$2:$B$301,$C80,'Per Line'!$Z$2:$Z$301,1,'Per Line'!$AA$2:$AA$301,0))</f>
        <v/>
      </c>
      <c r="R80" s="7">
        <f>IF($W80="","",Q80*P80)</f>
        <v/>
      </c>
      <c r="S80" s="7">
        <f>IF($W80="","",R80+O80)</f>
        <v/>
      </c>
      <c r="T80" s="7">
        <f>IF($W80="","",U80-S80)</f>
        <v/>
      </c>
      <c r="U80" s="7">
        <f>IF($W80="","",N80+Q80+L80)</f>
        <v/>
      </c>
      <c r="V80" s="7">
        <f>IF($W80="","",U80-S80-J80)</f>
        <v/>
      </c>
      <c r="W80" s="13">
        <f>IF(ROWS($W$2:$W80)&lt;=MAX('Per Line'!$Y$2:$Y$301),MATCH(ROWS($W$2:$W80),'Per Line'!$Y$2:$Y$301,0),"")</f>
        <v/>
      </c>
    </row>
    <row r="81">
      <c r="A81" s="12" t="n"/>
      <c r="B81">
        <f>IF($W81="","",INDEX('Per Line'!$A$2:$A$301,$W81)&amp;"")</f>
        <v/>
      </c>
      <c r="C81">
        <f>IF($W81="","",INDEX('Per Line'!$B$2:$B$301,$W81)&amp;"")</f>
        <v/>
      </c>
      <c r="D81" s="11">
        <f>IF($W81="","",INDEX('Per Line'!$C$2:$C$301,$W81))</f>
        <v/>
      </c>
      <c r="E81">
        <f>IF($W81="","",INDEX('Per Line'!$E$2:$E$301,$W81)&amp;"")</f>
        <v/>
      </c>
      <c r="F81">
        <f>IF($W81="","",INDEX('Per Line'!$F$2:$F$301,$W81)&amp;"")</f>
        <v/>
      </c>
      <c r="G81">
        <f>IF($W81="","",INDEX('Per Line'!$G$2:$G$301,$W81)&amp;"")</f>
        <v/>
      </c>
      <c r="H81">
        <f>IF($W81="","",INDEX('Per Line'!$H$2:$H$301,$W81)&amp;"")</f>
        <v/>
      </c>
      <c r="I81">
        <f>IF($W81="","",INDEX('Per Line'!$I$2:$I$301,$W81))</f>
        <v/>
      </c>
      <c r="J81" s="7">
        <f>IF($W81="","",I81*U81/100)</f>
        <v/>
      </c>
      <c r="K81">
        <f>IF($W81="","",INDEX('Per Line'!$R$2:$R$301,$W81)&amp;"")</f>
        <v/>
      </c>
      <c r="L81" s="7">
        <f>IF($W81="","",SUMIFS('Per Line'!$Q$2:$Q$301,'Per Line'!$B$2:$B$301,$C81,'Per Line'!$AA$2:$AA$301,1))</f>
        <v/>
      </c>
      <c r="M81">
        <f>IF($W81="","",Settings!$C$7)</f>
        <v/>
      </c>
      <c r="N81" s="7">
        <f>IF($W81="","",SUMIFS('Per Line'!$Q$2:$Q$301,'Per Line'!$B$2:$B$301,$C81,'Per Line'!$Z$2:$Z$301,0,'Per Line'!$AA$2:$AA$301,0))</f>
        <v/>
      </c>
      <c r="O81" s="7">
        <f>IF($W81="","",N81*M81)</f>
        <v/>
      </c>
      <c r="P81">
        <f>IF($W81="","",Settings!$C$6)</f>
        <v/>
      </c>
      <c r="Q81" s="7">
        <f>IF($W81="","",SUMIFS('Per Line'!$Q$2:$Q$301,'Per Line'!$B$2:$B$301,$C81,'Per Line'!$Z$2:$Z$301,1,'Per Line'!$AA$2:$AA$301,0))</f>
        <v/>
      </c>
      <c r="R81" s="7">
        <f>IF($W81="","",Q81*P81)</f>
        <v/>
      </c>
      <c r="S81" s="7">
        <f>IF($W81="","",R81+O81)</f>
        <v/>
      </c>
      <c r="T81" s="7">
        <f>IF($W81="","",U81-S81)</f>
        <v/>
      </c>
      <c r="U81" s="7">
        <f>IF($W81="","",N81+Q81+L81)</f>
        <v/>
      </c>
      <c r="V81" s="7">
        <f>IF($W81="","",U81-S81-J81)</f>
        <v/>
      </c>
      <c r="W81" s="13">
        <f>IF(ROWS($W$2:$W81)&lt;=MAX('Per Line'!$Y$2:$Y$301),MATCH(ROWS($W$2:$W81),'Per Line'!$Y$2:$Y$301,0),"")</f>
        <v/>
      </c>
    </row>
    <row r="82">
      <c r="A82" s="12" t="n"/>
      <c r="B82">
        <f>IF($W82="","",INDEX('Per Line'!$A$2:$A$301,$W82)&amp;"")</f>
        <v/>
      </c>
      <c r="C82">
        <f>IF($W82="","",INDEX('Per Line'!$B$2:$B$301,$W82)&amp;"")</f>
        <v/>
      </c>
      <c r="D82" s="11">
        <f>IF($W82="","",INDEX('Per Line'!$C$2:$C$301,$W82))</f>
        <v/>
      </c>
      <c r="E82">
        <f>IF($W82="","",INDEX('Per Line'!$E$2:$E$301,$W82)&amp;"")</f>
        <v/>
      </c>
      <c r="F82">
        <f>IF($W82="","",INDEX('Per Line'!$F$2:$F$301,$W82)&amp;"")</f>
        <v/>
      </c>
      <c r="G82">
        <f>IF($W82="","",INDEX('Per Line'!$G$2:$G$301,$W82)&amp;"")</f>
        <v/>
      </c>
      <c r="H82">
        <f>IF($W82="","",INDEX('Per Line'!$H$2:$H$301,$W82)&amp;"")</f>
        <v/>
      </c>
      <c r="I82">
        <f>IF($W82="","",INDEX('Per Line'!$I$2:$I$301,$W82))</f>
        <v/>
      </c>
      <c r="J82" s="7">
        <f>IF($W82="","",I82*U82/100)</f>
        <v/>
      </c>
      <c r="K82">
        <f>IF($W82="","",INDEX('Per Line'!$R$2:$R$301,$W82)&amp;"")</f>
        <v/>
      </c>
      <c r="L82" s="7">
        <f>IF($W82="","",SUMIFS('Per Line'!$Q$2:$Q$301,'Per Line'!$B$2:$B$301,$C82,'Per Line'!$AA$2:$AA$301,1))</f>
        <v/>
      </c>
      <c r="M82">
        <f>IF($W82="","",Settings!$C$7)</f>
        <v/>
      </c>
      <c r="N82" s="7">
        <f>IF($W82="","",SUMIFS('Per Line'!$Q$2:$Q$301,'Per Line'!$B$2:$B$301,$C82,'Per Line'!$Z$2:$Z$301,0,'Per Line'!$AA$2:$AA$301,0))</f>
        <v/>
      </c>
      <c r="O82" s="7">
        <f>IF($W82="","",N82*M82)</f>
        <v/>
      </c>
      <c r="P82">
        <f>IF($W82="","",Settings!$C$6)</f>
        <v/>
      </c>
      <c r="Q82" s="7">
        <f>IF($W82="","",SUMIFS('Per Line'!$Q$2:$Q$301,'Per Line'!$B$2:$B$301,$C82,'Per Line'!$Z$2:$Z$301,1,'Per Line'!$AA$2:$AA$301,0))</f>
        <v/>
      </c>
      <c r="R82" s="7">
        <f>IF($W82="","",Q82*P82)</f>
        <v/>
      </c>
      <c r="S82" s="7">
        <f>IF($W82="","",R82+O82)</f>
        <v/>
      </c>
      <c r="T82" s="7">
        <f>IF($W82="","",U82-S82)</f>
        <v/>
      </c>
      <c r="U82" s="7">
        <f>IF($W82="","",N82+Q82+L82)</f>
        <v/>
      </c>
      <c r="V82" s="7">
        <f>IF($W82="","",U82-S82-J82)</f>
        <v/>
      </c>
      <c r="W82" s="13">
        <f>IF(ROWS($W$2:$W82)&lt;=MAX('Per Line'!$Y$2:$Y$301),MATCH(ROWS($W$2:$W82),'Per Line'!$Y$2:$Y$301,0),"")</f>
        <v/>
      </c>
    </row>
    <row r="83">
      <c r="A83" s="12" t="n"/>
      <c r="B83">
        <f>IF($W83="","",INDEX('Per Line'!$A$2:$A$301,$W83)&amp;"")</f>
        <v/>
      </c>
      <c r="C83">
        <f>IF($W83="","",INDEX('Per Line'!$B$2:$B$301,$W83)&amp;"")</f>
        <v/>
      </c>
      <c r="D83" s="11">
        <f>IF($W83="","",INDEX('Per Line'!$C$2:$C$301,$W83))</f>
        <v/>
      </c>
      <c r="E83">
        <f>IF($W83="","",INDEX('Per Line'!$E$2:$E$301,$W83)&amp;"")</f>
        <v/>
      </c>
      <c r="F83">
        <f>IF($W83="","",INDEX('Per Line'!$F$2:$F$301,$W83)&amp;"")</f>
        <v/>
      </c>
      <c r="G83">
        <f>IF($W83="","",INDEX('Per Line'!$G$2:$G$301,$W83)&amp;"")</f>
        <v/>
      </c>
      <c r="H83">
        <f>IF($W83="","",INDEX('Per Line'!$H$2:$H$301,$W83)&amp;"")</f>
        <v/>
      </c>
      <c r="I83">
        <f>IF($W83="","",INDEX('Per Line'!$I$2:$I$301,$W83))</f>
        <v/>
      </c>
      <c r="J83" s="7">
        <f>IF($W83="","",I83*U83/100)</f>
        <v/>
      </c>
      <c r="K83">
        <f>IF($W83="","",INDEX('Per Line'!$R$2:$R$301,$W83)&amp;"")</f>
        <v/>
      </c>
      <c r="L83" s="7">
        <f>IF($W83="","",SUMIFS('Per Line'!$Q$2:$Q$301,'Per Line'!$B$2:$B$301,$C83,'Per Line'!$AA$2:$AA$301,1))</f>
        <v/>
      </c>
      <c r="M83">
        <f>IF($W83="","",Settings!$C$7)</f>
        <v/>
      </c>
      <c r="N83" s="7">
        <f>IF($W83="","",SUMIFS('Per Line'!$Q$2:$Q$301,'Per Line'!$B$2:$B$301,$C83,'Per Line'!$Z$2:$Z$301,0,'Per Line'!$AA$2:$AA$301,0))</f>
        <v/>
      </c>
      <c r="O83" s="7">
        <f>IF($W83="","",N83*M83)</f>
        <v/>
      </c>
      <c r="P83">
        <f>IF($W83="","",Settings!$C$6)</f>
        <v/>
      </c>
      <c r="Q83" s="7">
        <f>IF($W83="","",SUMIFS('Per Line'!$Q$2:$Q$301,'Per Line'!$B$2:$B$301,$C83,'Per Line'!$Z$2:$Z$301,1,'Per Line'!$AA$2:$AA$301,0))</f>
        <v/>
      </c>
      <c r="R83" s="7">
        <f>IF($W83="","",Q83*P83)</f>
        <v/>
      </c>
      <c r="S83" s="7">
        <f>IF($W83="","",R83+O83)</f>
        <v/>
      </c>
      <c r="T83" s="7">
        <f>IF($W83="","",U83-S83)</f>
        <v/>
      </c>
      <c r="U83" s="7">
        <f>IF($W83="","",N83+Q83+L83)</f>
        <v/>
      </c>
      <c r="V83" s="7">
        <f>IF($W83="","",U83-S83-J83)</f>
        <v/>
      </c>
      <c r="W83" s="13">
        <f>IF(ROWS($W$2:$W83)&lt;=MAX('Per Line'!$Y$2:$Y$301),MATCH(ROWS($W$2:$W83),'Per Line'!$Y$2:$Y$301,0),"")</f>
        <v/>
      </c>
    </row>
    <row r="84">
      <c r="A84" s="12" t="n"/>
      <c r="B84">
        <f>IF($W84="","",INDEX('Per Line'!$A$2:$A$301,$W84)&amp;"")</f>
        <v/>
      </c>
      <c r="C84">
        <f>IF($W84="","",INDEX('Per Line'!$B$2:$B$301,$W84)&amp;"")</f>
        <v/>
      </c>
      <c r="D84" s="11">
        <f>IF($W84="","",INDEX('Per Line'!$C$2:$C$301,$W84))</f>
        <v/>
      </c>
      <c r="E84">
        <f>IF($W84="","",INDEX('Per Line'!$E$2:$E$301,$W84)&amp;"")</f>
        <v/>
      </c>
      <c r="F84">
        <f>IF($W84="","",INDEX('Per Line'!$F$2:$F$301,$W84)&amp;"")</f>
        <v/>
      </c>
      <c r="G84">
        <f>IF($W84="","",INDEX('Per Line'!$G$2:$G$301,$W84)&amp;"")</f>
        <v/>
      </c>
      <c r="H84">
        <f>IF($W84="","",INDEX('Per Line'!$H$2:$H$301,$W84)&amp;"")</f>
        <v/>
      </c>
      <c r="I84">
        <f>IF($W84="","",INDEX('Per Line'!$I$2:$I$301,$W84))</f>
        <v/>
      </c>
      <c r="J84" s="7">
        <f>IF($W84="","",I84*U84/100)</f>
        <v/>
      </c>
      <c r="K84">
        <f>IF($W84="","",INDEX('Per Line'!$R$2:$R$301,$W84)&amp;"")</f>
        <v/>
      </c>
      <c r="L84" s="7">
        <f>IF($W84="","",SUMIFS('Per Line'!$Q$2:$Q$301,'Per Line'!$B$2:$B$301,$C84,'Per Line'!$AA$2:$AA$301,1))</f>
        <v/>
      </c>
      <c r="M84">
        <f>IF($W84="","",Settings!$C$7)</f>
        <v/>
      </c>
      <c r="N84" s="7">
        <f>IF($W84="","",SUMIFS('Per Line'!$Q$2:$Q$301,'Per Line'!$B$2:$B$301,$C84,'Per Line'!$Z$2:$Z$301,0,'Per Line'!$AA$2:$AA$301,0))</f>
        <v/>
      </c>
      <c r="O84" s="7">
        <f>IF($W84="","",N84*M84)</f>
        <v/>
      </c>
      <c r="P84">
        <f>IF($W84="","",Settings!$C$6)</f>
        <v/>
      </c>
      <c r="Q84" s="7">
        <f>IF($W84="","",SUMIFS('Per Line'!$Q$2:$Q$301,'Per Line'!$B$2:$B$301,$C84,'Per Line'!$Z$2:$Z$301,1,'Per Line'!$AA$2:$AA$301,0))</f>
        <v/>
      </c>
      <c r="R84" s="7">
        <f>IF($W84="","",Q84*P84)</f>
        <v/>
      </c>
      <c r="S84" s="7">
        <f>IF($W84="","",R84+O84)</f>
        <v/>
      </c>
      <c r="T84" s="7">
        <f>IF($W84="","",U84-S84)</f>
        <v/>
      </c>
      <c r="U84" s="7">
        <f>IF($W84="","",N84+Q84+L84)</f>
        <v/>
      </c>
      <c r="V84" s="7">
        <f>IF($W84="","",U84-S84-J84)</f>
        <v/>
      </c>
      <c r="W84" s="13">
        <f>IF(ROWS($W$2:$W84)&lt;=MAX('Per Line'!$Y$2:$Y$301),MATCH(ROWS($W$2:$W84),'Per Line'!$Y$2:$Y$301,0),"")</f>
        <v/>
      </c>
    </row>
    <row r="85">
      <c r="A85" s="12" t="n"/>
      <c r="B85">
        <f>IF($W85="","",INDEX('Per Line'!$A$2:$A$301,$W85)&amp;"")</f>
        <v/>
      </c>
      <c r="C85">
        <f>IF($W85="","",INDEX('Per Line'!$B$2:$B$301,$W85)&amp;"")</f>
        <v/>
      </c>
      <c r="D85" s="11">
        <f>IF($W85="","",INDEX('Per Line'!$C$2:$C$301,$W85))</f>
        <v/>
      </c>
      <c r="E85">
        <f>IF($W85="","",INDEX('Per Line'!$E$2:$E$301,$W85)&amp;"")</f>
        <v/>
      </c>
      <c r="F85">
        <f>IF($W85="","",INDEX('Per Line'!$F$2:$F$301,$W85)&amp;"")</f>
        <v/>
      </c>
      <c r="G85">
        <f>IF($W85="","",INDEX('Per Line'!$G$2:$G$301,$W85)&amp;"")</f>
        <v/>
      </c>
      <c r="H85">
        <f>IF($W85="","",INDEX('Per Line'!$H$2:$H$301,$W85)&amp;"")</f>
        <v/>
      </c>
      <c r="I85">
        <f>IF($W85="","",INDEX('Per Line'!$I$2:$I$301,$W85))</f>
        <v/>
      </c>
      <c r="J85" s="7">
        <f>IF($W85="","",I85*U85/100)</f>
        <v/>
      </c>
      <c r="K85">
        <f>IF($W85="","",INDEX('Per Line'!$R$2:$R$301,$W85)&amp;"")</f>
        <v/>
      </c>
      <c r="L85" s="7">
        <f>IF($W85="","",SUMIFS('Per Line'!$Q$2:$Q$301,'Per Line'!$B$2:$B$301,$C85,'Per Line'!$AA$2:$AA$301,1))</f>
        <v/>
      </c>
      <c r="M85">
        <f>IF($W85="","",Settings!$C$7)</f>
        <v/>
      </c>
      <c r="N85" s="7">
        <f>IF($W85="","",SUMIFS('Per Line'!$Q$2:$Q$301,'Per Line'!$B$2:$B$301,$C85,'Per Line'!$Z$2:$Z$301,0,'Per Line'!$AA$2:$AA$301,0))</f>
        <v/>
      </c>
      <c r="O85" s="7">
        <f>IF($W85="","",N85*M85)</f>
        <v/>
      </c>
      <c r="P85">
        <f>IF($W85="","",Settings!$C$6)</f>
        <v/>
      </c>
      <c r="Q85" s="7">
        <f>IF($W85="","",SUMIFS('Per Line'!$Q$2:$Q$301,'Per Line'!$B$2:$B$301,$C85,'Per Line'!$Z$2:$Z$301,1,'Per Line'!$AA$2:$AA$301,0))</f>
        <v/>
      </c>
      <c r="R85" s="7">
        <f>IF($W85="","",Q85*P85)</f>
        <v/>
      </c>
      <c r="S85" s="7">
        <f>IF($W85="","",R85+O85)</f>
        <v/>
      </c>
      <c r="T85" s="7">
        <f>IF($W85="","",U85-S85)</f>
        <v/>
      </c>
      <c r="U85" s="7">
        <f>IF($W85="","",N85+Q85+L85)</f>
        <v/>
      </c>
      <c r="V85" s="7">
        <f>IF($W85="","",U85-S85-J85)</f>
        <v/>
      </c>
      <c r="W85" s="13">
        <f>IF(ROWS($W$2:$W85)&lt;=MAX('Per Line'!$Y$2:$Y$301),MATCH(ROWS($W$2:$W85),'Per Line'!$Y$2:$Y$301,0),"")</f>
        <v/>
      </c>
    </row>
    <row r="86">
      <c r="A86" s="12" t="n"/>
      <c r="B86">
        <f>IF($W86="","",INDEX('Per Line'!$A$2:$A$301,$W86)&amp;"")</f>
        <v/>
      </c>
      <c r="C86">
        <f>IF($W86="","",INDEX('Per Line'!$B$2:$B$301,$W86)&amp;"")</f>
        <v/>
      </c>
      <c r="D86" s="11">
        <f>IF($W86="","",INDEX('Per Line'!$C$2:$C$301,$W86))</f>
        <v/>
      </c>
      <c r="E86">
        <f>IF($W86="","",INDEX('Per Line'!$E$2:$E$301,$W86)&amp;"")</f>
        <v/>
      </c>
      <c r="F86">
        <f>IF($W86="","",INDEX('Per Line'!$F$2:$F$301,$W86)&amp;"")</f>
        <v/>
      </c>
      <c r="G86">
        <f>IF($W86="","",INDEX('Per Line'!$G$2:$G$301,$W86)&amp;"")</f>
        <v/>
      </c>
      <c r="H86">
        <f>IF($W86="","",INDEX('Per Line'!$H$2:$H$301,$W86)&amp;"")</f>
        <v/>
      </c>
      <c r="I86">
        <f>IF($W86="","",INDEX('Per Line'!$I$2:$I$301,$W86))</f>
        <v/>
      </c>
      <c r="J86" s="7">
        <f>IF($W86="","",I86*U86/100)</f>
        <v/>
      </c>
      <c r="K86">
        <f>IF($W86="","",INDEX('Per Line'!$R$2:$R$301,$W86)&amp;"")</f>
        <v/>
      </c>
      <c r="L86" s="7">
        <f>IF($W86="","",SUMIFS('Per Line'!$Q$2:$Q$301,'Per Line'!$B$2:$B$301,$C86,'Per Line'!$AA$2:$AA$301,1))</f>
        <v/>
      </c>
      <c r="M86">
        <f>IF($W86="","",Settings!$C$7)</f>
        <v/>
      </c>
      <c r="N86" s="7">
        <f>IF($W86="","",SUMIFS('Per Line'!$Q$2:$Q$301,'Per Line'!$B$2:$B$301,$C86,'Per Line'!$Z$2:$Z$301,0,'Per Line'!$AA$2:$AA$301,0))</f>
        <v/>
      </c>
      <c r="O86" s="7">
        <f>IF($W86="","",N86*M86)</f>
        <v/>
      </c>
      <c r="P86">
        <f>IF($W86="","",Settings!$C$6)</f>
        <v/>
      </c>
      <c r="Q86" s="7">
        <f>IF($W86="","",SUMIFS('Per Line'!$Q$2:$Q$301,'Per Line'!$B$2:$B$301,$C86,'Per Line'!$Z$2:$Z$301,1,'Per Line'!$AA$2:$AA$301,0))</f>
        <v/>
      </c>
      <c r="R86" s="7">
        <f>IF($W86="","",Q86*P86)</f>
        <v/>
      </c>
      <c r="S86" s="7">
        <f>IF($W86="","",R86+O86)</f>
        <v/>
      </c>
      <c r="T86" s="7">
        <f>IF($W86="","",U86-S86)</f>
        <v/>
      </c>
      <c r="U86" s="7">
        <f>IF($W86="","",N86+Q86+L86)</f>
        <v/>
      </c>
      <c r="V86" s="7">
        <f>IF($W86="","",U86-S86-J86)</f>
        <v/>
      </c>
      <c r="W86" s="13">
        <f>IF(ROWS($W$2:$W86)&lt;=MAX('Per Line'!$Y$2:$Y$301),MATCH(ROWS($W$2:$W86),'Per Line'!$Y$2:$Y$301,0),"")</f>
        <v/>
      </c>
    </row>
    <row r="87">
      <c r="A87" s="12" t="n"/>
      <c r="B87">
        <f>IF($W87="","",INDEX('Per Line'!$A$2:$A$301,$W87)&amp;"")</f>
        <v/>
      </c>
      <c r="C87">
        <f>IF($W87="","",INDEX('Per Line'!$B$2:$B$301,$W87)&amp;"")</f>
        <v/>
      </c>
      <c r="D87" s="11">
        <f>IF($W87="","",INDEX('Per Line'!$C$2:$C$301,$W87))</f>
        <v/>
      </c>
      <c r="E87">
        <f>IF($W87="","",INDEX('Per Line'!$E$2:$E$301,$W87)&amp;"")</f>
        <v/>
      </c>
      <c r="F87">
        <f>IF($W87="","",INDEX('Per Line'!$F$2:$F$301,$W87)&amp;"")</f>
        <v/>
      </c>
      <c r="G87">
        <f>IF($W87="","",INDEX('Per Line'!$G$2:$G$301,$W87)&amp;"")</f>
        <v/>
      </c>
      <c r="H87">
        <f>IF($W87="","",INDEX('Per Line'!$H$2:$H$301,$W87)&amp;"")</f>
        <v/>
      </c>
      <c r="I87">
        <f>IF($W87="","",INDEX('Per Line'!$I$2:$I$301,$W87))</f>
        <v/>
      </c>
      <c r="J87" s="7">
        <f>IF($W87="","",I87*U87/100)</f>
        <v/>
      </c>
      <c r="K87">
        <f>IF($W87="","",INDEX('Per Line'!$R$2:$R$301,$W87)&amp;"")</f>
        <v/>
      </c>
      <c r="L87" s="7">
        <f>IF($W87="","",SUMIFS('Per Line'!$Q$2:$Q$301,'Per Line'!$B$2:$B$301,$C87,'Per Line'!$AA$2:$AA$301,1))</f>
        <v/>
      </c>
      <c r="M87">
        <f>IF($W87="","",Settings!$C$7)</f>
        <v/>
      </c>
      <c r="N87" s="7">
        <f>IF($W87="","",SUMIFS('Per Line'!$Q$2:$Q$301,'Per Line'!$B$2:$B$301,$C87,'Per Line'!$Z$2:$Z$301,0,'Per Line'!$AA$2:$AA$301,0))</f>
        <v/>
      </c>
      <c r="O87" s="7">
        <f>IF($W87="","",N87*M87)</f>
        <v/>
      </c>
      <c r="P87">
        <f>IF($W87="","",Settings!$C$6)</f>
        <v/>
      </c>
      <c r="Q87" s="7">
        <f>IF($W87="","",SUMIFS('Per Line'!$Q$2:$Q$301,'Per Line'!$B$2:$B$301,$C87,'Per Line'!$Z$2:$Z$301,1,'Per Line'!$AA$2:$AA$301,0))</f>
        <v/>
      </c>
      <c r="R87" s="7">
        <f>IF($W87="","",Q87*P87)</f>
        <v/>
      </c>
      <c r="S87" s="7">
        <f>IF($W87="","",R87+O87)</f>
        <v/>
      </c>
      <c r="T87" s="7">
        <f>IF($W87="","",U87-S87)</f>
        <v/>
      </c>
      <c r="U87" s="7">
        <f>IF($W87="","",N87+Q87+L87)</f>
        <v/>
      </c>
      <c r="V87" s="7">
        <f>IF($W87="","",U87-S87-J87)</f>
        <v/>
      </c>
      <c r="W87" s="13">
        <f>IF(ROWS($W$2:$W87)&lt;=MAX('Per Line'!$Y$2:$Y$301),MATCH(ROWS($W$2:$W87),'Per Line'!$Y$2:$Y$301,0),"")</f>
        <v/>
      </c>
    </row>
    <row r="88">
      <c r="A88" s="12" t="n"/>
      <c r="B88">
        <f>IF($W88="","",INDEX('Per Line'!$A$2:$A$301,$W88)&amp;"")</f>
        <v/>
      </c>
      <c r="C88">
        <f>IF($W88="","",INDEX('Per Line'!$B$2:$B$301,$W88)&amp;"")</f>
        <v/>
      </c>
      <c r="D88" s="11">
        <f>IF($W88="","",INDEX('Per Line'!$C$2:$C$301,$W88))</f>
        <v/>
      </c>
      <c r="E88">
        <f>IF($W88="","",INDEX('Per Line'!$E$2:$E$301,$W88)&amp;"")</f>
        <v/>
      </c>
      <c r="F88">
        <f>IF($W88="","",INDEX('Per Line'!$F$2:$F$301,$W88)&amp;"")</f>
        <v/>
      </c>
      <c r="G88">
        <f>IF($W88="","",INDEX('Per Line'!$G$2:$G$301,$W88)&amp;"")</f>
        <v/>
      </c>
      <c r="H88">
        <f>IF($W88="","",INDEX('Per Line'!$H$2:$H$301,$W88)&amp;"")</f>
        <v/>
      </c>
      <c r="I88">
        <f>IF($W88="","",INDEX('Per Line'!$I$2:$I$301,$W88))</f>
        <v/>
      </c>
      <c r="J88" s="7">
        <f>IF($W88="","",I88*U88/100)</f>
        <v/>
      </c>
      <c r="K88">
        <f>IF($W88="","",INDEX('Per Line'!$R$2:$R$301,$W88)&amp;"")</f>
        <v/>
      </c>
      <c r="L88" s="7">
        <f>IF($W88="","",SUMIFS('Per Line'!$Q$2:$Q$301,'Per Line'!$B$2:$B$301,$C88,'Per Line'!$AA$2:$AA$301,1))</f>
        <v/>
      </c>
      <c r="M88">
        <f>IF($W88="","",Settings!$C$7)</f>
        <v/>
      </c>
      <c r="N88" s="7">
        <f>IF($W88="","",SUMIFS('Per Line'!$Q$2:$Q$301,'Per Line'!$B$2:$B$301,$C88,'Per Line'!$Z$2:$Z$301,0,'Per Line'!$AA$2:$AA$301,0))</f>
        <v/>
      </c>
      <c r="O88" s="7">
        <f>IF($W88="","",N88*M88)</f>
        <v/>
      </c>
      <c r="P88">
        <f>IF($W88="","",Settings!$C$6)</f>
        <v/>
      </c>
      <c r="Q88" s="7">
        <f>IF($W88="","",SUMIFS('Per Line'!$Q$2:$Q$301,'Per Line'!$B$2:$B$301,$C88,'Per Line'!$Z$2:$Z$301,1,'Per Line'!$AA$2:$AA$301,0))</f>
        <v/>
      </c>
      <c r="R88" s="7">
        <f>IF($W88="","",Q88*P88)</f>
        <v/>
      </c>
      <c r="S88" s="7">
        <f>IF($W88="","",R88+O88)</f>
        <v/>
      </c>
      <c r="T88" s="7">
        <f>IF($W88="","",U88-S88)</f>
        <v/>
      </c>
      <c r="U88" s="7">
        <f>IF($W88="","",N88+Q88+L88)</f>
        <v/>
      </c>
      <c r="V88" s="7">
        <f>IF($W88="","",U88-S88-J88)</f>
        <v/>
      </c>
      <c r="W88" s="13">
        <f>IF(ROWS($W$2:$W88)&lt;=MAX('Per Line'!$Y$2:$Y$301),MATCH(ROWS($W$2:$W88),'Per Line'!$Y$2:$Y$301,0),"")</f>
        <v/>
      </c>
    </row>
    <row r="89">
      <c r="A89" s="12" t="n"/>
      <c r="B89">
        <f>IF($W89="","",INDEX('Per Line'!$A$2:$A$301,$W89)&amp;"")</f>
        <v/>
      </c>
      <c r="C89">
        <f>IF($W89="","",INDEX('Per Line'!$B$2:$B$301,$W89)&amp;"")</f>
        <v/>
      </c>
      <c r="D89" s="11">
        <f>IF($W89="","",INDEX('Per Line'!$C$2:$C$301,$W89))</f>
        <v/>
      </c>
      <c r="E89">
        <f>IF($W89="","",INDEX('Per Line'!$E$2:$E$301,$W89)&amp;"")</f>
        <v/>
      </c>
      <c r="F89">
        <f>IF($W89="","",INDEX('Per Line'!$F$2:$F$301,$W89)&amp;"")</f>
        <v/>
      </c>
      <c r="G89">
        <f>IF($W89="","",INDEX('Per Line'!$G$2:$G$301,$W89)&amp;"")</f>
        <v/>
      </c>
      <c r="H89">
        <f>IF($W89="","",INDEX('Per Line'!$H$2:$H$301,$W89)&amp;"")</f>
        <v/>
      </c>
      <c r="I89">
        <f>IF($W89="","",INDEX('Per Line'!$I$2:$I$301,$W89))</f>
        <v/>
      </c>
      <c r="J89" s="7">
        <f>IF($W89="","",I89*U89/100)</f>
        <v/>
      </c>
      <c r="K89">
        <f>IF($W89="","",INDEX('Per Line'!$R$2:$R$301,$W89)&amp;"")</f>
        <v/>
      </c>
      <c r="L89" s="7">
        <f>IF($W89="","",SUMIFS('Per Line'!$Q$2:$Q$301,'Per Line'!$B$2:$B$301,$C89,'Per Line'!$AA$2:$AA$301,1))</f>
        <v/>
      </c>
      <c r="M89">
        <f>IF($W89="","",Settings!$C$7)</f>
        <v/>
      </c>
      <c r="N89" s="7">
        <f>IF($W89="","",SUMIFS('Per Line'!$Q$2:$Q$301,'Per Line'!$B$2:$B$301,$C89,'Per Line'!$Z$2:$Z$301,0,'Per Line'!$AA$2:$AA$301,0))</f>
        <v/>
      </c>
      <c r="O89" s="7">
        <f>IF($W89="","",N89*M89)</f>
        <v/>
      </c>
      <c r="P89">
        <f>IF($W89="","",Settings!$C$6)</f>
        <v/>
      </c>
      <c r="Q89" s="7">
        <f>IF($W89="","",SUMIFS('Per Line'!$Q$2:$Q$301,'Per Line'!$B$2:$B$301,$C89,'Per Line'!$Z$2:$Z$301,1,'Per Line'!$AA$2:$AA$301,0))</f>
        <v/>
      </c>
      <c r="R89" s="7">
        <f>IF($W89="","",Q89*P89)</f>
        <v/>
      </c>
      <c r="S89" s="7">
        <f>IF($W89="","",R89+O89)</f>
        <v/>
      </c>
      <c r="T89" s="7">
        <f>IF($W89="","",U89-S89)</f>
        <v/>
      </c>
      <c r="U89" s="7">
        <f>IF($W89="","",N89+Q89+L89)</f>
        <v/>
      </c>
      <c r="V89" s="7">
        <f>IF($W89="","",U89-S89-J89)</f>
        <v/>
      </c>
      <c r="W89" s="13">
        <f>IF(ROWS($W$2:$W89)&lt;=MAX('Per Line'!$Y$2:$Y$301),MATCH(ROWS($W$2:$W89),'Per Line'!$Y$2:$Y$301,0),"")</f>
        <v/>
      </c>
    </row>
    <row r="90">
      <c r="A90" s="12" t="n"/>
      <c r="B90">
        <f>IF($W90="","",INDEX('Per Line'!$A$2:$A$301,$W90)&amp;"")</f>
        <v/>
      </c>
      <c r="C90">
        <f>IF($W90="","",INDEX('Per Line'!$B$2:$B$301,$W90)&amp;"")</f>
        <v/>
      </c>
      <c r="D90" s="11">
        <f>IF($W90="","",INDEX('Per Line'!$C$2:$C$301,$W90))</f>
        <v/>
      </c>
      <c r="E90">
        <f>IF($W90="","",INDEX('Per Line'!$E$2:$E$301,$W90)&amp;"")</f>
        <v/>
      </c>
      <c r="F90">
        <f>IF($W90="","",INDEX('Per Line'!$F$2:$F$301,$W90)&amp;"")</f>
        <v/>
      </c>
      <c r="G90">
        <f>IF($W90="","",INDEX('Per Line'!$G$2:$G$301,$W90)&amp;"")</f>
        <v/>
      </c>
      <c r="H90">
        <f>IF($W90="","",INDEX('Per Line'!$H$2:$H$301,$W90)&amp;"")</f>
        <v/>
      </c>
      <c r="I90">
        <f>IF($W90="","",INDEX('Per Line'!$I$2:$I$301,$W90))</f>
        <v/>
      </c>
      <c r="J90" s="7">
        <f>IF($W90="","",I90*U90/100)</f>
        <v/>
      </c>
      <c r="K90">
        <f>IF($W90="","",INDEX('Per Line'!$R$2:$R$301,$W90)&amp;"")</f>
        <v/>
      </c>
      <c r="L90" s="7">
        <f>IF($W90="","",SUMIFS('Per Line'!$Q$2:$Q$301,'Per Line'!$B$2:$B$301,$C90,'Per Line'!$AA$2:$AA$301,1))</f>
        <v/>
      </c>
      <c r="M90">
        <f>IF($W90="","",Settings!$C$7)</f>
        <v/>
      </c>
      <c r="N90" s="7">
        <f>IF($W90="","",SUMIFS('Per Line'!$Q$2:$Q$301,'Per Line'!$B$2:$B$301,$C90,'Per Line'!$Z$2:$Z$301,0,'Per Line'!$AA$2:$AA$301,0))</f>
        <v/>
      </c>
      <c r="O90" s="7">
        <f>IF($W90="","",N90*M90)</f>
        <v/>
      </c>
      <c r="P90">
        <f>IF($W90="","",Settings!$C$6)</f>
        <v/>
      </c>
      <c r="Q90" s="7">
        <f>IF($W90="","",SUMIFS('Per Line'!$Q$2:$Q$301,'Per Line'!$B$2:$B$301,$C90,'Per Line'!$Z$2:$Z$301,1,'Per Line'!$AA$2:$AA$301,0))</f>
        <v/>
      </c>
      <c r="R90" s="7">
        <f>IF($W90="","",Q90*P90)</f>
        <v/>
      </c>
      <c r="S90" s="7">
        <f>IF($W90="","",R90+O90)</f>
        <v/>
      </c>
      <c r="T90" s="7">
        <f>IF($W90="","",U90-S90)</f>
        <v/>
      </c>
      <c r="U90" s="7">
        <f>IF($W90="","",N90+Q90+L90)</f>
        <v/>
      </c>
      <c r="V90" s="7">
        <f>IF($W90="","",U90-S90-J90)</f>
        <v/>
      </c>
      <c r="W90" s="13">
        <f>IF(ROWS($W$2:$W90)&lt;=MAX('Per Line'!$Y$2:$Y$301),MATCH(ROWS($W$2:$W90),'Per Line'!$Y$2:$Y$301,0),"")</f>
        <v/>
      </c>
    </row>
    <row r="91">
      <c r="A91" s="12" t="n"/>
      <c r="B91">
        <f>IF($W91="","",INDEX('Per Line'!$A$2:$A$301,$W91)&amp;"")</f>
        <v/>
      </c>
      <c r="C91">
        <f>IF($W91="","",INDEX('Per Line'!$B$2:$B$301,$W91)&amp;"")</f>
        <v/>
      </c>
      <c r="D91" s="11">
        <f>IF($W91="","",INDEX('Per Line'!$C$2:$C$301,$W91))</f>
        <v/>
      </c>
      <c r="E91">
        <f>IF($W91="","",INDEX('Per Line'!$E$2:$E$301,$W91)&amp;"")</f>
        <v/>
      </c>
      <c r="F91">
        <f>IF($W91="","",INDEX('Per Line'!$F$2:$F$301,$W91)&amp;"")</f>
        <v/>
      </c>
      <c r="G91">
        <f>IF($W91="","",INDEX('Per Line'!$G$2:$G$301,$W91)&amp;"")</f>
        <v/>
      </c>
      <c r="H91">
        <f>IF($W91="","",INDEX('Per Line'!$H$2:$H$301,$W91)&amp;"")</f>
        <v/>
      </c>
      <c r="I91">
        <f>IF($W91="","",INDEX('Per Line'!$I$2:$I$301,$W91))</f>
        <v/>
      </c>
      <c r="J91" s="7">
        <f>IF($W91="","",I91*U91/100)</f>
        <v/>
      </c>
      <c r="K91">
        <f>IF($W91="","",INDEX('Per Line'!$R$2:$R$301,$W91)&amp;"")</f>
        <v/>
      </c>
      <c r="L91" s="7">
        <f>IF($W91="","",SUMIFS('Per Line'!$Q$2:$Q$301,'Per Line'!$B$2:$B$301,$C91,'Per Line'!$AA$2:$AA$301,1))</f>
        <v/>
      </c>
      <c r="M91">
        <f>IF($W91="","",Settings!$C$7)</f>
        <v/>
      </c>
      <c r="N91" s="7">
        <f>IF($W91="","",SUMIFS('Per Line'!$Q$2:$Q$301,'Per Line'!$B$2:$B$301,$C91,'Per Line'!$Z$2:$Z$301,0,'Per Line'!$AA$2:$AA$301,0))</f>
        <v/>
      </c>
      <c r="O91" s="7">
        <f>IF($W91="","",N91*M91)</f>
        <v/>
      </c>
      <c r="P91">
        <f>IF($W91="","",Settings!$C$6)</f>
        <v/>
      </c>
      <c r="Q91" s="7">
        <f>IF($W91="","",SUMIFS('Per Line'!$Q$2:$Q$301,'Per Line'!$B$2:$B$301,$C91,'Per Line'!$Z$2:$Z$301,1,'Per Line'!$AA$2:$AA$301,0))</f>
        <v/>
      </c>
      <c r="R91" s="7">
        <f>IF($W91="","",Q91*P91)</f>
        <v/>
      </c>
      <c r="S91" s="7">
        <f>IF($W91="","",R91+O91)</f>
        <v/>
      </c>
      <c r="T91" s="7">
        <f>IF($W91="","",U91-S91)</f>
        <v/>
      </c>
      <c r="U91" s="7">
        <f>IF($W91="","",N91+Q91+L91)</f>
        <v/>
      </c>
      <c r="V91" s="7">
        <f>IF($W91="","",U91-S91-J91)</f>
        <v/>
      </c>
      <c r="W91" s="13">
        <f>IF(ROWS($W$2:$W91)&lt;=MAX('Per Line'!$Y$2:$Y$301),MATCH(ROWS($W$2:$W91),'Per Line'!$Y$2:$Y$301,0),"")</f>
        <v/>
      </c>
    </row>
    <row r="92">
      <c r="A92" s="12" t="n"/>
      <c r="B92">
        <f>IF($W92="","",INDEX('Per Line'!$A$2:$A$301,$W92)&amp;"")</f>
        <v/>
      </c>
      <c r="C92">
        <f>IF($W92="","",INDEX('Per Line'!$B$2:$B$301,$W92)&amp;"")</f>
        <v/>
      </c>
      <c r="D92" s="11">
        <f>IF($W92="","",INDEX('Per Line'!$C$2:$C$301,$W92))</f>
        <v/>
      </c>
      <c r="E92">
        <f>IF($W92="","",INDEX('Per Line'!$E$2:$E$301,$W92)&amp;"")</f>
        <v/>
      </c>
      <c r="F92">
        <f>IF($W92="","",INDEX('Per Line'!$F$2:$F$301,$W92)&amp;"")</f>
        <v/>
      </c>
      <c r="G92">
        <f>IF($W92="","",INDEX('Per Line'!$G$2:$G$301,$W92)&amp;"")</f>
        <v/>
      </c>
      <c r="H92">
        <f>IF($W92="","",INDEX('Per Line'!$H$2:$H$301,$W92)&amp;"")</f>
        <v/>
      </c>
      <c r="I92">
        <f>IF($W92="","",INDEX('Per Line'!$I$2:$I$301,$W92))</f>
        <v/>
      </c>
      <c r="J92" s="7">
        <f>IF($W92="","",I92*U92/100)</f>
        <v/>
      </c>
      <c r="K92">
        <f>IF($W92="","",INDEX('Per Line'!$R$2:$R$301,$W92)&amp;"")</f>
        <v/>
      </c>
      <c r="L92" s="7">
        <f>IF($W92="","",SUMIFS('Per Line'!$Q$2:$Q$301,'Per Line'!$B$2:$B$301,$C92,'Per Line'!$AA$2:$AA$301,1))</f>
        <v/>
      </c>
      <c r="M92">
        <f>IF($W92="","",Settings!$C$7)</f>
        <v/>
      </c>
      <c r="N92" s="7">
        <f>IF($W92="","",SUMIFS('Per Line'!$Q$2:$Q$301,'Per Line'!$B$2:$B$301,$C92,'Per Line'!$Z$2:$Z$301,0,'Per Line'!$AA$2:$AA$301,0))</f>
        <v/>
      </c>
      <c r="O92" s="7">
        <f>IF($W92="","",N92*M92)</f>
        <v/>
      </c>
      <c r="P92">
        <f>IF($W92="","",Settings!$C$6)</f>
        <v/>
      </c>
      <c r="Q92" s="7">
        <f>IF($W92="","",SUMIFS('Per Line'!$Q$2:$Q$301,'Per Line'!$B$2:$B$301,$C92,'Per Line'!$Z$2:$Z$301,1,'Per Line'!$AA$2:$AA$301,0))</f>
        <v/>
      </c>
      <c r="R92" s="7">
        <f>IF($W92="","",Q92*P92)</f>
        <v/>
      </c>
      <c r="S92" s="7">
        <f>IF($W92="","",R92+O92)</f>
        <v/>
      </c>
      <c r="T92" s="7">
        <f>IF($W92="","",U92-S92)</f>
        <v/>
      </c>
      <c r="U92" s="7">
        <f>IF($W92="","",N92+Q92+L92)</f>
        <v/>
      </c>
      <c r="V92" s="7">
        <f>IF($W92="","",U92-S92-J92)</f>
        <v/>
      </c>
      <c r="W92" s="13">
        <f>IF(ROWS($W$2:$W92)&lt;=MAX('Per Line'!$Y$2:$Y$301),MATCH(ROWS($W$2:$W92),'Per Line'!$Y$2:$Y$301,0),"")</f>
        <v/>
      </c>
    </row>
    <row r="93">
      <c r="A93" s="12" t="n"/>
      <c r="B93">
        <f>IF($W93="","",INDEX('Per Line'!$A$2:$A$301,$W93)&amp;"")</f>
        <v/>
      </c>
      <c r="C93">
        <f>IF($W93="","",INDEX('Per Line'!$B$2:$B$301,$W93)&amp;"")</f>
        <v/>
      </c>
      <c r="D93" s="11">
        <f>IF($W93="","",INDEX('Per Line'!$C$2:$C$301,$W93))</f>
        <v/>
      </c>
      <c r="E93">
        <f>IF($W93="","",INDEX('Per Line'!$E$2:$E$301,$W93)&amp;"")</f>
        <v/>
      </c>
      <c r="F93">
        <f>IF($W93="","",INDEX('Per Line'!$F$2:$F$301,$W93)&amp;"")</f>
        <v/>
      </c>
      <c r="G93">
        <f>IF($W93="","",INDEX('Per Line'!$G$2:$G$301,$W93)&amp;"")</f>
        <v/>
      </c>
      <c r="H93">
        <f>IF($W93="","",INDEX('Per Line'!$H$2:$H$301,$W93)&amp;"")</f>
        <v/>
      </c>
      <c r="I93">
        <f>IF($W93="","",INDEX('Per Line'!$I$2:$I$301,$W93))</f>
        <v/>
      </c>
      <c r="J93" s="7">
        <f>IF($W93="","",I93*U93/100)</f>
        <v/>
      </c>
      <c r="K93">
        <f>IF($W93="","",INDEX('Per Line'!$R$2:$R$301,$W93)&amp;"")</f>
        <v/>
      </c>
      <c r="L93" s="7">
        <f>IF($W93="","",SUMIFS('Per Line'!$Q$2:$Q$301,'Per Line'!$B$2:$B$301,$C93,'Per Line'!$AA$2:$AA$301,1))</f>
        <v/>
      </c>
      <c r="M93">
        <f>IF($W93="","",Settings!$C$7)</f>
        <v/>
      </c>
      <c r="N93" s="7">
        <f>IF($W93="","",SUMIFS('Per Line'!$Q$2:$Q$301,'Per Line'!$B$2:$B$301,$C93,'Per Line'!$Z$2:$Z$301,0,'Per Line'!$AA$2:$AA$301,0))</f>
        <v/>
      </c>
      <c r="O93" s="7">
        <f>IF($W93="","",N93*M93)</f>
        <v/>
      </c>
      <c r="P93">
        <f>IF($W93="","",Settings!$C$6)</f>
        <v/>
      </c>
      <c r="Q93" s="7">
        <f>IF($W93="","",SUMIFS('Per Line'!$Q$2:$Q$301,'Per Line'!$B$2:$B$301,$C93,'Per Line'!$Z$2:$Z$301,1,'Per Line'!$AA$2:$AA$301,0))</f>
        <v/>
      </c>
      <c r="R93" s="7">
        <f>IF($W93="","",Q93*P93)</f>
        <v/>
      </c>
      <c r="S93" s="7">
        <f>IF($W93="","",R93+O93)</f>
        <v/>
      </c>
      <c r="T93" s="7">
        <f>IF($W93="","",U93-S93)</f>
        <v/>
      </c>
      <c r="U93" s="7">
        <f>IF($W93="","",N93+Q93+L93)</f>
        <v/>
      </c>
      <c r="V93" s="7">
        <f>IF($W93="","",U93-S93-J93)</f>
        <v/>
      </c>
      <c r="W93" s="13">
        <f>IF(ROWS($W$2:$W93)&lt;=MAX('Per Line'!$Y$2:$Y$301),MATCH(ROWS($W$2:$W93),'Per Line'!$Y$2:$Y$301,0),"")</f>
        <v/>
      </c>
    </row>
    <row r="94">
      <c r="A94" s="12" t="n"/>
      <c r="B94">
        <f>IF($W94="","",INDEX('Per Line'!$A$2:$A$301,$W94)&amp;"")</f>
        <v/>
      </c>
      <c r="C94">
        <f>IF($W94="","",INDEX('Per Line'!$B$2:$B$301,$W94)&amp;"")</f>
        <v/>
      </c>
      <c r="D94" s="11">
        <f>IF($W94="","",INDEX('Per Line'!$C$2:$C$301,$W94))</f>
        <v/>
      </c>
      <c r="E94">
        <f>IF($W94="","",INDEX('Per Line'!$E$2:$E$301,$W94)&amp;"")</f>
        <v/>
      </c>
      <c r="F94">
        <f>IF($W94="","",INDEX('Per Line'!$F$2:$F$301,$W94)&amp;"")</f>
        <v/>
      </c>
      <c r="G94">
        <f>IF($W94="","",INDEX('Per Line'!$G$2:$G$301,$W94)&amp;"")</f>
        <v/>
      </c>
      <c r="H94">
        <f>IF($W94="","",INDEX('Per Line'!$H$2:$H$301,$W94)&amp;"")</f>
        <v/>
      </c>
      <c r="I94">
        <f>IF($W94="","",INDEX('Per Line'!$I$2:$I$301,$W94))</f>
        <v/>
      </c>
      <c r="J94" s="7">
        <f>IF($W94="","",I94*U94/100)</f>
        <v/>
      </c>
      <c r="K94">
        <f>IF($W94="","",INDEX('Per Line'!$R$2:$R$301,$W94)&amp;"")</f>
        <v/>
      </c>
      <c r="L94" s="7">
        <f>IF($W94="","",SUMIFS('Per Line'!$Q$2:$Q$301,'Per Line'!$B$2:$B$301,$C94,'Per Line'!$AA$2:$AA$301,1))</f>
        <v/>
      </c>
      <c r="M94">
        <f>IF($W94="","",Settings!$C$7)</f>
        <v/>
      </c>
      <c r="N94" s="7">
        <f>IF($W94="","",SUMIFS('Per Line'!$Q$2:$Q$301,'Per Line'!$B$2:$B$301,$C94,'Per Line'!$Z$2:$Z$301,0,'Per Line'!$AA$2:$AA$301,0))</f>
        <v/>
      </c>
      <c r="O94" s="7">
        <f>IF($W94="","",N94*M94)</f>
        <v/>
      </c>
      <c r="P94">
        <f>IF($W94="","",Settings!$C$6)</f>
        <v/>
      </c>
      <c r="Q94" s="7">
        <f>IF($W94="","",SUMIFS('Per Line'!$Q$2:$Q$301,'Per Line'!$B$2:$B$301,$C94,'Per Line'!$Z$2:$Z$301,1,'Per Line'!$AA$2:$AA$301,0))</f>
        <v/>
      </c>
      <c r="R94" s="7">
        <f>IF($W94="","",Q94*P94)</f>
        <v/>
      </c>
      <c r="S94" s="7">
        <f>IF($W94="","",R94+O94)</f>
        <v/>
      </c>
      <c r="T94" s="7">
        <f>IF($W94="","",U94-S94)</f>
        <v/>
      </c>
      <c r="U94" s="7">
        <f>IF($W94="","",N94+Q94+L94)</f>
        <v/>
      </c>
      <c r="V94" s="7">
        <f>IF($W94="","",U94-S94-J94)</f>
        <v/>
      </c>
      <c r="W94" s="13">
        <f>IF(ROWS($W$2:$W94)&lt;=MAX('Per Line'!$Y$2:$Y$301),MATCH(ROWS($W$2:$W94),'Per Line'!$Y$2:$Y$301,0),"")</f>
        <v/>
      </c>
    </row>
    <row r="95">
      <c r="A95" s="12" t="n"/>
      <c r="B95">
        <f>IF($W95="","",INDEX('Per Line'!$A$2:$A$301,$W95)&amp;"")</f>
        <v/>
      </c>
      <c r="C95">
        <f>IF($W95="","",INDEX('Per Line'!$B$2:$B$301,$W95)&amp;"")</f>
        <v/>
      </c>
      <c r="D95" s="11">
        <f>IF($W95="","",INDEX('Per Line'!$C$2:$C$301,$W95))</f>
        <v/>
      </c>
      <c r="E95">
        <f>IF($W95="","",INDEX('Per Line'!$E$2:$E$301,$W95)&amp;"")</f>
        <v/>
      </c>
      <c r="F95">
        <f>IF($W95="","",INDEX('Per Line'!$F$2:$F$301,$W95)&amp;"")</f>
        <v/>
      </c>
      <c r="G95">
        <f>IF($W95="","",INDEX('Per Line'!$G$2:$G$301,$W95)&amp;"")</f>
        <v/>
      </c>
      <c r="H95">
        <f>IF($W95="","",INDEX('Per Line'!$H$2:$H$301,$W95)&amp;"")</f>
        <v/>
      </c>
      <c r="I95">
        <f>IF($W95="","",INDEX('Per Line'!$I$2:$I$301,$W95))</f>
        <v/>
      </c>
      <c r="J95" s="7">
        <f>IF($W95="","",I95*U95/100)</f>
        <v/>
      </c>
      <c r="K95">
        <f>IF($W95="","",INDEX('Per Line'!$R$2:$R$301,$W95)&amp;"")</f>
        <v/>
      </c>
      <c r="L95" s="7">
        <f>IF($W95="","",SUMIFS('Per Line'!$Q$2:$Q$301,'Per Line'!$B$2:$B$301,$C95,'Per Line'!$AA$2:$AA$301,1))</f>
        <v/>
      </c>
      <c r="M95">
        <f>IF($W95="","",Settings!$C$7)</f>
        <v/>
      </c>
      <c r="N95" s="7">
        <f>IF($W95="","",SUMIFS('Per Line'!$Q$2:$Q$301,'Per Line'!$B$2:$B$301,$C95,'Per Line'!$Z$2:$Z$301,0,'Per Line'!$AA$2:$AA$301,0))</f>
        <v/>
      </c>
      <c r="O95" s="7">
        <f>IF($W95="","",N95*M95)</f>
        <v/>
      </c>
      <c r="P95">
        <f>IF($W95="","",Settings!$C$6)</f>
        <v/>
      </c>
      <c r="Q95" s="7">
        <f>IF($W95="","",SUMIFS('Per Line'!$Q$2:$Q$301,'Per Line'!$B$2:$B$301,$C95,'Per Line'!$Z$2:$Z$301,1,'Per Line'!$AA$2:$AA$301,0))</f>
        <v/>
      </c>
      <c r="R95" s="7">
        <f>IF($W95="","",Q95*P95)</f>
        <v/>
      </c>
      <c r="S95" s="7">
        <f>IF($W95="","",R95+O95)</f>
        <v/>
      </c>
      <c r="T95" s="7">
        <f>IF($W95="","",U95-S95)</f>
        <v/>
      </c>
      <c r="U95" s="7">
        <f>IF($W95="","",N95+Q95+L95)</f>
        <v/>
      </c>
      <c r="V95" s="7">
        <f>IF($W95="","",U95-S95-J95)</f>
        <v/>
      </c>
      <c r="W95" s="13">
        <f>IF(ROWS($W$2:$W95)&lt;=MAX('Per Line'!$Y$2:$Y$301),MATCH(ROWS($W$2:$W95),'Per Line'!$Y$2:$Y$301,0),"")</f>
        <v/>
      </c>
    </row>
    <row r="96">
      <c r="A96" s="12" t="n"/>
      <c r="B96">
        <f>IF($W96="","",INDEX('Per Line'!$A$2:$A$301,$W96)&amp;"")</f>
        <v/>
      </c>
      <c r="C96">
        <f>IF($W96="","",INDEX('Per Line'!$B$2:$B$301,$W96)&amp;"")</f>
        <v/>
      </c>
      <c r="D96" s="11">
        <f>IF($W96="","",INDEX('Per Line'!$C$2:$C$301,$W96))</f>
        <v/>
      </c>
      <c r="E96">
        <f>IF($W96="","",INDEX('Per Line'!$E$2:$E$301,$W96)&amp;"")</f>
        <v/>
      </c>
      <c r="F96">
        <f>IF($W96="","",INDEX('Per Line'!$F$2:$F$301,$W96)&amp;"")</f>
        <v/>
      </c>
      <c r="G96">
        <f>IF($W96="","",INDEX('Per Line'!$G$2:$G$301,$W96)&amp;"")</f>
        <v/>
      </c>
      <c r="H96">
        <f>IF($W96="","",INDEX('Per Line'!$H$2:$H$301,$W96)&amp;"")</f>
        <v/>
      </c>
      <c r="I96">
        <f>IF($W96="","",INDEX('Per Line'!$I$2:$I$301,$W96))</f>
        <v/>
      </c>
      <c r="J96" s="7">
        <f>IF($W96="","",I96*U96/100)</f>
        <v/>
      </c>
      <c r="K96">
        <f>IF($W96="","",INDEX('Per Line'!$R$2:$R$301,$W96)&amp;"")</f>
        <v/>
      </c>
      <c r="L96" s="7">
        <f>IF($W96="","",SUMIFS('Per Line'!$Q$2:$Q$301,'Per Line'!$B$2:$B$301,$C96,'Per Line'!$AA$2:$AA$301,1))</f>
        <v/>
      </c>
      <c r="M96">
        <f>IF($W96="","",Settings!$C$7)</f>
        <v/>
      </c>
      <c r="N96" s="7">
        <f>IF($W96="","",SUMIFS('Per Line'!$Q$2:$Q$301,'Per Line'!$B$2:$B$301,$C96,'Per Line'!$Z$2:$Z$301,0,'Per Line'!$AA$2:$AA$301,0))</f>
        <v/>
      </c>
      <c r="O96" s="7">
        <f>IF($W96="","",N96*M96)</f>
        <v/>
      </c>
      <c r="P96">
        <f>IF($W96="","",Settings!$C$6)</f>
        <v/>
      </c>
      <c r="Q96" s="7">
        <f>IF($W96="","",SUMIFS('Per Line'!$Q$2:$Q$301,'Per Line'!$B$2:$B$301,$C96,'Per Line'!$Z$2:$Z$301,1,'Per Line'!$AA$2:$AA$301,0))</f>
        <v/>
      </c>
      <c r="R96" s="7">
        <f>IF($W96="","",Q96*P96)</f>
        <v/>
      </c>
      <c r="S96" s="7">
        <f>IF($W96="","",R96+O96)</f>
        <v/>
      </c>
      <c r="T96" s="7">
        <f>IF($W96="","",U96-S96)</f>
        <v/>
      </c>
      <c r="U96" s="7">
        <f>IF($W96="","",N96+Q96+L96)</f>
        <v/>
      </c>
      <c r="V96" s="7">
        <f>IF($W96="","",U96-S96-J96)</f>
        <v/>
      </c>
      <c r="W96" s="13">
        <f>IF(ROWS($W$2:$W96)&lt;=MAX('Per Line'!$Y$2:$Y$301),MATCH(ROWS($W$2:$W96),'Per Line'!$Y$2:$Y$301,0),"")</f>
        <v/>
      </c>
    </row>
    <row r="97">
      <c r="A97" s="12" t="n"/>
      <c r="B97">
        <f>IF($W97="","",INDEX('Per Line'!$A$2:$A$301,$W97)&amp;"")</f>
        <v/>
      </c>
      <c r="C97">
        <f>IF($W97="","",INDEX('Per Line'!$B$2:$B$301,$W97)&amp;"")</f>
        <v/>
      </c>
      <c r="D97" s="11">
        <f>IF($W97="","",INDEX('Per Line'!$C$2:$C$301,$W97))</f>
        <v/>
      </c>
      <c r="E97">
        <f>IF($W97="","",INDEX('Per Line'!$E$2:$E$301,$W97)&amp;"")</f>
        <v/>
      </c>
      <c r="F97">
        <f>IF($W97="","",INDEX('Per Line'!$F$2:$F$301,$W97)&amp;"")</f>
        <v/>
      </c>
      <c r="G97">
        <f>IF($W97="","",INDEX('Per Line'!$G$2:$G$301,$W97)&amp;"")</f>
        <v/>
      </c>
      <c r="H97">
        <f>IF($W97="","",INDEX('Per Line'!$H$2:$H$301,$W97)&amp;"")</f>
        <v/>
      </c>
      <c r="I97">
        <f>IF($W97="","",INDEX('Per Line'!$I$2:$I$301,$W97))</f>
        <v/>
      </c>
      <c r="J97" s="7">
        <f>IF($W97="","",I97*U97/100)</f>
        <v/>
      </c>
      <c r="K97">
        <f>IF($W97="","",INDEX('Per Line'!$R$2:$R$301,$W97)&amp;"")</f>
        <v/>
      </c>
      <c r="L97" s="7">
        <f>IF($W97="","",SUMIFS('Per Line'!$Q$2:$Q$301,'Per Line'!$B$2:$B$301,$C97,'Per Line'!$AA$2:$AA$301,1))</f>
        <v/>
      </c>
      <c r="M97">
        <f>IF($W97="","",Settings!$C$7)</f>
        <v/>
      </c>
      <c r="N97" s="7">
        <f>IF($W97="","",SUMIFS('Per Line'!$Q$2:$Q$301,'Per Line'!$B$2:$B$301,$C97,'Per Line'!$Z$2:$Z$301,0,'Per Line'!$AA$2:$AA$301,0))</f>
        <v/>
      </c>
      <c r="O97" s="7">
        <f>IF($W97="","",N97*M97)</f>
        <v/>
      </c>
      <c r="P97">
        <f>IF($W97="","",Settings!$C$6)</f>
        <v/>
      </c>
      <c r="Q97" s="7">
        <f>IF($W97="","",SUMIFS('Per Line'!$Q$2:$Q$301,'Per Line'!$B$2:$B$301,$C97,'Per Line'!$Z$2:$Z$301,1,'Per Line'!$AA$2:$AA$301,0))</f>
        <v/>
      </c>
      <c r="R97" s="7">
        <f>IF($W97="","",Q97*P97)</f>
        <v/>
      </c>
      <c r="S97" s="7">
        <f>IF($W97="","",R97+O97)</f>
        <v/>
      </c>
      <c r="T97" s="7">
        <f>IF($W97="","",U97-S97)</f>
        <v/>
      </c>
      <c r="U97" s="7">
        <f>IF($W97="","",N97+Q97+L97)</f>
        <v/>
      </c>
      <c r="V97" s="7">
        <f>IF($W97="","",U97-S97-J97)</f>
        <v/>
      </c>
      <c r="W97" s="13">
        <f>IF(ROWS($W$2:$W97)&lt;=MAX('Per Line'!$Y$2:$Y$301),MATCH(ROWS($W$2:$W97),'Per Line'!$Y$2:$Y$301,0),"")</f>
        <v/>
      </c>
    </row>
    <row r="98">
      <c r="A98" s="12" t="n"/>
      <c r="B98">
        <f>IF($W98="","",INDEX('Per Line'!$A$2:$A$301,$W98)&amp;"")</f>
        <v/>
      </c>
      <c r="C98">
        <f>IF($W98="","",INDEX('Per Line'!$B$2:$B$301,$W98)&amp;"")</f>
        <v/>
      </c>
      <c r="D98" s="11">
        <f>IF($W98="","",INDEX('Per Line'!$C$2:$C$301,$W98))</f>
        <v/>
      </c>
      <c r="E98">
        <f>IF($W98="","",INDEX('Per Line'!$E$2:$E$301,$W98)&amp;"")</f>
        <v/>
      </c>
      <c r="F98">
        <f>IF($W98="","",INDEX('Per Line'!$F$2:$F$301,$W98)&amp;"")</f>
        <v/>
      </c>
      <c r="G98">
        <f>IF($W98="","",INDEX('Per Line'!$G$2:$G$301,$W98)&amp;"")</f>
        <v/>
      </c>
      <c r="H98">
        <f>IF($W98="","",INDEX('Per Line'!$H$2:$H$301,$W98)&amp;"")</f>
        <v/>
      </c>
      <c r="I98">
        <f>IF($W98="","",INDEX('Per Line'!$I$2:$I$301,$W98))</f>
        <v/>
      </c>
      <c r="J98" s="7">
        <f>IF($W98="","",I98*U98/100)</f>
        <v/>
      </c>
      <c r="K98">
        <f>IF($W98="","",INDEX('Per Line'!$R$2:$R$301,$W98)&amp;"")</f>
        <v/>
      </c>
      <c r="L98" s="7">
        <f>IF($W98="","",SUMIFS('Per Line'!$Q$2:$Q$301,'Per Line'!$B$2:$B$301,$C98,'Per Line'!$AA$2:$AA$301,1))</f>
        <v/>
      </c>
      <c r="M98">
        <f>IF($W98="","",Settings!$C$7)</f>
        <v/>
      </c>
      <c r="N98" s="7">
        <f>IF($W98="","",SUMIFS('Per Line'!$Q$2:$Q$301,'Per Line'!$B$2:$B$301,$C98,'Per Line'!$Z$2:$Z$301,0,'Per Line'!$AA$2:$AA$301,0))</f>
        <v/>
      </c>
      <c r="O98" s="7">
        <f>IF($W98="","",N98*M98)</f>
        <v/>
      </c>
      <c r="P98">
        <f>IF($W98="","",Settings!$C$6)</f>
        <v/>
      </c>
      <c r="Q98" s="7">
        <f>IF($W98="","",SUMIFS('Per Line'!$Q$2:$Q$301,'Per Line'!$B$2:$B$301,$C98,'Per Line'!$Z$2:$Z$301,1,'Per Line'!$AA$2:$AA$301,0))</f>
        <v/>
      </c>
      <c r="R98" s="7">
        <f>IF($W98="","",Q98*P98)</f>
        <v/>
      </c>
      <c r="S98" s="7">
        <f>IF($W98="","",R98+O98)</f>
        <v/>
      </c>
      <c r="T98" s="7">
        <f>IF($W98="","",U98-S98)</f>
        <v/>
      </c>
      <c r="U98" s="7">
        <f>IF($W98="","",N98+Q98+L98)</f>
        <v/>
      </c>
      <c r="V98" s="7">
        <f>IF($W98="","",U98-S98-J98)</f>
        <v/>
      </c>
      <c r="W98" s="13">
        <f>IF(ROWS($W$2:$W98)&lt;=MAX('Per Line'!$Y$2:$Y$301),MATCH(ROWS($W$2:$W98),'Per Line'!$Y$2:$Y$301,0),"")</f>
        <v/>
      </c>
    </row>
    <row r="99">
      <c r="A99" s="12" t="n"/>
      <c r="B99">
        <f>IF($W99="","",INDEX('Per Line'!$A$2:$A$301,$W99)&amp;"")</f>
        <v/>
      </c>
      <c r="C99">
        <f>IF($W99="","",INDEX('Per Line'!$B$2:$B$301,$W99)&amp;"")</f>
        <v/>
      </c>
      <c r="D99" s="11">
        <f>IF($W99="","",INDEX('Per Line'!$C$2:$C$301,$W99))</f>
        <v/>
      </c>
      <c r="E99">
        <f>IF($W99="","",INDEX('Per Line'!$E$2:$E$301,$W99)&amp;"")</f>
        <v/>
      </c>
      <c r="F99">
        <f>IF($W99="","",INDEX('Per Line'!$F$2:$F$301,$W99)&amp;"")</f>
        <v/>
      </c>
      <c r="G99">
        <f>IF($W99="","",INDEX('Per Line'!$G$2:$G$301,$W99)&amp;"")</f>
        <v/>
      </c>
      <c r="H99">
        <f>IF($W99="","",INDEX('Per Line'!$H$2:$H$301,$W99)&amp;"")</f>
        <v/>
      </c>
      <c r="I99">
        <f>IF($W99="","",INDEX('Per Line'!$I$2:$I$301,$W99))</f>
        <v/>
      </c>
      <c r="J99" s="7">
        <f>IF($W99="","",I99*U99/100)</f>
        <v/>
      </c>
      <c r="K99">
        <f>IF($W99="","",INDEX('Per Line'!$R$2:$R$301,$W99)&amp;"")</f>
        <v/>
      </c>
      <c r="L99" s="7">
        <f>IF($W99="","",SUMIFS('Per Line'!$Q$2:$Q$301,'Per Line'!$B$2:$B$301,$C99,'Per Line'!$AA$2:$AA$301,1))</f>
        <v/>
      </c>
      <c r="M99">
        <f>IF($W99="","",Settings!$C$7)</f>
        <v/>
      </c>
      <c r="N99" s="7">
        <f>IF($W99="","",SUMIFS('Per Line'!$Q$2:$Q$301,'Per Line'!$B$2:$B$301,$C99,'Per Line'!$Z$2:$Z$301,0,'Per Line'!$AA$2:$AA$301,0))</f>
        <v/>
      </c>
      <c r="O99" s="7">
        <f>IF($W99="","",N99*M99)</f>
        <v/>
      </c>
      <c r="P99">
        <f>IF($W99="","",Settings!$C$6)</f>
        <v/>
      </c>
      <c r="Q99" s="7">
        <f>IF($W99="","",SUMIFS('Per Line'!$Q$2:$Q$301,'Per Line'!$B$2:$B$301,$C99,'Per Line'!$Z$2:$Z$301,1,'Per Line'!$AA$2:$AA$301,0))</f>
        <v/>
      </c>
      <c r="R99" s="7">
        <f>IF($W99="","",Q99*P99)</f>
        <v/>
      </c>
      <c r="S99" s="7">
        <f>IF($W99="","",R99+O99)</f>
        <v/>
      </c>
      <c r="T99" s="7">
        <f>IF($W99="","",U99-S99)</f>
        <v/>
      </c>
      <c r="U99" s="7">
        <f>IF($W99="","",N99+Q99+L99)</f>
        <v/>
      </c>
      <c r="V99" s="7">
        <f>IF($W99="","",U99-S99-J99)</f>
        <v/>
      </c>
      <c r="W99" s="13">
        <f>IF(ROWS($W$2:$W99)&lt;=MAX('Per Line'!$Y$2:$Y$301),MATCH(ROWS($W$2:$W99),'Per Line'!$Y$2:$Y$301,0),"")</f>
        <v/>
      </c>
    </row>
    <row r="100">
      <c r="A100" s="12" t="n"/>
      <c r="B100">
        <f>IF($W100="","",INDEX('Per Line'!$A$2:$A$301,$W100)&amp;"")</f>
        <v/>
      </c>
      <c r="C100">
        <f>IF($W100="","",INDEX('Per Line'!$B$2:$B$301,$W100)&amp;"")</f>
        <v/>
      </c>
      <c r="D100" s="11">
        <f>IF($W100="","",INDEX('Per Line'!$C$2:$C$301,$W100))</f>
        <v/>
      </c>
      <c r="E100">
        <f>IF($W100="","",INDEX('Per Line'!$E$2:$E$301,$W100)&amp;"")</f>
        <v/>
      </c>
      <c r="F100">
        <f>IF($W100="","",INDEX('Per Line'!$F$2:$F$301,$W100)&amp;"")</f>
        <v/>
      </c>
      <c r="G100">
        <f>IF($W100="","",INDEX('Per Line'!$G$2:$G$301,$W100)&amp;"")</f>
        <v/>
      </c>
      <c r="H100">
        <f>IF($W100="","",INDEX('Per Line'!$H$2:$H$301,$W100)&amp;"")</f>
        <v/>
      </c>
      <c r="I100">
        <f>IF($W100="","",INDEX('Per Line'!$I$2:$I$301,$W100))</f>
        <v/>
      </c>
      <c r="J100" s="7">
        <f>IF($W100="","",I100*U100/100)</f>
        <v/>
      </c>
      <c r="K100">
        <f>IF($W100="","",INDEX('Per Line'!$R$2:$R$301,$W100)&amp;"")</f>
        <v/>
      </c>
      <c r="L100" s="7">
        <f>IF($W100="","",SUMIFS('Per Line'!$Q$2:$Q$301,'Per Line'!$B$2:$B$301,$C100,'Per Line'!$AA$2:$AA$301,1))</f>
        <v/>
      </c>
      <c r="M100">
        <f>IF($W100="","",Settings!$C$7)</f>
        <v/>
      </c>
      <c r="N100" s="7">
        <f>IF($W100="","",SUMIFS('Per Line'!$Q$2:$Q$301,'Per Line'!$B$2:$B$301,$C100,'Per Line'!$Z$2:$Z$301,0,'Per Line'!$AA$2:$AA$301,0))</f>
        <v/>
      </c>
      <c r="O100" s="7">
        <f>IF($W100="","",N100*M100)</f>
        <v/>
      </c>
      <c r="P100">
        <f>IF($W100="","",Settings!$C$6)</f>
        <v/>
      </c>
      <c r="Q100" s="7">
        <f>IF($W100="","",SUMIFS('Per Line'!$Q$2:$Q$301,'Per Line'!$B$2:$B$301,$C100,'Per Line'!$Z$2:$Z$301,1,'Per Line'!$AA$2:$AA$301,0))</f>
        <v/>
      </c>
      <c r="R100" s="7">
        <f>IF($W100="","",Q100*P100)</f>
        <v/>
      </c>
      <c r="S100" s="7">
        <f>IF($W100="","",R100+O100)</f>
        <v/>
      </c>
      <c r="T100" s="7">
        <f>IF($W100="","",U100-S100)</f>
        <v/>
      </c>
      <c r="U100" s="7">
        <f>IF($W100="","",N100+Q100+L100)</f>
        <v/>
      </c>
      <c r="V100" s="7">
        <f>IF($W100="","",U100-S100-J100)</f>
        <v/>
      </c>
      <c r="W100" s="13">
        <f>IF(ROWS($W$2:$W100)&lt;=MAX('Per Line'!$Y$2:$Y$301),MATCH(ROWS($W$2:$W100),'Per Line'!$Y$2:$Y$301,0),"")</f>
        <v/>
      </c>
    </row>
    <row r="101">
      <c r="A101" s="12" t="n"/>
      <c r="B101">
        <f>IF($W101="","",INDEX('Per Line'!$A$2:$A$301,$W101)&amp;"")</f>
        <v/>
      </c>
      <c r="C101">
        <f>IF($W101="","",INDEX('Per Line'!$B$2:$B$301,$W101)&amp;"")</f>
        <v/>
      </c>
      <c r="D101" s="11">
        <f>IF($W101="","",INDEX('Per Line'!$C$2:$C$301,$W101))</f>
        <v/>
      </c>
      <c r="E101">
        <f>IF($W101="","",INDEX('Per Line'!$E$2:$E$301,$W101)&amp;"")</f>
        <v/>
      </c>
      <c r="F101">
        <f>IF($W101="","",INDEX('Per Line'!$F$2:$F$301,$W101)&amp;"")</f>
        <v/>
      </c>
      <c r="G101">
        <f>IF($W101="","",INDEX('Per Line'!$G$2:$G$301,$W101)&amp;"")</f>
        <v/>
      </c>
      <c r="H101">
        <f>IF($W101="","",INDEX('Per Line'!$H$2:$H$301,$W101)&amp;"")</f>
        <v/>
      </c>
      <c r="I101">
        <f>IF($W101="","",INDEX('Per Line'!$I$2:$I$301,$W101))</f>
        <v/>
      </c>
      <c r="J101" s="7">
        <f>IF($W101="","",I101*U101/100)</f>
        <v/>
      </c>
      <c r="K101">
        <f>IF($W101="","",INDEX('Per Line'!$R$2:$R$301,$W101)&amp;"")</f>
        <v/>
      </c>
      <c r="L101" s="7">
        <f>IF($W101="","",SUMIFS('Per Line'!$Q$2:$Q$301,'Per Line'!$B$2:$B$301,$C101,'Per Line'!$AA$2:$AA$301,1))</f>
        <v/>
      </c>
      <c r="M101">
        <f>IF($W101="","",Settings!$C$7)</f>
        <v/>
      </c>
      <c r="N101" s="7">
        <f>IF($W101="","",SUMIFS('Per Line'!$Q$2:$Q$301,'Per Line'!$B$2:$B$301,$C101,'Per Line'!$Z$2:$Z$301,0,'Per Line'!$AA$2:$AA$301,0))</f>
        <v/>
      </c>
      <c r="O101" s="7">
        <f>IF($W101="","",N101*M101)</f>
        <v/>
      </c>
      <c r="P101">
        <f>IF($W101="","",Settings!$C$6)</f>
        <v/>
      </c>
      <c r="Q101" s="7">
        <f>IF($W101="","",SUMIFS('Per Line'!$Q$2:$Q$301,'Per Line'!$B$2:$B$301,$C101,'Per Line'!$Z$2:$Z$301,1,'Per Line'!$AA$2:$AA$301,0))</f>
        <v/>
      </c>
      <c r="R101" s="7">
        <f>IF($W101="","",Q101*P101)</f>
        <v/>
      </c>
      <c r="S101" s="7">
        <f>IF($W101="","",R101+O101)</f>
        <v/>
      </c>
      <c r="T101" s="7">
        <f>IF($W101="","",U101-S101)</f>
        <v/>
      </c>
      <c r="U101" s="7">
        <f>IF($W101="","",N101+Q101+L101)</f>
        <v/>
      </c>
      <c r="V101" s="7">
        <f>IF($W101="","",U101-S101-J101)</f>
        <v/>
      </c>
      <c r="W101" s="13">
        <f>IF(ROWS($W$2:$W101)&lt;=MAX('Per Line'!$Y$2:$Y$301),MATCH(ROWS($W$2:$W101),'Per Line'!$Y$2:$Y$301,0),"")</f>
        <v/>
      </c>
    </row>
  </sheetData>
  <autoFilter ref="A1:W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2026-10-12T10:41:49Z</dcterms:created>
  <dcterms:modified xmlns:dcterms="http://purl.org/dc/terms/" xmlns:xsi="http://www.w3.org/2001/XMLSchema-instance" xsi:type="dcterms:W3CDTF">2026-10-12T10:41:49Z</dcterms:modified>
</cp:coreProperties>
</file>